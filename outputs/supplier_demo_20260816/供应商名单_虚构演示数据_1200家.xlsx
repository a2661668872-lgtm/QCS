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供应商清单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¥0.0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i val="1"/>
      <color rgb="0092400E"/>
      <sz val="10"/>
    </font>
    <font>
      <name val="Microsoft YaHei"/>
      <b val="1"/>
      <color rgb="00FFFFFF"/>
      <sz val="10"/>
    </font>
    <font>
      <name val="Microsoft YaHei"/>
      <color rgb="001F2937"/>
      <sz val="10"/>
    </font>
    <font>
      <name val="Microsoft YaHei"/>
      <b val="1"/>
      <color rgb="00FFFFFF"/>
      <sz val="20"/>
    </font>
    <font>
      <name val="Microsoft YaHei"/>
      <color rgb="00115E59"/>
      <sz val="10"/>
    </font>
    <font>
      <name val="Microsoft YaHei"/>
      <b val="1"/>
      <color rgb="00FFFFFF"/>
    </font>
    <font>
      <name val="Microsoft YaHei"/>
      <b val="1"/>
      <color rgb="000F766E"/>
      <sz val="18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134E4A"/>
      </patternFill>
    </fill>
    <fill>
      <patternFill patternType="solid">
        <fgColor rgb="00CCFBF1"/>
      </patternFill>
    </fill>
    <fill>
      <patternFill patternType="solid">
        <fgColor rgb="00F0FDFA"/>
      </patternFill>
    </fill>
  </fills>
  <borders count="3">
    <border>
      <left/>
      <right/>
      <top/>
      <bottom/>
      <diagonal/>
    </border>
    <border>
      <left style="thin">
        <color rgb="00D1FAE5"/>
      </left>
      <right style="thin">
        <color rgb="00D1FAE5"/>
      </right>
      <top style="thin">
        <color rgb="00D1FAE5"/>
      </top>
      <bottom style="thin">
        <color rgb="00D1FAE5"/>
      </bottom>
    </border>
    <border>
      <bottom style="thin">
        <color rgb="00D1FAE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upplierDemoTable" displayName="SupplierDemoTable" ref="A4:U1204" headerRowCount="1">
  <autoFilter ref="A4:U1204"/>
  <tableColumns count="21">
    <tableColumn id="1" name="编号"/>
    <tableColumn id="2" name="供应商名称"/>
    <tableColumn id="3" name="主营品类"/>
    <tableColumn id="4" name="代表产品"/>
    <tableColumn id="5" name="地区"/>
    <tableColumn id="6" name="来源平台"/>
    <tableColumn id="7" name="联系人"/>
    <tableColumn id="8" name="公开电话（演示）"/>
    <tableColumn id="9" name="微信（演示）"/>
    <tableColumn id="10" name="最低价（元）"/>
    <tableColumn id="11" name="最高价（元）"/>
    <tableColumn id="12" name="起订量"/>
    <tableColumn id="13" name="支持拿样"/>
    <tableColumn id="14" name="支持定制"/>
    <tableColumn id="15" name="邮箱（演示）"/>
    <tableColumn id="16" name="来源链接（演示）"/>
    <tableColumn id="17" name="优先级"/>
    <tableColumn id="18" name="综合评分"/>
    <tableColumn id="19" name="推荐理由"/>
    <tableColumn id="20" name="跟进状态"/>
    <tableColumn id="21" name="数据属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 ht="34" customHeight="1">
      <c r="A1" s="1" t="inlineStr">
        <is>
          <t>供应商调研结果概览（演示）</t>
        </is>
      </c>
    </row>
    <row r="2" ht="22" customHeight="1">
      <c r="A2" s="2" t="inlineStr">
        <is>
          <t>用于视频画面展示｜详细数据见“供应商清单”｜全部联系方式均为虚构占位</t>
        </is>
      </c>
    </row>
    <row r="4" ht="22" customHeight="1">
      <c r="A4" s="3" t="inlineStr">
        <is>
          <t>总供应商</t>
        </is>
      </c>
      <c r="B4" s="3" t="n"/>
      <c r="C4" s="3" t="inlineStr">
        <is>
          <t>A级优先</t>
        </is>
      </c>
      <c r="D4" s="3" t="n"/>
      <c r="E4" s="3" t="inlineStr">
        <is>
          <t>支持拿样</t>
        </is>
      </c>
      <c r="F4" s="3" t="n"/>
      <c r="G4" s="3" t="inlineStr">
        <is>
          <t>支持定制</t>
        </is>
      </c>
      <c r="H4" s="3" t="n"/>
    </row>
    <row r="5" ht="34" customHeight="1">
      <c r="A5" s="4">
        <f>COUNTA('供应商清单'!$A$5:$A$1204)</f>
        <v/>
      </c>
      <c r="B5" s="4" t="n"/>
      <c r="C5" s="4">
        <f>COUNTIF('供应商清单'!$Q$5:$Q$1204,"A")</f>
        <v/>
      </c>
      <c r="D5" s="4" t="n"/>
      <c r="E5" s="4">
        <f>COUNTIF('供应商清单'!$M$5:$M$1204,"是")</f>
        <v/>
      </c>
      <c r="F5" s="4" t="n"/>
      <c r="G5" s="4">
        <f>COUNTIF('供应商清单'!$N$5:$N$1204,"是")</f>
        <v/>
      </c>
      <c r="H5" s="4" t="n"/>
    </row>
    <row r="7">
      <c r="A7" s="5" t="inlineStr">
        <is>
          <t>来源平台</t>
        </is>
      </c>
      <c r="B7" s="5" t="inlineStr">
        <is>
          <t>供应商数量</t>
        </is>
      </c>
      <c r="D7" s="5" t="inlineStr">
        <is>
          <t>主营品类</t>
        </is>
      </c>
      <c r="E7" s="5" t="inlineStr">
        <is>
          <t>供应商数量</t>
        </is>
      </c>
      <c r="G7" s="5" t="inlineStr">
        <is>
          <t>使用说明</t>
        </is>
      </c>
      <c r="H7" s="5" t="inlineStr">
        <is>
          <t>内容</t>
        </is>
      </c>
    </row>
    <row r="8">
      <c r="A8" s="6" t="inlineStr">
        <is>
          <t>1688</t>
        </is>
      </c>
      <c r="B8" s="6">
        <f>COUNTIF('供应商清单'!$F$5:$F$1204,A8)</f>
        <v/>
      </c>
      <c r="D8" s="6" t="inlineStr">
        <is>
          <t>服饰内衣</t>
        </is>
      </c>
      <c r="E8" s="6">
        <f>COUNTIF('供应商清单'!$C$5:$C$1204,D8)</f>
        <v/>
      </c>
      <c r="G8" s="6" t="inlineStr">
        <is>
          <t>数据性质</t>
        </is>
      </c>
      <c r="H8" s="6" t="inlineStr">
        <is>
          <t>虚构演示</t>
        </is>
      </c>
    </row>
    <row r="9">
      <c r="A9" s="6" t="inlineStr">
        <is>
          <t>义乌购</t>
        </is>
      </c>
      <c r="B9" s="6">
        <f>COUNTIF('供应商清单'!$F$5:$F$1204,A9)</f>
        <v/>
      </c>
      <c r="D9" s="6" t="inlineStr">
        <is>
          <t>家居日用</t>
        </is>
      </c>
      <c r="E9" s="6">
        <f>COUNTIF('供应商清单'!$C$5:$C$1204,D9)</f>
        <v/>
      </c>
      <c r="G9" s="6" t="inlineStr">
        <is>
          <t>适用场景</t>
        </is>
      </c>
      <c r="H9" s="6" t="inlineStr">
        <is>
          <t>录屏、剪辑、界面展示</t>
        </is>
      </c>
    </row>
    <row r="10">
      <c r="A10" s="6" t="inlineStr">
        <is>
          <t>中国制造网</t>
        </is>
      </c>
      <c r="B10" s="6">
        <f>COUNTIF('供应商清单'!$F$5:$F$1204,A10)</f>
        <v/>
      </c>
      <c r="D10" s="6" t="inlineStr">
        <is>
          <t>个护清洁</t>
        </is>
      </c>
      <c r="E10" s="6">
        <f>COUNTIF('供应商清单'!$C$5:$C$1204,D10)</f>
        <v/>
      </c>
      <c r="G10" s="6" t="inlineStr">
        <is>
          <t>不可用于</t>
        </is>
      </c>
      <c r="H10" s="6" t="inlineStr">
        <is>
          <t>真实采购与商家联络</t>
        </is>
      </c>
    </row>
    <row r="11">
      <c r="A11" s="6" t="inlineStr">
        <is>
          <t>慧聪网</t>
        </is>
      </c>
      <c r="B11" s="6">
        <f>COUNTIF('供应商清单'!$F$5:$F$1204,A11)</f>
        <v/>
      </c>
      <c r="D11" s="6" t="inlineStr">
        <is>
          <t>厨房用品</t>
        </is>
      </c>
      <c r="E11" s="6">
        <f>COUNTIF('供应商清单'!$C$5:$C$1204,D11)</f>
        <v/>
      </c>
      <c r="G11" s="6" t="inlineStr">
        <is>
          <t>建议画面</t>
        </is>
      </c>
      <c r="H11" s="6" t="inlineStr">
        <is>
          <t>先概览，再快速滚动清单</t>
        </is>
      </c>
    </row>
    <row r="12">
      <c r="A12" s="6" t="inlineStr">
        <is>
          <t>企业官网</t>
        </is>
      </c>
      <c r="B12" s="6">
        <f>COUNTIF('供应商清单'!$F$5:$F$1204,A12)</f>
        <v/>
      </c>
      <c r="D12" s="6" t="inlineStr">
        <is>
          <t>数码配件</t>
        </is>
      </c>
      <c r="E12" s="6">
        <f>COUNTIF('供应商清单'!$C$5:$C$1204,D12)</f>
        <v/>
      </c>
      <c r="G12" s="6" t="inlineStr">
        <is>
          <t>隐私处理</t>
        </is>
      </c>
      <c r="H12" s="6" t="inlineStr">
        <is>
          <t>可由创作者后期统一打码</t>
        </is>
      </c>
    </row>
    <row r="13">
      <c r="D13" s="6" t="inlineStr">
        <is>
          <t>宠物用品</t>
        </is>
      </c>
      <c r="E13" s="6">
        <f>COUNTIF('供应商清单'!$C$5:$C$1204,D13)</f>
        <v/>
      </c>
    </row>
    <row r="14">
      <c r="D14" s="6" t="inlineStr">
        <is>
          <t>母婴用品</t>
        </is>
      </c>
      <c r="E14" s="6">
        <f>COUNTIF('供应商清单'!$C$5:$C$1204,D14)</f>
        <v/>
      </c>
    </row>
    <row r="15">
      <c r="D15" s="6" t="inlineStr">
        <is>
          <t>运动户外</t>
        </is>
      </c>
      <c r="E15" s="6">
        <f>COUNTIF('供应商清单'!$C$5:$C$1204,D15)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8" customWidth="1" min="4" max="4"/>
    <col width="13" customWidth="1" min="5" max="5"/>
    <col width="12" customWidth="1" min="6" max="6"/>
    <col width="10" customWidth="1" min="7" max="7"/>
    <col width="18" customWidth="1" min="8" max="8"/>
    <col width="18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28" customWidth="1" min="15" max="15"/>
    <col width="36" customWidth="1" min="16" max="16"/>
    <col width="9" customWidth="1" min="17" max="17"/>
    <col width="10" customWidth="1" min="18" max="18"/>
    <col width="34" customWidth="1" min="19" max="19"/>
    <col width="12" customWidth="1" min="20" max="20"/>
    <col width="16" customWidth="1" min="21" max="21"/>
  </cols>
  <sheetData>
    <row r="1" ht="30" customHeight="1">
      <c r="A1" s="7" t="inlineStr">
        <is>
          <t>短视频带货供应商调研表｜1,200家演示数据</t>
        </is>
      </c>
    </row>
    <row r="2" ht="23" customHeight="1">
      <c r="A2" s="8" t="inlineStr">
        <is>
          <t>⚠ 本表仅用于录屏与剪辑展示；商家、联系方式和链接均为虚构演示数据，不可用于真实采购或联络。</t>
        </is>
      </c>
    </row>
    <row r="4" ht="30" customHeight="1">
      <c r="A4" s="9" t="inlineStr">
        <is>
          <t>编号</t>
        </is>
      </c>
      <c r="B4" s="9" t="inlineStr">
        <is>
          <t>供应商名称</t>
        </is>
      </c>
      <c r="C4" s="9" t="inlineStr">
        <is>
          <t>主营品类</t>
        </is>
      </c>
      <c r="D4" s="9" t="inlineStr">
        <is>
          <t>代表产品</t>
        </is>
      </c>
      <c r="E4" s="9" t="inlineStr">
        <is>
          <t>地区</t>
        </is>
      </c>
      <c r="F4" s="9" t="inlineStr">
        <is>
          <t>来源平台</t>
        </is>
      </c>
      <c r="G4" s="9" t="inlineStr">
        <is>
          <t>联系人</t>
        </is>
      </c>
      <c r="H4" s="9" t="inlineStr">
        <is>
          <t>公开电话（演示）</t>
        </is>
      </c>
      <c r="I4" s="9" t="inlineStr">
        <is>
          <t>微信（演示）</t>
        </is>
      </c>
      <c r="J4" s="9" t="inlineStr">
        <is>
          <t>最低价（元）</t>
        </is>
      </c>
      <c r="K4" s="9" t="inlineStr">
        <is>
          <t>最高价（元）</t>
        </is>
      </c>
      <c r="L4" s="9" t="inlineStr">
        <is>
          <t>起订量</t>
        </is>
      </c>
      <c r="M4" s="9" t="inlineStr">
        <is>
          <t>支持拿样</t>
        </is>
      </c>
      <c r="N4" s="9" t="inlineStr">
        <is>
          <t>支持定制</t>
        </is>
      </c>
      <c r="O4" s="9" t="inlineStr">
        <is>
          <t>邮箱（演示）</t>
        </is>
      </c>
      <c r="P4" s="9" t="inlineStr">
        <is>
          <t>来源链接（演示）</t>
        </is>
      </c>
      <c r="Q4" s="9" t="inlineStr">
        <is>
          <t>优先级</t>
        </is>
      </c>
      <c r="R4" s="9" t="inlineStr">
        <is>
          <t>综合评分</t>
        </is>
      </c>
      <c r="S4" s="9" t="inlineStr">
        <is>
          <t>推荐理由</t>
        </is>
      </c>
      <c r="T4" s="9" t="inlineStr">
        <is>
          <t>跟进状态</t>
        </is>
      </c>
      <c r="U4" s="9" t="inlineStr">
        <is>
          <t>数据属性</t>
        </is>
      </c>
    </row>
    <row r="5" ht="21" customHeight="1">
      <c r="A5" s="10" t="inlineStr">
        <is>
          <t>GYS-0001</t>
        </is>
      </c>
      <c r="B5" s="10" t="inlineStr">
        <is>
          <t>深圳服饰内衣供应链0001有限公司（演示）</t>
        </is>
      </c>
      <c r="C5" s="10" t="inlineStr">
        <is>
          <t>服饰内衣</t>
        </is>
      </c>
      <c r="D5" s="10" t="inlineStr">
        <is>
          <t>防滑袜</t>
        </is>
      </c>
      <c r="E5" s="10" t="inlineStr">
        <is>
          <t>广东深圳</t>
        </is>
      </c>
      <c r="F5" s="10" t="inlineStr">
        <is>
          <t>企业官网</t>
        </is>
      </c>
      <c r="G5" s="10" t="inlineStr">
        <is>
          <t>林经理</t>
        </is>
      </c>
      <c r="H5" s="10" t="inlineStr">
        <is>
          <t>000-0000-0001</t>
        </is>
      </c>
      <c r="I5" s="10" t="inlineStr">
        <is>
          <t>DEMO_GYS_0001</t>
        </is>
      </c>
      <c r="J5" s="11" t="n">
        <v>4.5</v>
      </c>
      <c r="K5" s="11" t="n">
        <v>9.6</v>
      </c>
      <c r="L5" s="12" t="n">
        <v>500</v>
      </c>
      <c r="M5" s="10" t="inlineStr">
        <is>
          <t>是</t>
        </is>
      </c>
      <c r="N5" s="10" t="inlineStr">
        <is>
          <t>是</t>
        </is>
      </c>
      <c r="O5" s="10" t="inlineStr">
        <is>
          <t>supplier0001@example.com</t>
        </is>
      </c>
      <c r="P5" s="10" t="inlineStr">
        <is>
          <t>https://example.com/supplier/0001</t>
        </is>
      </c>
      <c r="Q5" s="10">
        <f>IF(R5&gt;=85,"A",IF(R5&gt;=70,"B","C"))</f>
        <v/>
      </c>
      <c r="R5" s="13">
        <f>MIN(100,50+IF(M5="是",10,0)+IF(N5="是",10,0)+IF(L5&lt;=100,10,IF(L5&lt;=300,5,0))+IF(J5&lt;=20,10,IF(J5&lt;=50,5,0))+IF(K5-J5&lt;=20,5,0)+IF(F5="企业官网",5,0))</f>
        <v/>
      </c>
      <c r="S5" s="10">
        <f>IF(Q5="A","价格与起订量有优势，建议优先询盘",IF(Q5="B","条件较均衡，可作为备选","起订量或价格需要进一步确认"))</f>
        <v/>
      </c>
      <c r="T5" s="10" t="inlineStr">
        <is>
          <t>未联系</t>
        </is>
      </c>
      <c r="U5" s="10" t="inlineStr">
        <is>
          <t>虚构演示数据</t>
        </is>
      </c>
    </row>
    <row r="6" ht="21" customHeight="1">
      <c r="A6" s="10" t="inlineStr">
        <is>
          <t>GYS-0002</t>
        </is>
      </c>
      <c r="B6" s="10" t="inlineStr">
        <is>
          <t>佛山家居日用供应链0002有限公司（演示）</t>
        </is>
      </c>
      <c r="C6" s="10" t="inlineStr">
        <is>
          <t>家居日用</t>
        </is>
      </c>
      <c r="D6" s="10" t="inlineStr">
        <is>
          <t>折叠收纳箱</t>
        </is>
      </c>
      <c r="E6" s="10" t="inlineStr">
        <is>
          <t>广东佛山</t>
        </is>
      </c>
      <c r="F6" s="10" t="inlineStr">
        <is>
          <t>义乌购</t>
        </is>
      </c>
      <c r="G6" s="10" t="inlineStr">
        <is>
          <t>王经理</t>
        </is>
      </c>
      <c r="H6" s="10" t="inlineStr">
        <is>
          <t>000-0000-0002</t>
        </is>
      </c>
      <c r="I6" s="10" t="inlineStr">
        <is>
          <t>DEMO_GYS_0002</t>
        </is>
      </c>
      <c r="J6" s="11" t="n">
        <v>6.2</v>
      </c>
      <c r="K6" s="11" t="n">
        <v>12.4</v>
      </c>
      <c r="L6" s="12" t="n">
        <v>300</v>
      </c>
      <c r="M6" s="10" t="inlineStr">
        <is>
          <t>是</t>
        </is>
      </c>
      <c r="N6" s="10" t="inlineStr">
        <is>
          <t>是</t>
        </is>
      </c>
      <c r="O6" s="10" t="inlineStr">
        <is>
          <t>supplier0002@example.com</t>
        </is>
      </c>
      <c r="P6" s="10" t="inlineStr">
        <is>
          <t>https://example.com/supplier/0002</t>
        </is>
      </c>
      <c r="Q6" s="10">
        <f>IF(R6&gt;=85,"A",IF(R6&gt;=70,"B","C"))</f>
        <v/>
      </c>
      <c r="R6" s="13">
        <f>MIN(100,50+IF(M6="是",10,0)+IF(N6="是",10,0)+IF(L6&lt;=100,10,IF(L6&lt;=300,5,0))+IF(J6&lt;=20,10,IF(J6&lt;=50,5,0))+IF(K6-J6&lt;=20,5,0)+IF(F6="企业官网",5,0))</f>
        <v/>
      </c>
      <c r="S6" s="10">
        <f>IF(Q6="A","价格与起订量有优势，建议优先询盘",IF(Q6="B","条件较均衡，可作为备选","起订量或价格需要进一步确认"))</f>
        <v/>
      </c>
      <c r="T6" s="10" t="inlineStr">
        <is>
          <t>未联系</t>
        </is>
      </c>
      <c r="U6" s="10" t="inlineStr">
        <is>
          <t>虚构演示数据</t>
        </is>
      </c>
    </row>
    <row r="7" ht="21" customHeight="1">
      <c r="A7" s="10" t="inlineStr">
        <is>
          <t>GYS-0003</t>
        </is>
      </c>
      <c r="B7" s="10" t="inlineStr">
        <is>
          <t>苏州个护清洁供应链0003有限公司（演示）</t>
        </is>
      </c>
      <c r="C7" s="10" t="inlineStr">
        <is>
          <t>个护清洁</t>
        </is>
      </c>
      <c r="D7" s="10" t="inlineStr">
        <is>
          <t>便携洗脸巾</t>
        </is>
      </c>
      <c r="E7" s="10" t="inlineStr">
        <is>
          <t>江苏苏州</t>
        </is>
      </c>
      <c r="F7" s="10" t="inlineStr">
        <is>
          <t>慧聪网</t>
        </is>
      </c>
      <c r="G7" s="10" t="inlineStr">
        <is>
          <t>李经理</t>
        </is>
      </c>
      <c r="H7" s="10" t="inlineStr">
        <is>
          <t>000-0000-0003</t>
        </is>
      </c>
      <c r="I7" s="10" t="inlineStr">
        <is>
          <t>DEMO_GYS_0003</t>
        </is>
      </c>
      <c r="J7" s="11" t="n">
        <v>7.9</v>
      </c>
      <c r="K7" s="11" t="n">
        <v>15.2</v>
      </c>
      <c r="L7" s="12" t="n">
        <v>200</v>
      </c>
      <c r="M7" s="10" t="inlineStr">
        <is>
          <t>是</t>
        </is>
      </c>
      <c r="N7" s="10" t="inlineStr">
        <is>
          <t>否</t>
        </is>
      </c>
      <c r="O7" s="10" t="inlineStr">
        <is>
          <t>supplier0003@example.com</t>
        </is>
      </c>
      <c r="P7" s="10" t="inlineStr">
        <is>
          <t>https://example.com/supplier/0003</t>
        </is>
      </c>
      <c r="Q7" s="10">
        <f>IF(R7&gt;=85,"A",IF(R7&gt;=70,"B","C"))</f>
        <v/>
      </c>
      <c r="R7" s="13">
        <f>MIN(100,50+IF(M7="是",10,0)+IF(N7="是",10,0)+IF(L7&lt;=100,10,IF(L7&lt;=300,5,0))+IF(J7&lt;=20,10,IF(J7&lt;=50,5,0))+IF(K7-J7&lt;=20,5,0)+IF(F7="企业官网",5,0))</f>
        <v/>
      </c>
      <c r="S7" s="10">
        <f>IF(Q7="A","价格与起订量有优势，建议优先询盘",IF(Q7="B","条件较均衡，可作为备选","起订量或价格需要进一步确认"))</f>
        <v/>
      </c>
      <c r="T7" s="10" t="inlineStr">
        <is>
          <t>未联系</t>
        </is>
      </c>
      <c r="U7" s="10" t="inlineStr">
        <is>
          <t>虚构演示数据</t>
        </is>
      </c>
    </row>
    <row r="8" ht="21" customHeight="1">
      <c r="A8" s="10" t="inlineStr">
        <is>
          <t>GYS-0004</t>
        </is>
      </c>
      <c r="B8" s="10" t="inlineStr">
        <is>
          <t>白沟厨房用品供应链0004有限公司（演示）</t>
        </is>
      </c>
      <c r="C8" s="10" t="inlineStr">
        <is>
          <t>厨房用品</t>
        </is>
      </c>
      <c r="D8" s="10" t="inlineStr">
        <is>
          <t>硅胶保鲜盒</t>
        </is>
      </c>
      <c r="E8" s="10" t="inlineStr">
        <is>
          <t>河北白沟</t>
        </is>
      </c>
      <c r="F8" s="10" t="inlineStr">
        <is>
          <t>1688</t>
        </is>
      </c>
      <c r="G8" s="10" t="inlineStr">
        <is>
          <t>张经理</t>
        </is>
      </c>
      <c r="H8" s="10" t="inlineStr">
        <is>
          <t>000-0000-0004</t>
        </is>
      </c>
      <c r="I8" s="10" t="inlineStr">
        <is>
          <t>DEMO_GYS_0004</t>
        </is>
      </c>
      <c r="J8" s="11" t="n">
        <v>9.6</v>
      </c>
      <c r="K8" s="11" t="n">
        <v>18</v>
      </c>
      <c r="L8" s="12" t="n">
        <v>100</v>
      </c>
      <c r="M8" s="10" t="inlineStr">
        <is>
          <t>否</t>
        </is>
      </c>
      <c r="N8" s="10" t="inlineStr">
        <is>
          <t>是</t>
        </is>
      </c>
      <c r="O8" s="10" t="inlineStr">
        <is>
          <t>supplier0004@example.com</t>
        </is>
      </c>
      <c r="P8" s="10" t="inlineStr">
        <is>
          <t>https://example.com/supplier/0004</t>
        </is>
      </c>
      <c r="Q8" s="10">
        <f>IF(R8&gt;=85,"A",IF(R8&gt;=70,"B","C"))</f>
        <v/>
      </c>
      <c r="R8" s="13">
        <f>MIN(100,50+IF(M8="是",10,0)+IF(N8="是",10,0)+IF(L8&lt;=100,10,IF(L8&lt;=300,5,0))+IF(J8&lt;=20,10,IF(J8&lt;=50,5,0))+IF(K8-J8&lt;=20,5,0)+IF(F8="企业官网",5,0))</f>
        <v/>
      </c>
      <c r="S8" s="10">
        <f>IF(Q8="A","价格与起订量有优势，建议优先询盘",IF(Q8="B","条件较均衡，可作为备选","起订量或价格需要进一步确认"))</f>
        <v/>
      </c>
      <c r="T8" s="10" t="inlineStr">
        <is>
          <t>未联系</t>
        </is>
      </c>
      <c r="U8" s="10" t="inlineStr">
        <is>
          <t>虚构演示数据</t>
        </is>
      </c>
    </row>
    <row r="9" ht="21" customHeight="1">
      <c r="A9" s="10" t="inlineStr">
        <is>
          <t>GYS-0005</t>
        </is>
      </c>
      <c r="B9" s="10" t="inlineStr">
        <is>
          <t>义乌数码配件供应链0005有限公司（演示）</t>
        </is>
      </c>
      <c r="C9" s="10" t="inlineStr">
        <is>
          <t>数码配件</t>
        </is>
      </c>
      <c r="D9" s="10" t="inlineStr">
        <is>
          <t>磁吸手机支架</t>
        </is>
      </c>
      <c r="E9" s="10" t="inlineStr">
        <is>
          <t>浙江义乌</t>
        </is>
      </c>
      <c r="F9" s="10" t="inlineStr">
        <is>
          <t>中国制造网</t>
        </is>
      </c>
      <c r="G9" s="10" t="inlineStr">
        <is>
          <t>刘经理</t>
        </is>
      </c>
      <c r="H9" s="10" t="inlineStr">
        <is>
          <t>000-0000-0005</t>
        </is>
      </c>
      <c r="I9" s="10" t="inlineStr">
        <is>
          <t>DEMO_GYS_0005</t>
        </is>
      </c>
      <c r="J9" s="11" t="n">
        <v>11.3</v>
      </c>
      <c r="K9" s="11" t="n">
        <v>20.8</v>
      </c>
      <c r="L9" s="12" t="n">
        <v>50</v>
      </c>
      <c r="M9" s="10" t="inlineStr">
        <is>
          <t>是</t>
        </is>
      </c>
      <c r="N9" s="10" t="inlineStr">
        <is>
          <t>是</t>
        </is>
      </c>
      <c r="O9" s="10" t="inlineStr">
        <is>
          <t>supplier0005@example.com</t>
        </is>
      </c>
      <c r="P9" s="10" t="inlineStr">
        <is>
          <t>https://example.com/supplier/0005</t>
        </is>
      </c>
      <c r="Q9" s="10">
        <f>IF(R9&gt;=85,"A",IF(R9&gt;=70,"B","C"))</f>
        <v/>
      </c>
      <c r="R9" s="13">
        <f>MIN(100,50+IF(M9="是",10,0)+IF(N9="是",10,0)+IF(L9&lt;=100,10,IF(L9&lt;=300,5,0))+IF(J9&lt;=20,10,IF(J9&lt;=50,5,0))+IF(K9-J9&lt;=20,5,0)+IF(F9="企业官网",5,0))</f>
        <v/>
      </c>
      <c r="S9" s="10">
        <f>IF(Q9="A","价格与起订量有优势，建议优先询盘",IF(Q9="B","条件较均衡，可作为备选","起订量或价格需要进一步确认"))</f>
        <v/>
      </c>
      <c r="T9" s="10" t="inlineStr">
        <is>
          <t>未联系</t>
        </is>
      </c>
      <c r="U9" s="10" t="inlineStr">
        <is>
          <t>虚构演示数据</t>
        </is>
      </c>
    </row>
    <row r="10" ht="21" customHeight="1">
      <c r="A10" s="10" t="inlineStr">
        <is>
          <t>GYS-0006</t>
        </is>
      </c>
      <c r="B10" s="10" t="inlineStr">
        <is>
          <t>台州宠物用品供应链0006有限公司（演示）</t>
        </is>
      </c>
      <c r="C10" s="10" t="inlineStr">
        <is>
          <t>宠物用品</t>
        </is>
      </c>
      <c r="D10" s="10" t="inlineStr">
        <is>
          <t>宠物清洁手套</t>
        </is>
      </c>
      <c r="E10" s="10" t="inlineStr">
        <is>
          <t>浙江台州</t>
        </is>
      </c>
      <c r="F10" s="10" t="inlineStr">
        <is>
          <t>企业官网</t>
        </is>
      </c>
      <c r="G10" s="10" t="inlineStr">
        <is>
          <t>黄经理</t>
        </is>
      </c>
      <c r="H10" s="10" t="inlineStr">
        <is>
          <t>000-0000-0006</t>
        </is>
      </c>
      <c r="I10" s="10" t="inlineStr">
        <is>
          <t>DEMO_GYS_0006</t>
        </is>
      </c>
      <c r="J10" s="11" t="n">
        <v>13</v>
      </c>
      <c r="K10" s="11" t="n">
        <v>23.6</v>
      </c>
      <c r="L10" s="12" t="n">
        <v>20</v>
      </c>
      <c r="M10" s="10" t="inlineStr">
        <is>
          <t>是</t>
        </is>
      </c>
      <c r="N10" s="10" t="inlineStr">
        <is>
          <t>否</t>
        </is>
      </c>
      <c r="O10" s="10" t="inlineStr">
        <is>
          <t>supplier0006@example.com</t>
        </is>
      </c>
      <c r="P10" s="10" t="inlineStr">
        <is>
          <t>https://example.com/supplier/0006</t>
        </is>
      </c>
      <c r="Q10" s="10">
        <f>IF(R10&gt;=85,"A",IF(R10&gt;=70,"B","C"))</f>
        <v/>
      </c>
      <c r="R10" s="13">
        <f>MIN(100,50+IF(M10="是",10,0)+IF(N10="是",10,0)+IF(L10&lt;=100,10,IF(L10&lt;=300,5,0))+IF(J10&lt;=20,10,IF(J10&lt;=50,5,0))+IF(K10-J10&lt;=20,5,0)+IF(F10="企业官网",5,0))</f>
        <v/>
      </c>
      <c r="S10" s="10">
        <f>IF(Q10="A","价格与起订量有优势，建议优先询盘",IF(Q10="B","条件较均衡，可作为备选","起订量或价格需要进一步确认"))</f>
        <v/>
      </c>
      <c r="T10" s="10" t="inlineStr">
        <is>
          <t>未联系</t>
        </is>
      </c>
      <c r="U10" s="10" t="inlineStr">
        <is>
          <t>虚构演示数据</t>
        </is>
      </c>
    </row>
    <row r="11" ht="21" customHeight="1">
      <c r="A11" s="10" t="inlineStr">
        <is>
          <t>GYS-0007</t>
        </is>
      </c>
      <c r="B11" s="10" t="inlineStr">
        <is>
          <t>东莞母婴用品供应链0007有限公司（演示）</t>
        </is>
      </c>
      <c r="C11" s="10" t="inlineStr">
        <is>
          <t>母婴用品</t>
        </is>
      </c>
      <c r="D11" s="10" t="inlineStr">
        <is>
          <t>婴儿防撞条</t>
        </is>
      </c>
      <c r="E11" s="10" t="inlineStr">
        <is>
          <t>广东东莞</t>
        </is>
      </c>
      <c r="F11" s="10" t="inlineStr">
        <is>
          <t>义乌购</t>
        </is>
      </c>
      <c r="G11" s="10" t="inlineStr">
        <is>
          <t>赵经理</t>
        </is>
      </c>
      <c r="H11" s="10" t="inlineStr">
        <is>
          <t>000-0000-0007</t>
        </is>
      </c>
      <c r="I11" s="10" t="inlineStr">
        <is>
          <t>DEMO_GYS_0007</t>
        </is>
      </c>
      <c r="J11" s="11" t="n">
        <v>14.7</v>
      </c>
      <c r="K11" s="11" t="n">
        <v>26.4</v>
      </c>
      <c r="L11" s="12" t="n">
        <v>500</v>
      </c>
      <c r="M11" s="10" t="inlineStr">
        <is>
          <t>是</t>
        </is>
      </c>
      <c r="N11" s="10" t="inlineStr">
        <is>
          <t>是</t>
        </is>
      </c>
      <c r="O11" s="10" t="inlineStr">
        <is>
          <t>supplier0007@example.com</t>
        </is>
      </c>
      <c r="P11" s="10" t="inlineStr">
        <is>
          <t>https://example.com/supplier/0007</t>
        </is>
      </c>
      <c r="Q11" s="10">
        <f>IF(R11&gt;=85,"A",IF(R11&gt;=70,"B","C"))</f>
        <v/>
      </c>
      <c r="R11" s="13">
        <f>MIN(100,50+IF(M11="是",10,0)+IF(N11="是",10,0)+IF(L11&lt;=100,10,IF(L11&lt;=300,5,0))+IF(J11&lt;=20,10,IF(J11&lt;=50,5,0))+IF(K11-J11&lt;=20,5,0)+IF(F11="企业官网",5,0))</f>
        <v/>
      </c>
      <c r="S11" s="10">
        <f>IF(Q11="A","价格与起订量有优势，建议优先询盘",IF(Q11="B","条件较均衡，可作为备选","起订量或价格需要进一步确认"))</f>
        <v/>
      </c>
      <c r="T11" s="10" t="inlineStr">
        <is>
          <t>未联系</t>
        </is>
      </c>
      <c r="U11" s="10" t="inlineStr">
        <is>
          <t>虚构演示数据</t>
        </is>
      </c>
    </row>
    <row r="12" ht="21" customHeight="1">
      <c r="A12" s="10" t="inlineStr">
        <is>
          <t>GYS-0008</t>
        </is>
      </c>
      <c r="B12" s="10" t="inlineStr">
        <is>
          <t>厦门运动户外供应链0008有限公司（演示）</t>
        </is>
      </c>
      <c r="C12" s="10" t="inlineStr">
        <is>
          <t>运动户外</t>
        </is>
      </c>
      <c r="D12" s="10" t="inlineStr">
        <is>
          <t>弹力训练带</t>
        </is>
      </c>
      <c r="E12" s="10" t="inlineStr">
        <is>
          <t>福建厦门</t>
        </is>
      </c>
      <c r="F12" s="10" t="inlineStr">
        <is>
          <t>慧聪网</t>
        </is>
      </c>
      <c r="G12" s="10" t="inlineStr">
        <is>
          <t>周经理</t>
        </is>
      </c>
      <c r="H12" s="10" t="inlineStr">
        <is>
          <t>000-0000-0008</t>
        </is>
      </c>
      <c r="I12" s="10" t="inlineStr">
        <is>
          <t>DEMO_GYS_0008</t>
        </is>
      </c>
      <c r="J12" s="11" t="n">
        <v>16.4</v>
      </c>
      <c r="K12" s="11" t="n">
        <v>29.2</v>
      </c>
      <c r="L12" s="12" t="n">
        <v>300</v>
      </c>
      <c r="M12" s="10" t="inlineStr">
        <is>
          <t>否</t>
        </is>
      </c>
      <c r="N12" s="10" t="inlineStr">
        <is>
          <t>是</t>
        </is>
      </c>
      <c r="O12" s="10" t="inlineStr">
        <is>
          <t>supplier0008@example.com</t>
        </is>
      </c>
      <c r="P12" s="10" t="inlineStr">
        <is>
          <t>https://example.com/supplier/0008</t>
        </is>
      </c>
      <c r="Q12" s="10">
        <f>IF(R12&gt;=85,"A",IF(R12&gt;=70,"B","C"))</f>
        <v/>
      </c>
      <c r="R12" s="13">
        <f>MIN(100,50+IF(M12="是",10,0)+IF(N12="是",10,0)+IF(L12&lt;=100,10,IF(L12&lt;=300,5,0))+IF(J12&lt;=20,10,IF(J12&lt;=50,5,0))+IF(K12-J12&lt;=20,5,0)+IF(F12="企业官网",5,0))</f>
        <v/>
      </c>
      <c r="S12" s="10">
        <f>IF(Q12="A","价格与起订量有优势，建议优先询盘",IF(Q12="B","条件较均衡，可作为备选","起订量或价格需要进一步确认"))</f>
        <v/>
      </c>
      <c r="T12" s="10" t="inlineStr">
        <is>
          <t>未联系</t>
        </is>
      </c>
      <c r="U12" s="10" t="inlineStr">
        <is>
          <t>虚构演示数据</t>
        </is>
      </c>
    </row>
    <row r="13" ht="21" customHeight="1">
      <c r="A13" s="10" t="inlineStr">
        <is>
          <t>GYS-0009</t>
        </is>
      </c>
      <c r="B13" s="10" t="inlineStr">
        <is>
          <t>临沂办公文具供应链0009有限公司（演示）</t>
        </is>
      </c>
      <c r="C13" s="10" t="inlineStr">
        <is>
          <t>办公文具</t>
        </is>
      </c>
      <c r="D13" s="10" t="inlineStr">
        <is>
          <t>桌面收纳架</t>
        </is>
      </c>
      <c r="E13" s="10" t="inlineStr">
        <is>
          <t>山东临沂</t>
        </is>
      </c>
      <c r="F13" s="10" t="inlineStr">
        <is>
          <t>1688</t>
        </is>
      </c>
      <c r="G13" s="10" t="inlineStr">
        <is>
          <t>吴经理</t>
        </is>
      </c>
      <c r="H13" s="10" t="inlineStr">
        <is>
          <t>000-0000-0009</t>
        </is>
      </c>
      <c r="I13" s="10" t="inlineStr">
        <is>
          <t>DEMO_GYS_0009</t>
        </is>
      </c>
      <c r="J13" s="11" t="n">
        <v>18.1</v>
      </c>
      <c r="K13" s="11" t="n">
        <v>32</v>
      </c>
      <c r="L13" s="12" t="n">
        <v>200</v>
      </c>
      <c r="M13" s="10" t="inlineStr">
        <is>
          <t>是</t>
        </is>
      </c>
      <c r="N13" s="10" t="inlineStr">
        <is>
          <t>否</t>
        </is>
      </c>
      <c r="O13" s="10" t="inlineStr">
        <is>
          <t>supplier0009@example.com</t>
        </is>
      </c>
      <c r="P13" s="10" t="inlineStr">
        <is>
          <t>https://example.com/supplier/0009</t>
        </is>
      </c>
      <c r="Q13" s="10">
        <f>IF(R13&gt;=85,"A",IF(R13&gt;=70,"B","C"))</f>
        <v/>
      </c>
      <c r="R13" s="13">
        <f>MIN(100,50+IF(M13="是",10,0)+IF(N13="是",10,0)+IF(L13&lt;=100,10,IF(L13&lt;=300,5,0))+IF(J13&lt;=20,10,IF(J13&lt;=50,5,0))+IF(K13-J13&lt;=20,5,0)+IF(F13="企业官网",5,0))</f>
        <v/>
      </c>
      <c r="S13" s="10">
        <f>IF(Q13="A","价格与起订量有优势，建议优先询盘",IF(Q13="B","条件较均衡，可作为备选","起订量或价格需要进一步确认"))</f>
        <v/>
      </c>
      <c r="T13" s="10" t="inlineStr">
        <is>
          <t>未联系</t>
        </is>
      </c>
      <c r="U13" s="10" t="inlineStr">
        <is>
          <t>虚构演示数据</t>
        </is>
      </c>
    </row>
    <row r="14" ht="21" customHeight="1">
      <c r="A14" s="10" t="inlineStr">
        <is>
          <t>GYS-0010</t>
        </is>
      </c>
      <c r="B14" s="10" t="inlineStr">
        <is>
          <t>南昌汽车用品供应链0010有限公司（演示）</t>
        </is>
      </c>
      <c r="C14" s="10" t="inlineStr">
        <is>
          <t>汽车用品</t>
        </is>
      </c>
      <c r="D14" s="10" t="inlineStr">
        <is>
          <t>车载香薰</t>
        </is>
      </c>
      <c r="E14" s="10" t="inlineStr">
        <is>
          <t>江西南昌</t>
        </is>
      </c>
      <c r="F14" s="10" t="inlineStr">
        <is>
          <t>中国制造网</t>
        </is>
      </c>
      <c r="G14" s="10" t="inlineStr">
        <is>
          <t>陈经理</t>
        </is>
      </c>
      <c r="H14" s="10" t="inlineStr">
        <is>
          <t>000-0000-0010</t>
        </is>
      </c>
      <c r="I14" s="10" t="inlineStr">
        <is>
          <t>DEMO_GYS_0010</t>
        </is>
      </c>
      <c r="J14" s="11" t="n">
        <v>19.8</v>
      </c>
      <c r="K14" s="11" t="n">
        <v>34.8</v>
      </c>
      <c r="L14" s="12" t="n">
        <v>100</v>
      </c>
      <c r="M14" s="10" t="inlineStr">
        <is>
          <t>是</t>
        </is>
      </c>
      <c r="N14" s="10" t="inlineStr">
        <is>
          <t>是</t>
        </is>
      </c>
      <c r="O14" s="10" t="inlineStr">
        <is>
          <t>supplier0010@example.com</t>
        </is>
      </c>
      <c r="P14" s="10" t="inlineStr">
        <is>
          <t>https://example.com/supplier/0010</t>
        </is>
      </c>
      <c r="Q14" s="10">
        <f>IF(R14&gt;=85,"A",IF(R14&gt;=70,"B","C"))</f>
        <v/>
      </c>
      <c r="R14" s="13">
        <f>MIN(100,50+IF(M14="是",10,0)+IF(N14="是",10,0)+IF(L14&lt;=100,10,IF(L14&lt;=300,5,0))+IF(J14&lt;=20,10,IF(J14&lt;=50,5,0))+IF(K14-J14&lt;=20,5,0)+IF(F14="企业官网",5,0))</f>
        <v/>
      </c>
      <c r="S14" s="10">
        <f>IF(Q14="A","价格与起订量有优势，建议优先询盘",IF(Q14="B","条件较均衡，可作为备选","起订量或价格需要进一步确认"))</f>
        <v/>
      </c>
      <c r="T14" s="10" t="inlineStr">
        <is>
          <t>未联系</t>
        </is>
      </c>
      <c r="U14" s="10" t="inlineStr">
        <is>
          <t>虚构演示数据</t>
        </is>
      </c>
    </row>
    <row r="15" ht="21" customHeight="1">
      <c r="A15" s="10" t="inlineStr">
        <is>
          <t>GYS-0011</t>
        </is>
      </c>
      <c r="B15" s="10" t="inlineStr">
        <is>
          <t>温州美容工具供应链0011有限公司（演示）</t>
        </is>
      </c>
      <c r="C15" s="10" t="inlineStr">
        <is>
          <t>美容工具</t>
        </is>
      </c>
      <c r="D15" s="10" t="inlineStr">
        <is>
          <t>便携化妆镜</t>
        </is>
      </c>
      <c r="E15" s="10" t="inlineStr">
        <is>
          <t>浙江温州</t>
        </is>
      </c>
      <c r="F15" s="10" t="inlineStr">
        <is>
          <t>企业官网</t>
        </is>
      </c>
      <c r="G15" s="10" t="inlineStr">
        <is>
          <t>林经理</t>
        </is>
      </c>
      <c r="H15" s="10" t="inlineStr">
        <is>
          <t>000-0000-0011</t>
        </is>
      </c>
      <c r="I15" s="10" t="inlineStr">
        <is>
          <t>DEMO_GYS_0011</t>
        </is>
      </c>
      <c r="J15" s="11" t="n">
        <v>21.5</v>
      </c>
      <c r="K15" s="11" t="n">
        <v>37.6</v>
      </c>
      <c r="L15" s="12" t="n">
        <v>50</v>
      </c>
      <c r="M15" s="10" t="inlineStr">
        <is>
          <t>是</t>
        </is>
      </c>
      <c r="N15" s="10" t="inlineStr">
        <is>
          <t>是</t>
        </is>
      </c>
      <c r="O15" s="10" t="inlineStr">
        <is>
          <t>supplier0011@example.com</t>
        </is>
      </c>
      <c r="P15" s="10" t="inlineStr">
        <is>
          <t>https://example.com/supplier/0011</t>
        </is>
      </c>
      <c r="Q15" s="10">
        <f>IF(R15&gt;=85,"A",IF(R15&gt;=70,"B","C"))</f>
        <v/>
      </c>
      <c r="R15" s="13">
        <f>MIN(100,50+IF(M15="是",10,0)+IF(N15="是",10,0)+IF(L15&lt;=100,10,IF(L15&lt;=300,5,0))+IF(J15&lt;=20,10,IF(J15&lt;=50,5,0))+IF(K15-J15&lt;=20,5,0)+IF(F15="企业官网",5,0))</f>
        <v/>
      </c>
      <c r="S15" s="10">
        <f>IF(Q15="A","价格与起订量有优势，建议优先询盘",IF(Q15="B","条件较均衡，可作为备选","起订量或价格需要进一步确认"))</f>
        <v/>
      </c>
      <c r="T15" s="10" t="inlineStr">
        <is>
          <t>未联系</t>
        </is>
      </c>
      <c r="U15" s="10" t="inlineStr">
        <is>
          <t>虚构演示数据</t>
        </is>
      </c>
    </row>
    <row r="16" ht="21" customHeight="1">
      <c r="A16" s="10" t="inlineStr">
        <is>
          <t>GYS-0012</t>
        </is>
      </c>
      <c r="B16" s="10" t="inlineStr">
        <is>
          <t>广州旅行用品供应链0012有限公司（演示）</t>
        </is>
      </c>
      <c r="C16" s="10" t="inlineStr">
        <is>
          <t>旅行用品</t>
        </is>
      </c>
      <c r="D16" s="10" t="inlineStr">
        <is>
          <t>压缩收纳袋</t>
        </is>
      </c>
      <c r="E16" s="10" t="inlineStr">
        <is>
          <t>广东广州</t>
        </is>
      </c>
      <c r="F16" s="10" t="inlineStr">
        <is>
          <t>义乌购</t>
        </is>
      </c>
      <c r="G16" s="10" t="inlineStr">
        <is>
          <t>王经理</t>
        </is>
      </c>
      <c r="H16" s="10" t="inlineStr">
        <is>
          <t>000-0000-0012</t>
        </is>
      </c>
      <c r="I16" s="10" t="inlineStr">
        <is>
          <t>DEMO_GYS_0012</t>
        </is>
      </c>
      <c r="J16" s="11" t="n">
        <v>23.2</v>
      </c>
      <c r="K16" s="11" t="n">
        <v>40.4</v>
      </c>
      <c r="L16" s="12" t="n">
        <v>20</v>
      </c>
      <c r="M16" s="10" t="inlineStr">
        <is>
          <t>否</t>
        </is>
      </c>
      <c r="N16" s="10" t="inlineStr">
        <is>
          <t>否</t>
        </is>
      </c>
      <c r="O16" s="10" t="inlineStr">
        <is>
          <t>supplier0012@example.com</t>
        </is>
      </c>
      <c r="P16" s="10" t="inlineStr">
        <is>
          <t>https://example.com/supplier/0012</t>
        </is>
      </c>
      <c r="Q16" s="10">
        <f>IF(R16&gt;=85,"A",IF(R16&gt;=70,"B","C"))</f>
        <v/>
      </c>
      <c r="R16" s="13">
        <f>MIN(100,50+IF(M16="是",10,0)+IF(N16="是",10,0)+IF(L16&lt;=100,10,IF(L16&lt;=300,5,0))+IF(J16&lt;=20,10,IF(J16&lt;=50,5,0))+IF(K16-J16&lt;=20,5,0)+IF(F16="企业官网",5,0))</f>
        <v/>
      </c>
      <c r="S16" s="10">
        <f>IF(Q16="A","价格与起订量有优势，建议优先询盘",IF(Q16="B","条件较均衡，可作为备选","起订量或价格需要进一步确认"))</f>
        <v/>
      </c>
      <c r="T16" s="10" t="inlineStr">
        <is>
          <t>未联系</t>
        </is>
      </c>
      <c r="U16" s="10" t="inlineStr">
        <is>
          <t>虚构演示数据</t>
        </is>
      </c>
    </row>
    <row r="17" ht="21" customHeight="1">
      <c r="A17" s="10" t="inlineStr">
        <is>
          <t>GYS-0013</t>
        </is>
      </c>
      <c r="B17" s="10" t="inlineStr">
        <is>
          <t>泉州清洁工具供应链0013有限公司（演示）</t>
        </is>
      </c>
      <c r="C17" s="10" t="inlineStr">
        <is>
          <t>清洁工具</t>
        </is>
      </c>
      <c r="D17" s="10" t="inlineStr">
        <is>
          <t>免手洗拖把</t>
        </is>
      </c>
      <c r="E17" s="10" t="inlineStr">
        <is>
          <t>福建泉州</t>
        </is>
      </c>
      <c r="F17" s="10" t="inlineStr">
        <is>
          <t>慧聪网</t>
        </is>
      </c>
      <c r="G17" s="10" t="inlineStr">
        <is>
          <t>李经理</t>
        </is>
      </c>
      <c r="H17" s="10" t="inlineStr">
        <is>
          <t>000-0000-0013</t>
        </is>
      </c>
      <c r="I17" s="10" t="inlineStr">
        <is>
          <t>DEMO_GYS_0013</t>
        </is>
      </c>
      <c r="J17" s="11" t="n">
        <v>24.9</v>
      </c>
      <c r="K17" s="11" t="n">
        <v>43.2</v>
      </c>
      <c r="L17" s="12" t="n">
        <v>500</v>
      </c>
      <c r="M17" s="10" t="inlineStr">
        <is>
          <t>是</t>
        </is>
      </c>
      <c r="N17" s="10" t="inlineStr">
        <is>
          <t>是</t>
        </is>
      </c>
      <c r="O17" s="10" t="inlineStr">
        <is>
          <t>supplier0013@example.com</t>
        </is>
      </c>
      <c r="P17" s="10" t="inlineStr">
        <is>
          <t>https://example.com/supplier/0013</t>
        </is>
      </c>
      <c r="Q17" s="10">
        <f>IF(R17&gt;=85,"A",IF(R17&gt;=70,"B","C"))</f>
        <v/>
      </c>
      <c r="R17" s="13">
        <f>MIN(100,50+IF(M17="是",10,0)+IF(N17="是",10,0)+IF(L17&lt;=100,10,IF(L17&lt;=300,5,0))+IF(J17&lt;=20,10,IF(J17&lt;=50,5,0))+IF(K17-J17&lt;=20,5,0)+IF(F17="企业官网",5,0))</f>
        <v/>
      </c>
      <c r="S17" s="10">
        <f>IF(Q17="A","价格与起订量有优势，建议优先询盘",IF(Q17="B","条件较均衡，可作为备选","起订量或价格需要进一步确认"))</f>
        <v/>
      </c>
      <c r="T17" s="10" t="inlineStr">
        <is>
          <t>未联系</t>
        </is>
      </c>
      <c r="U17" s="10" t="inlineStr">
        <is>
          <t>虚构演示数据</t>
        </is>
      </c>
    </row>
    <row r="18" ht="21" customHeight="1">
      <c r="A18" s="10" t="inlineStr">
        <is>
          <t>GYS-0014</t>
        </is>
      </c>
      <c r="B18" s="10" t="inlineStr">
        <is>
          <t>南通小家电供应链0014有限公司（演示）</t>
        </is>
      </c>
      <c r="C18" s="10" t="inlineStr">
        <is>
          <t>小家电</t>
        </is>
      </c>
      <c r="D18" s="10" t="inlineStr">
        <is>
          <t>迷你加湿器</t>
        </is>
      </c>
      <c r="E18" s="10" t="inlineStr">
        <is>
          <t>江苏南通</t>
        </is>
      </c>
      <c r="F18" s="10" t="inlineStr">
        <is>
          <t>1688</t>
        </is>
      </c>
      <c r="G18" s="10" t="inlineStr">
        <is>
          <t>张经理</t>
        </is>
      </c>
      <c r="H18" s="10" t="inlineStr">
        <is>
          <t>000-0000-0014</t>
        </is>
      </c>
      <c r="I18" s="10" t="inlineStr">
        <is>
          <t>DEMO_GYS_0014</t>
        </is>
      </c>
      <c r="J18" s="11" t="n">
        <v>26.6</v>
      </c>
      <c r="K18" s="11" t="n">
        <v>46</v>
      </c>
      <c r="L18" s="12" t="n">
        <v>300</v>
      </c>
      <c r="M18" s="10" t="inlineStr">
        <is>
          <t>是</t>
        </is>
      </c>
      <c r="N18" s="10" t="inlineStr">
        <is>
          <t>是</t>
        </is>
      </c>
      <c r="O18" s="10" t="inlineStr">
        <is>
          <t>supplier0014@example.com</t>
        </is>
      </c>
      <c r="P18" s="10" t="inlineStr">
        <is>
          <t>https://example.com/supplier/0014</t>
        </is>
      </c>
      <c r="Q18" s="10">
        <f>IF(R18&gt;=85,"A",IF(R18&gt;=70,"B","C"))</f>
        <v/>
      </c>
      <c r="R18" s="13">
        <f>MIN(100,50+IF(M18="是",10,0)+IF(N18="是",10,0)+IF(L18&lt;=100,10,IF(L18&lt;=300,5,0))+IF(J18&lt;=20,10,IF(J18&lt;=50,5,0))+IF(K18-J18&lt;=20,5,0)+IF(F18="企业官网",5,0))</f>
        <v/>
      </c>
      <c r="S18" s="10">
        <f>IF(Q18="A","价格与起订量有优势，建议优先询盘",IF(Q18="B","条件较均衡，可作为备选","起订量或价格需要进一步确认"))</f>
        <v/>
      </c>
      <c r="T18" s="10" t="inlineStr">
        <is>
          <t>未联系</t>
        </is>
      </c>
      <c r="U18" s="10" t="inlineStr">
        <is>
          <t>虚构演示数据</t>
        </is>
      </c>
    </row>
    <row r="19" ht="21" customHeight="1">
      <c r="A19" s="10" t="inlineStr">
        <is>
          <t>GYS-0015</t>
        </is>
      </c>
      <c r="B19" s="10" t="inlineStr">
        <is>
          <t>郑州礼品包装供应链0015有限公司（演示）</t>
        </is>
      </c>
      <c r="C19" s="10" t="inlineStr">
        <is>
          <t>礼品包装</t>
        </is>
      </c>
      <c r="D19" s="10" t="inlineStr">
        <is>
          <t>节日礼盒</t>
        </is>
      </c>
      <c r="E19" s="10" t="inlineStr">
        <is>
          <t>河南郑州</t>
        </is>
      </c>
      <c r="F19" s="10" t="inlineStr">
        <is>
          <t>中国制造网</t>
        </is>
      </c>
      <c r="G19" s="10" t="inlineStr">
        <is>
          <t>刘经理</t>
        </is>
      </c>
      <c r="H19" s="10" t="inlineStr">
        <is>
          <t>000-0000-0015</t>
        </is>
      </c>
      <c r="I19" s="10" t="inlineStr">
        <is>
          <t>DEMO_GYS_0015</t>
        </is>
      </c>
      <c r="J19" s="11" t="n">
        <v>28.3</v>
      </c>
      <c r="K19" s="11" t="n">
        <v>48.8</v>
      </c>
      <c r="L19" s="12" t="n">
        <v>200</v>
      </c>
      <c r="M19" s="10" t="inlineStr">
        <is>
          <t>是</t>
        </is>
      </c>
      <c r="N19" s="10" t="inlineStr">
        <is>
          <t>否</t>
        </is>
      </c>
      <c r="O19" s="10" t="inlineStr">
        <is>
          <t>supplier0015@example.com</t>
        </is>
      </c>
      <c r="P19" s="10" t="inlineStr">
        <is>
          <t>https://example.com/supplier/0015</t>
        </is>
      </c>
      <c r="Q19" s="10">
        <f>IF(R19&gt;=85,"A",IF(R19&gt;=70,"B","C"))</f>
        <v/>
      </c>
      <c r="R19" s="13">
        <f>MIN(100,50+IF(M19="是",10,0)+IF(N19="是",10,0)+IF(L19&lt;=100,10,IF(L19&lt;=300,5,0))+IF(J19&lt;=20,10,IF(J19&lt;=50,5,0))+IF(K19-J19&lt;=20,5,0)+IF(F19="企业官网",5,0))</f>
        <v/>
      </c>
      <c r="S19" s="10">
        <f>IF(Q19="A","价格与起订量有优势，建议优先询盘",IF(Q19="B","条件较均衡，可作为备选","起订量或价格需要进一步确认"))</f>
        <v/>
      </c>
      <c r="T19" s="10" t="inlineStr">
        <is>
          <t>未联系</t>
        </is>
      </c>
      <c r="U19" s="10" t="inlineStr">
        <is>
          <t>虚构演示数据</t>
        </is>
      </c>
    </row>
    <row r="20" ht="21" customHeight="1">
      <c r="A20" s="10" t="inlineStr">
        <is>
          <t>GYS-0016</t>
        </is>
      </c>
      <c r="B20" s="10" t="inlineStr">
        <is>
          <t>宁波五金工具供应链0016有限公司（演示）</t>
        </is>
      </c>
      <c r="C20" s="10" t="inlineStr">
        <is>
          <t>五金工具</t>
        </is>
      </c>
      <c r="D20" s="10" t="inlineStr">
        <is>
          <t>多功能螺丝刀</t>
        </is>
      </c>
      <c r="E20" s="10" t="inlineStr">
        <is>
          <t>浙江宁波</t>
        </is>
      </c>
      <c r="F20" s="10" t="inlineStr">
        <is>
          <t>企业官网</t>
        </is>
      </c>
      <c r="G20" s="10" t="inlineStr">
        <is>
          <t>黄经理</t>
        </is>
      </c>
      <c r="H20" s="10" t="inlineStr">
        <is>
          <t>000-0000-0016</t>
        </is>
      </c>
      <c r="I20" s="10" t="inlineStr">
        <is>
          <t>DEMO_GYS_0016</t>
        </is>
      </c>
      <c r="J20" s="11" t="n">
        <v>30</v>
      </c>
      <c r="K20" s="11" t="n">
        <v>51.6</v>
      </c>
      <c r="L20" s="12" t="n">
        <v>100</v>
      </c>
      <c r="M20" s="10" t="inlineStr">
        <is>
          <t>否</t>
        </is>
      </c>
      <c r="N20" s="10" t="inlineStr">
        <is>
          <t>是</t>
        </is>
      </c>
      <c r="O20" s="10" t="inlineStr">
        <is>
          <t>supplier0016@example.com</t>
        </is>
      </c>
      <c r="P20" s="10" t="inlineStr">
        <is>
          <t>https://example.com/supplier/0016</t>
        </is>
      </c>
      <c r="Q20" s="10">
        <f>IF(R20&gt;=85,"A",IF(R20&gt;=70,"B","C"))</f>
        <v/>
      </c>
      <c r="R20" s="13">
        <f>MIN(100,50+IF(M20="是",10,0)+IF(N20="是",10,0)+IF(L20&lt;=100,10,IF(L20&lt;=300,5,0))+IF(J20&lt;=20,10,IF(J20&lt;=50,5,0))+IF(K20-J20&lt;=20,5,0)+IF(F20="企业官网",5,0))</f>
        <v/>
      </c>
      <c r="S20" s="10">
        <f>IF(Q20="A","价格与起订量有优势，建议优先询盘",IF(Q20="B","条件较均衡，可作为备选","起订量或价格需要进一步确认"))</f>
        <v/>
      </c>
      <c r="T20" s="10" t="inlineStr">
        <is>
          <t>未联系</t>
        </is>
      </c>
      <c r="U20" s="10" t="inlineStr">
        <is>
          <t>虚构演示数据</t>
        </is>
      </c>
    </row>
    <row r="21" ht="21" customHeight="1">
      <c r="A21" s="10" t="inlineStr">
        <is>
          <t>GYS-0017</t>
        </is>
      </c>
      <c r="B21" s="10" t="inlineStr">
        <is>
          <t>深圳鞋靴配件供应链0017有限公司（演示）</t>
        </is>
      </c>
      <c r="C21" s="10" t="inlineStr">
        <is>
          <t>鞋靴配件</t>
        </is>
      </c>
      <c r="D21" s="10" t="inlineStr">
        <is>
          <t>防磨脚贴</t>
        </is>
      </c>
      <c r="E21" s="10" t="inlineStr">
        <is>
          <t>广东深圳</t>
        </is>
      </c>
      <c r="F21" s="10" t="inlineStr">
        <is>
          <t>义乌购</t>
        </is>
      </c>
      <c r="G21" s="10" t="inlineStr">
        <is>
          <t>赵经理</t>
        </is>
      </c>
      <c r="H21" s="10" t="inlineStr">
        <is>
          <t>000-0000-0017</t>
        </is>
      </c>
      <c r="I21" s="10" t="inlineStr">
        <is>
          <t>DEMO_GYS_0017</t>
        </is>
      </c>
      <c r="J21" s="11" t="n">
        <v>31.7</v>
      </c>
      <c r="K21" s="11" t="n">
        <v>36.4</v>
      </c>
      <c r="L21" s="12" t="n">
        <v>50</v>
      </c>
      <c r="M21" s="10" t="inlineStr">
        <is>
          <t>是</t>
        </is>
      </c>
      <c r="N21" s="10" t="inlineStr">
        <is>
          <t>是</t>
        </is>
      </c>
      <c r="O21" s="10" t="inlineStr">
        <is>
          <t>supplier0017@example.com</t>
        </is>
      </c>
      <c r="P21" s="10" t="inlineStr">
        <is>
          <t>https://example.com/supplier/0017</t>
        </is>
      </c>
      <c r="Q21" s="10">
        <f>IF(R21&gt;=85,"A",IF(R21&gt;=70,"B","C"))</f>
        <v/>
      </c>
      <c r="R21" s="13">
        <f>MIN(100,50+IF(M21="是",10,0)+IF(N21="是",10,0)+IF(L21&lt;=100,10,IF(L21&lt;=300,5,0))+IF(J21&lt;=20,10,IF(J21&lt;=50,5,0))+IF(K21-J21&lt;=20,5,0)+IF(F21="企业官网",5,0))</f>
        <v/>
      </c>
      <c r="S21" s="10">
        <f>IF(Q21="A","价格与起订量有优势，建议优先询盘",IF(Q21="B","条件较均衡，可作为备选","起订量或价格需要进一步确认"))</f>
        <v/>
      </c>
      <c r="T21" s="10" t="inlineStr">
        <is>
          <t>未联系</t>
        </is>
      </c>
      <c r="U21" s="10" t="inlineStr">
        <is>
          <t>虚构演示数据</t>
        </is>
      </c>
    </row>
    <row r="22" ht="21" customHeight="1">
      <c r="A22" s="10" t="inlineStr">
        <is>
          <t>GYS-0018</t>
        </is>
      </c>
      <c r="B22" s="10" t="inlineStr">
        <is>
          <t>佛山食品包装供应链0018有限公司（演示）</t>
        </is>
      </c>
      <c r="C22" s="10" t="inlineStr">
        <is>
          <t>食品包装</t>
        </is>
      </c>
      <c r="D22" s="10" t="inlineStr">
        <is>
          <t>密封包装袋</t>
        </is>
      </c>
      <c r="E22" s="10" t="inlineStr">
        <is>
          <t>广东佛山</t>
        </is>
      </c>
      <c r="F22" s="10" t="inlineStr">
        <is>
          <t>慧聪网</t>
        </is>
      </c>
      <c r="G22" s="10" t="inlineStr">
        <is>
          <t>周经理</t>
        </is>
      </c>
      <c r="H22" s="10" t="inlineStr">
        <is>
          <t>000-0000-0018</t>
        </is>
      </c>
      <c r="I22" s="10" t="inlineStr">
        <is>
          <t>DEMO_GYS_0018</t>
        </is>
      </c>
      <c r="J22" s="11" t="n">
        <v>33.4</v>
      </c>
      <c r="K22" s="11" t="n">
        <v>39.2</v>
      </c>
      <c r="L22" s="12" t="n">
        <v>20</v>
      </c>
      <c r="M22" s="10" t="inlineStr">
        <is>
          <t>是</t>
        </is>
      </c>
      <c r="N22" s="10" t="inlineStr">
        <is>
          <t>否</t>
        </is>
      </c>
      <c r="O22" s="10" t="inlineStr">
        <is>
          <t>supplier0018@example.com</t>
        </is>
      </c>
      <c r="P22" s="10" t="inlineStr">
        <is>
          <t>https://example.com/supplier/0018</t>
        </is>
      </c>
      <c r="Q22" s="10">
        <f>IF(R22&gt;=85,"A",IF(R22&gt;=70,"B","C"))</f>
        <v/>
      </c>
      <c r="R22" s="13">
        <f>MIN(100,50+IF(M22="是",10,0)+IF(N22="是",10,0)+IF(L22&lt;=100,10,IF(L22&lt;=300,5,0))+IF(J22&lt;=20,10,IF(J22&lt;=50,5,0))+IF(K22-J22&lt;=20,5,0)+IF(F22="企业官网",5,0))</f>
        <v/>
      </c>
      <c r="S22" s="10">
        <f>IF(Q22="A","价格与起订量有优势，建议优先询盘",IF(Q22="B","条件较均衡，可作为备选","起订量或价格需要进一步确认"))</f>
        <v/>
      </c>
      <c r="T22" s="10" t="inlineStr">
        <is>
          <t>未联系</t>
        </is>
      </c>
      <c r="U22" s="10" t="inlineStr">
        <is>
          <t>虚构演示数据</t>
        </is>
      </c>
    </row>
    <row r="23" ht="21" customHeight="1">
      <c r="A23" s="10" t="inlineStr">
        <is>
          <t>GYS-0019</t>
        </is>
      </c>
      <c r="B23" s="10" t="inlineStr">
        <is>
          <t>苏州户外照明供应链0019有限公司（演示）</t>
        </is>
      </c>
      <c r="C23" s="10" t="inlineStr">
        <is>
          <t>户外照明</t>
        </is>
      </c>
      <c r="D23" s="10" t="inlineStr">
        <is>
          <t>便携露营灯</t>
        </is>
      </c>
      <c r="E23" s="10" t="inlineStr">
        <is>
          <t>江苏苏州</t>
        </is>
      </c>
      <c r="F23" s="10" t="inlineStr">
        <is>
          <t>1688</t>
        </is>
      </c>
      <c r="G23" s="10" t="inlineStr">
        <is>
          <t>吴经理</t>
        </is>
      </c>
      <c r="H23" s="10" t="inlineStr">
        <is>
          <t>000-0000-0019</t>
        </is>
      </c>
      <c r="I23" s="10" t="inlineStr">
        <is>
          <t>DEMO_GYS_0019</t>
        </is>
      </c>
      <c r="J23" s="11" t="n">
        <v>35.1</v>
      </c>
      <c r="K23" s="11" t="n">
        <v>42</v>
      </c>
      <c r="L23" s="12" t="n">
        <v>500</v>
      </c>
      <c r="M23" s="10" t="inlineStr">
        <is>
          <t>是</t>
        </is>
      </c>
      <c r="N23" s="10" t="inlineStr">
        <is>
          <t>是</t>
        </is>
      </c>
      <c r="O23" s="10" t="inlineStr">
        <is>
          <t>supplier0019@example.com</t>
        </is>
      </c>
      <c r="P23" s="10" t="inlineStr">
        <is>
          <t>https://example.com/supplier/0019</t>
        </is>
      </c>
      <c r="Q23" s="10">
        <f>IF(R23&gt;=85,"A",IF(R23&gt;=70,"B","C"))</f>
        <v/>
      </c>
      <c r="R23" s="13">
        <f>MIN(100,50+IF(M23="是",10,0)+IF(N23="是",10,0)+IF(L23&lt;=100,10,IF(L23&lt;=300,5,0))+IF(J23&lt;=20,10,IF(J23&lt;=50,5,0))+IF(K23-J23&lt;=20,5,0)+IF(F23="企业官网",5,0))</f>
        <v/>
      </c>
      <c r="S23" s="10">
        <f>IF(Q23="A","价格与起订量有优势，建议优先询盘",IF(Q23="B","条件较均衡，可作为备选","起订量或价格需要进一步确认"))</f>
        <v/>
      </c>
      <c r="T23" s="10" t="inlineStr">
        <is>
          <t>未联系</t>
        </is>
      </c>
      <c r="U23" s="10" t="inlineStr">
        <is>
          <t>虚构演示数据</t>
        </is>
      </c>
    </row>
    <row r="24" ht="21" customHeight="1">
      <c r="A24" s="10" t="inlineStr">
        <is>
          <t>GYS-0020</t>
        </is>
      </c>
      <c r="B24" s="10" t="inlineStr">
        <is>
          <t>白沟健康用品供应链0020有限公司（演示）</t>
        </is>
      </c>
      <c r="C24" s="10" t="inlineStr">
        <is>
          <t>健康用品</t>
        </is>
      </c>
      <c r="D24" s="10" t="inlineStr">
        <is>
          <t>热敷眼罩</t>
        </is>
      </c>
      <c r="E24" s="10" t="inlineStr">
        <is>
          <t>河北白沟</t>
        </is>
      </c>
      <c r="F24" s="10" t="inlineStr">
        <is>
          <t>中国制造网</t>
        </is>
      </c>
      <c r="G24" s="10" t="inlineStr">
        <is>
          <t>陈经理</t>
        </is>
      </c>
      <c r="H24" s="10" t="inlineStr">
        <is>
          <t>000-0000-0020</t>
        </is>
      </c>
      <c r="I24" s="10" t="inlineStr">
        <is>
          <t>DEMO_GYS_0020</t>
        </is>
      </c>
      <c r="J24" s="11" t="n">
        <v>36.8</v>
      </c>
      <c r="K24" s="11" t="n">
        <v>44.8</v>
      </c>
      <c r="L24" s="12" t="n">
        <v>300</v>
      </c>
      <c r="M24" s="10" t="inlineStr">
        <is>
          <t>否</t>
        </is>
      </c>
      <c r="N24" s="10" t="inlineStr">
        <is>
          <t>是</t>
        </is>
      </c>
      <c r="O24" s="10" t="inlineStr">
        <is>
          <t>supplier0020@example.com</t>
        </is>
      </c>
      <c r="P24" s="10" t="inlineStr">
        <is>
          <t>https://example.com/supplier/0020</t>
        </is>
      </c>
      <c r="Q24" s="10">
        <f>IF(R24&gt;=85,"A",IF(R24&gt;=70,"B","C"))</f>
        <v/>
      </c>
      <c r="R24" s="13">
        <f>MIN(100,50+IF(M24="是",10,0)+IF(N24="是",10,0)+IF(L24&lt;=100,10,IF(L24&lt;=300,5,0))+IF(J24&lt;=20,10,IF(J24&lt;=50,5,0))+IF(K24-J24&lt;=20,5,0)+IF(F24="企业官网",5,0))</f>
        <v/>
      </c>
      <c r="S24" s="10">
        <f>IF(Q24="A","价格与起订量有优势，建议优先询盘",IF(Q24="B","条件较均衡，可作为备选","起订量或价格需要进一步确认"))</f>
        <v/>
      </c>
      <c r="T24" s="10" t="inlineStr">
        <is>
          <t>未联系</t>
        </is>
      </c>
      <c r="U24" s="10" t="inlineStr">
        <is>
          <t>虚构演示数据</t>
        </is>
      </c>
    </row>
    <row r="25" ht="21" customHeight="1">
      <c r="A25" s="10" t="inlineStr">
        <is>
          <t>GYS-0021</t>
        </is>
      </c>
      <c r="B25" s="10" t="inlineStr">
        <is>
          <t>义乌服饰内衣供应链0021有限公司（演示）</t>
        </is>
      </c>
      <c r="C25" s="10" t="inlineStr">
        <is>
          <t>服饰内衣</t>
        </is>
      </c>
      <c r="D25" s="10" t="inlineStr">
        <is>
          <t>防滑袜</t>
        </is>
      </c>
      <c r="E25" s="10" t="inlineStr">
        <is>
          <t>浙江义乌</t>
        </is>
      </c>
      <c r="F25" s="10" t="inlineStr">
        <is>
          <t>企业官网</t>
        </is>
      </c>
      <c r="G25" s="10" t="inlineStr">
        <is>
          <t>林经理</t>
        </is>
      </c>
      <c r="H25" s="10" t="inlineStr">
        <is>
          <t>000-0000-0021</t>
        </is>
      </c>
      <c r="I25" s="10" t="inlineStr">
        <is>
          <t>DEMO_GYS_0021</t>
        </is>
      </c>
      <c r="J25" s="11" t="n">
        <v>38.5</v>
      </c>
      <c r="K25" s="11" t="n">
        <v>47.6</v>
      </c>
      <c r="L25" s="12" t="n">
        <v>200</v>
      </c>
      <c r="M25" s="10" t="inlineStr">
        <is>
          <t>是</t>
        </is>
      </c>
      <c r="N25" s="10" t="inlineStr">
        <is>
          <t>否</t>
        </is>
      </c>
      <c r="O25" s="10" t="inlineStr">
        <is>
          <t>supplier0021@example.com</t>
        </is>
      </c>
      <c r="P25" s="10" t="inlineStr">
        <is>
          <t>https://example.com/supplier/0021</t>
        </is>
      </c>
      <c r="Q25" s="10">
        <f>IF(R25&gt;=85,"A",IF(R25&gt;=70,"B","C"))</f>
        <v/>
      </c>
      <c r="R25" s="13">
        <f>MIN(100,50+IF(M25="是",10,0)+IF(N25="是",10,0)+IF(L25&lt;=100,10,IF(L25&lt;=300,5,0))+IF(J25&lt;=20,10,IF(J25&lt;=50,5,0))+IF(K25-J25&lt;=20,5,0)+IF(F25="企业官网",5,0))</f>
        <v/>
      </c>
      <c r="S25" s="10">
        <f>IF(Q25="A","价格与起订量有优势，建议优先询盘",IF(Q25="B","条件较均衡，可作为备选","起订量或价格需要进一步确认"))</f>
        <v/>
      </c>
      <c r="T25" s="10" t="inlineStr">
        <is>
          <t>未联系</t>
        </is>
      </c>
      <c r="U25" s="10" t="inlineStr">
        <is>
          <t>虚构演示数据</t>
        </is>
      </c>
    </row>
    <row r="26" ht="21" customHeight="1">
      <c r="A26" s="10" t="inlineStr">
        <is>
          <t>GYS-0022</t>
        </is>
      </c>
      <c r="B26" s="10" t="inlineStr">
        <is>
          <t>台州家居日用供应链0022有限公司（演示）</t>
        </is>
      </c>
      <c r="C26" s="10" t="inlineStr">
        <is>
          <t>家居日用</t>
        </is>
      </c>
      <c r="D26" s="10" t="inlineStr">
        <is>
          <t>折叠收纳箱</t>
        </is>
      </c>
      <c r="E26" s="10" t="inlineStr">
        <is>
          <t>浙江台州</t>
        </is>
      </c>
      <c r="F26" s="10" t="inlineStr">
        <is>
          <t>义乌购</t>
        </is>
      </c>
      <c r="G26" s="10" t="inlineStr">
        <is>
          <t>王经理</t>
        </is>
      </c>
      <c r="H26" s="10" t="inlineStr">
        <is>
          <t>000-0000-0022</t>
        </is>
      </c>
      <c r="I26" s="10" t="inlineStr">
        <is>
          <t>DEMO_GYS_0022</t>
        </is>
      </c>
      <c r="J26" s="11" t="n">
        <v>40.2</v>
      </c>
      <c r="K26" s="11" t="n">
        <v>50.4</v>
      </c>
      <c r="L26" s="12" t="n">
        <v>100</v>
      </c>
      <c r="M26" s="10" t="inlineStr">
        <is>
          <t>是</t>
        </is>
      </c>
      <c r="N26" s="10" t="inlineStr">
        <is>
          <t>是</t>
        </is>
      </c>
      <c r="O26" s="10" t="inlineStr">
        <is>
          <t>supplier0022@example.com</t>
        </is>
      </c>
      <c r="P26" s="10" t="inlineStr">
        <is>
          <t>https://example.com/supplier/0022</t>
        </is>
      </c>
      <c r="Q26" s="10">
        <f>IF(R26&gt;=85,"A",IF(R26&gt;=70,"B","C"))</f>
        <v/>
      </c>
      <c r="R26" s="13">
        <f>MIN(100,50+IF(M26="是",10,0)+IF(N26="是",10,0)+IF(L26&lt;=100,10,IF(L26&lt;=300,5,0))+IF(J26&lt;=20,10,IF(J26&lt;=50,5,0))+IF(K26-J26&lt;=20,5,0)+IF(F26="企业官网",5,0))</f>
        <v/>
      </c>
      <c r="S26" s="10">
        <f>IF(Q26="A","价格与起订量有优势，建议优先询盘",IF(Q26="B","条件较均衡，可作为备选","起订量或价格需要进一步确认"))</f>
        <v/>
      </c>
      <c r="T26" s="10" t="inlineStr">
        <is>
          <t>未联系</t>
        </is>
      </c>
      <c r="U26" s="10" t="inlineStr">
        <is>
          <t>虚构演示数据</t>
        </is>
      </c>
    </row>
    <row r="27" ht="21" customHeight="1">
      <c r="A27" s="10" t="inlineStr">
        <is>
          <t>GYS-0023</t>
        </is>
      </c>
      <c r="B27" s="10" t="inlineStr">
        <is>
          <t>东莞个护清洁供应链0023有限公司（演示）</t>
        </is>
      </c>
      <c r="C27" s="10" t="inlineStr">
        <is>
          <t>个护清洁</t>
        </is>
      </c>
      <c r="D27" s="10" t="inlineStr">
        <is>
          <t>便携洗脸巾</t>
        </is>
      </c>
      <c r="E27" s="10" t="inlineStr">
        <is>
          <t>广东东莞</t>
        </is>
      </c>
      <c r="F27" s="10" t="inlineStr">
        <is>
          <t>慧聪网</t>
        </is>
      </c>
      <c r="G27" s="10" t="inlineStr">
        <is>
          <t>李经理</t>
        </is>
      </c>
      <c r="H27" s="10" t="inlineStr">
        <is>
          <t>000-0000-0023</t>
        </is>
      </c>
      <c r="I27" s="10" t="inlineStr">
        <is>
          <t>DEMO_GYS_0023</t>
        </is>
      </c>
      <c r="J27" s="11" t="n">
        <v>41.9</v>
      </c>
      <c r="K27" s="11" t="n">
        <v>53.2</v>
      </c>
      <c r="L27" s="12" t="n">
        <v>50</v>
      </c>
      <c r="M27" s="10" t="inlineStr">
        <is>
          <t>是</t>
        </is>
      </c>
      <c r="N27" s="10" t="inlineStr">
        <is>
          <t>是</t>
        </is>
      </c>
      <c r="O27" s="10" t="inlineStr">
        <is>
          <t>supplier0023@example.com</t>
        </is>
      </c>
      <c r="P27" s="10" t="inlineStr">
        <is>
          <t>https://example.com/supplier/0023</t>
        </is>
      </c>
      <c r="Q27" s="10">
        <f>IF(R27&gt;=85,"A",IF(R27&gt;=70,"B","C"))</f>
        <v/>
      </c>
      <c r="R27" s="13">
        <f>MIN(100,50+IF(M27="是",10,0)+IF(N27="是",10,0)+IF(L27&lt;=100,10,IF(L27&lt;=300,5,0))+IF(J27&lt;=20,10,IF(J27&lt;=50,5,0))+IF(K27-J27&lt;=20,5,0)+IF(F27="企业官网",5,0))</f>
        <v/>
      </c>
      <c r="S27" s="10">
        <f>IF(Q27="A","价格与起订量有优势，建议优先询盘",IF(Q27="B","条件较均衡，可作为备选","起订量或价格需要进一步确认"))</f>
        <v/>
      </c>
      <c r="T27" s="10" t="inlineStr">
        <is>
          <t>未联系</t>
        </is>
      </c>
      <c r="U27" s="10" t="inlineStr">
        <is>
          <t>虚构演示数据</t>
        </is>
      </c>
    </row>
    <row r="28" ht="21" customHeight="1">
      <c r="A28" s="10" t="inlineStr">
        <is>
          <t>GYS-0024</t>
        </is>
      </c>
      <c r="B28" s="10" t="inlineStr">
        <is>
          <t>厦门厨房用品供应链0024有限公司（演示）</t>
        </is>
      </c>
      <c r="C28" s="10" t="inlineStr">
        <is>
          <t>厨房用品</t>
        </is>
      </c>
      <c r="D28" s="10" t="inlineStr">
        <is>
          <t>硅胶保鲜盒</t>
        </is>
      </c>
      <c r="E28" s="10" t="inlineStr">
        <is>
          <t>福建厦门</t>
        </is>
      </c>
      <c r="F28" s="10" t="inlineStr">
        <is>
          <t>1688</t>
        </is>
      </c>
      <c r="G28" s="10" t="inlineStr">
        <is>
          <t>张经理</t>
        </is>
      </c>
      <c r="H28" s="10" t="inlineStr">
        <is>
          <t>000-0000-0024</t>
        </is>
      </c>
      <c r="I28" s="10" t="inlineStr">
        <is>
          <t>DEMO_GYS_0024</t>
        </is>
      </c>
      <c r="J28" s="11" t="n">
        <v>43.6</v>
      </c>
      <c r="K28" s="11" t="n">
        <v>56</v>
      </c>
      <c r="L28" s="12" t="n">
        <v>20</v>
      </c>
      <c r="M28" s="10" t="inlineStr">
        <is>
          <t>否</t>
        </is>
      </c>
      <c r="N28" s="10" t="inlineStr">
        <is>
          <t>否</t>
        </is>
      </c>
      <c r="O28" s="10" t="inlineStr">
        <is>
          <t>supplier0024@example.com</t>
        </is>
      </c>
      <c r="P28" s="10" t="inlineStr">
        <is>
          <t>https://example.com/supplier/0024</t>
        </is>
      </c>
      <c r="Q28" s="10">
        <f>IF(R28&gt;=85,"A",IF(R28&gt;=70,"B","C"))</f>
        <v/>
      </c>
      <c r="R28" s="13">
        <f>MIN(100,50+IF(M28="是",10,0)+IF(N28="是",10,0)+IF(L28&lt;=100,10,IF(L28&lt;=300,5,0))+IF(J28&lt;=20,10,IF(J28&lt;=50,5,0))+IF(K28-J28&lt;=20,5,0)+IF(F28="企业官网",5,0))</f>
        <v/>
      </c>
      <c r="S28" s="10">
        <f>IF(Q28="A","价格与起订量有优势，建议优先询盘",IF(Q28="B","条件较均衡，可作为备选","起订量或价格需要进一步确认"))</f>
        <v/>
      </c>
      <c r="T28" s="10" t="inlineStr">
        <is>
          <t>未联系</t>
        </is>
      </c>
      <c r="U28" s="10" t="inlineStr">
        <is>
          <t>虚构演示数据</t>
        </is>
      </c>
    </row>
    <row r="29" ht="21" customHeight="1">
      <c r="A29" s="10" t="inlineStr">
        <is>
          <t>GYS-0025</t>
        </is>
      </c>
      <c r="B29" s="10" t="inlineStr">
        <is>
          <t>临沂数码配件供应链0025有限公司（演示）</t>
        </is>
      </c>
      <c r="C29" s="10" t="inlineStr">
        <is>
          <t>数码配件</t>
        </is>
      </c>
      <c r="D29" s="10" t="inlineStr">
        <is>
          <t>磁吸手机支架</t>
        </is>
      </c>
      <c r="E29" s="10" t="inlineStr">
        <is>
          <t>山东临沂</t>
        </is>
      </c>
      <c r="F29" s="10" t="inlineStr">
        <is>
          <t>中国制造网</t>
        </is>
      </c>
      <c r="G29" s="10" t="inlineStr">
        <is>
          <t>刘经理</t>
        </is>
      </c>
      <c r="H29" s="10" t="inlineStr">
        <is>
          <t>000-0000-0025</t>
        </is>
      </c>
      <c r="I29" s="10" t="inlineStr">
        <is>
          <t>DEMO_GYS_0025</t>
        </is>
      </c>
      <c r="J29" s="11" t="n">
        <v>45.3</v>
      </c>
      <c r="K29" s="11" t="n">
        <v>58.8</v>
      </c>
      <c r="L29" s="12" t="n">
        <v>500</v>
      </c>
      <c r="M29" s="10" t="inlineStr">
        <is>
          <t>是</t>
        </is>
      </c>
      <c r="N29" s="10" t="inlineStr">
        <is>
          <t>是</t>
        </is>
      </c>
      <c r="O29" s="10" t="inlineStr">
        <is>
          <t>supplier0025@example.com</t>
        </is>
      </c>
      <c r="P29" s="10" t="inlineStr">
        <is>
          <t>https://example.com/supplier/0025</t>
        </is>
      </c>
      <c r="Q29" s="10">
        <f>IF(R29&gt;=85,"A",IF(R29&gt;=70,"B","C"))</f>
        <v/>
      </c>
      <c r="R29" s="13">
        <f>MIN(100,50+IF(M29="是",10,0)+IF(N29="是",10,0)+IF(L29&lt;=100,10,IF(L29&lt;=300,5,0))+IF(J29&lt;=20,10,IF(J29&lt;=50,5,0))+IF(K29-J29&lt;=20,5,0)+IF(F29="企业官网",5,0))</f>
        <v/>
      </c>
      <c r="S29" s="10">
        <f>IF(Q29="A","价格与起订量有优势，建议优先询盘",IF(Q29="B","条件较均衡，可作为备选","起订量或价格需要进一步确认"))</f>
        <v/>
      </c>
      <c r="T29" s="10" t="inlineStr">
        <is>
          <t>未联系</t>
        </is>
      </c>
      <c r="U29" s="10" t="inlineStr">
        <is>
          <t>虚构演示数据</t>
        </is>
      </c>
    </row>
    <row r="30" ht="21" customHeight="1">
      <c r="A30" s="10" t="inlineStr">
        <is>
          <t>GYS-0026</t>
        </is>
      </c>
      <c r="B30" s="10" t="inlineStr">
        <is>
          <t>南昌宠物用品供应链0026有限公司（演示）</t>
        </is>
      </c>
      <c r="C30" s="10" t="inlineStr">
        <is>
          <t>宠物用品</t>
        </is>
      </c>
      <c r="D30" s="10" t="inlineStr">
        <is>
          <t>宠物清洁手套</t>
        </is>
      </c>
      <c r="E30" s="10" t="inlineStr">
        <is>
          <t>江西南昌</t>
        </is>
      </c>
      <c r="F30" s="10" t="inlineStr">
        <is>
          <t>企业官网</t>
        </is>
      </c>
      <c r="G30" s="10" t="inlineStr">
        <is>
          <t>黄经理</t>
        </is>
      </c>
      <c r="H30" s="10" t="inlineStr">
        <is>
          <t>000-0000-0026</t>
        </is>
      </c>
      <c r="I30" s="10" t="inlineStr">
        <is>
          <t>DEMO_GYS_0026</t>
        </is>
      </c>
      <c r="J30" s="11" t="n">
        <v>47</v>
      </c>
      <c r="K30" s="11" t="n">
        <v>61.6</v>
      </c>
      <c r="L30" s="12" t="n">
        <v>300</v>
      </c>
      <c r="M30" s="10" t="inlineStr">
        <is>
          <t>是</t>
        </is>
      </c>
      <c r="N30" s="10" t="inlineStr">
        <is>
          <t>是</t>
        </is>
      </c>
      <c r="O30" s="10" t="inlineStr">
        <is>
          <t>supplier0026@example.com</t>
        </is>
      </c>
      <c r="P30" s="10" t="inlineStr">
        <is>
          <t>https://example.com/supplier/0026</t>
        </is>
      </c>
      <c r="Q30" s="10">
        <f>IF(R30&gt;=85,"A",IF(R30&gt;=70,"B","C"))</f>
        <v/>
      </c>
      <c r="R30" s="13">
        <f>MIN(100,50+IF(M30="是",10,0)+IF(N30="是",10,0)+IF(L30&lt;=100,10,IF(L30&lt;=300,5,0))+IF(J30&lt;=20,10,IF(J30&lt;=50,5,0))+IF(K30-J30&lt;=20,5,0)+IF(F30="企业官网",5,0))</f>
        <v/>
      </c>
      <c r="S30" s="10">
        <f>IF(Q30="A","价格与起订量有优势，建议优先询盘",IF(Q30="B","条件较均衡，可作为备选","起订量或价格需要进一步确认"))</f>
        <v/>
      </c>
      <c r="T30" s="10" t="inlineStr">
        <is>
          <t>未联系</t>
        </is>
      </c>
      <c r="U30" s="10" t="inlineStr">
        <is>
          <t>虚构演示数据</t>
        </is>
      </c>
    </row>
    <row r="31" ht="21" customHeight="1">
      <c r="A31" s="10" t="inlineStr">
        <is>
          <t>GYS-0027</t>
        </is>
      </c>
      <c r="B31" s="10" t="inlineStr">
        <is>
          <t>温州母婴用品供应链0027有限公司（演示）</t>
        </is>
      </c>
      <c r="C31" s="10" t="inlineStr">
        <is>
          <t>母婴用品</t>
        </is>
      </c>
      <c r="D31" s="10" t="inlineStr">
        <is>
          <t>婴儿防撞条</t>
        </is>
      </c>
      <c r="E31" s="10" t="inlineStr">
        <is>
          <t>浙江温州</t>
        </is>
      </c>
      <c r="F31" s="10" t="inlineStr">
        <is>
          <t>义乌购</t>
        </is>
      </c>
      <c r="G31" s="10" t="inlineStr">
        <is>
          <t>赵经理</t>
        </is>
      </c>
      <c r="H31" s="10" t="inlineStr">
        <is>
          <t>000-0000-0027</t>
        </is>
      </c>
      <c r="I31" s="10" t="inlineStr">
        <is>
          <t>DEMO_GYS_0027</t>
        </is>
      </c>
      <c r="J31" s="11" t="n">
        <v>48.7</v>
      </c>
      <c r="K31" s="11" t="n">
        <v>64.40000000000001</v>
      </c>
      <c r="L31" s="12" t="n">
        <v>200</v>
      </c>
      <c r="M31" s="10" t="inlineStr">
        <is>
          <t>是</t>
        </is>
      </c>
      <c r="N31" s="10" t="inlineStr">
        <is>
          <t>否</t>
        </is>
      </c>
      <c r="O31" s="10" t="inlineStr">
        <is>
          <t>supplier0027@example.com</t>
        </is>
      </c>
      <c r="P31" s="10" t="inlineStr">
        <is>
          <t>https://example.com/supplier/0027</t>
        </is>
      </c>
      <c r="Q31" s="10">
        <f>IF(R31&gt;=85,"A",IF(R31&gt;=70,"B","C"))</f>
        <v/>
      </c>
      <c r="R31" s="13">
        <f>MIN(100,50+IF(M31="是",10,0)+IF(N31="是",10,0)+IF(L31&lt;=100,10,IF(L31&lt;=300,5,0))+IF(J31&lt;=20,10,IF(J31&lt;=50,5,0))+IF(K31-J31&lt;=20,5,0)+IF(F31="企业官网",5,0))</f>
        <v/>
      </c>
      <c r="S31" s="10">
        <f>IF(Q31="A","价格与起订量有优势，建议优先询盘",IF(Q31="B","条件较均衡，可作为备选","起订量或价格需要进一步确认"))</f>
        <v/>
      </c>
      <c r="T31" s="10" t="inlineStr">
        <is>
          <t>未联系</t>
        </is>
      </c>
      <c r="U31" s="10" t="inlineStr">
        <is>
          <t>虚构演示数据</t>
        </is>
      </c>
    </row>
    <row r="32" ht="21" customHeight="1">
      <c r="A32" s="10" t="inlineStr">
        <is>
          <t>GYS-0028</t>
        </is>
      </c>
      <c r="B32" s="10" t="inlineStr">
        <is>
          <t>广州运动户外供应链0028有限公司（演示）</t>
        </is>
      </c>
      <c r="C32" s="10" t="inlineStr">
        <is>
          <t>运动户外</t>
        </is>
      </c>
      <c r="D32" s="10" t="inlineStr">
        <is>
          <t>弹力训练带</t>
        </is>
      </c>
      <c r="E32" s="10" t="inlineStr">
        <is>
          <t>广东广州</t>
        </is>
      </c>
      <c r="F32" s="10" t="inlineStr">
        <is>
          <t>慧聪网</t>
        </is>
      </c>
      <c r="G32" s="10" t="inlineStr">
        <is>
          <t>周经理</t>
        </is>
      </c>
      <c r="H32" s="10" t="inlineStr">
        <is>
          <t>000-0000-0028</t>
        </is>
      </c>
      <c r="I32" s="10" t="inlineStr">
        <is>
          <t>DEMO_GYS_0028</t>
        </is>
      </c>
      <c r="J32" s="11" t="n">
        <v>4.4</v>
      </c>
      <c r="K32" s="11" t="n">
        <v>21.2</v>
      </c>
      <c r="L32" s="12" t="n">
        <v>100</v>
      </c>
      <c r="M32" s="10" t="inlineStr">
        <is>
          <t>否</t>
        </is>
      </c>
      <c r="N32" s="10" t="inlineStr">
        <is>
          <t>是</t>
        </is>
      </c>
      <c r="O32" s="10" t="inlineStr">
        <is>
          <t>supplier0028@example.com</t>
        </is>
      </c>
      <c r="P32" s="10" t="inlineStr">
        <is>
          <t>https://example.com/supplier/0028</t>
        </is>
      </c>
      <c r="Q32" s="10">
        <f>IF(R32&gt;=85,"A",IF(R32&gt;=70,"B","C"))</f>
        <v/>
      </c>
      <c r="R32" s="13">
        <f>MIN(100,50+IF(M32="是",10,0)+IF(N32="是",10,0)+IF(L32&lt;=100,10,IF(L32&lt;=300,5,0))+IF(J32&lt;=20,10,IF(J32&lt;=50,5,0))+IF(K32-J32&lt;=20,5,0)+IF(F32="企业官网",5,0))</f>
        <v/>
      </c>
      <c r="S32" s="10">
        <f>IF(Q32="A","价格与起订量有优势，建议优先询盘",IF(Q32="B","条件较均衡，可作为备选","起订量或价格需要进一步确认"))</f>
        <v/>
      </c>
      <c r="T32" s="10" t="inlineStr">
        <is>
          <t>未联系</t>
        </is>
      </c>
      <c r="U32" s="10" t="inlineStr">
        <is>
          <t>虚构演示数据</t>
        </is>
      </c>
    </row>
    <row r="33" ht="21" customHeight="1">
      <c r="A33" s="10" t="inlineStr">
        <is>
          <t>GYS-0029</t>
        </is>
      </c>
      <c r="B33" s="10" t="inlineStr">
        <is>
          <t>泉州办公文具供应链0029有限公司（演示）</t>
        </is>
      </c>
      <c r="C33" s="10" t="inlineStr">
        <is>
          <t>办公文具</t>
        </is>
      </c>
      <c r="D33" s="10" t="inlineStr">
        <is>
          <t>桌面收纳架</t>
        </is>
      </c>
      <c r="E33" s="10" t="inlineStr">
        <is>
          <t>福建泉州</t>
        </is>
      </c>
      <c r="F33" s="10" t="inlineStr">
        <is>
          <t>1688</t>
        </is>
      </c>
      <c r="G33" s="10" t="inlineStr">
        <is>
          <t>吴经理</t>
        </is>
      </c>
      <c r="H33" s="10" t="inlineStr">
        <is>
          <t>000-0000-0029</t>
        </is>
      </c>
      <c r="I33" s="10" t="inlineStr">
        <is>
          <t>DEMO_GYS_0029</t>
        </is>
      </c>
      <c r="J33" s="11" t="n">
        <v>6.1</v>
      </c>
      <c r="K33" s="11" t="n">
        <v>24</v>
      </c>
      <c r="L33" s="12" t="n">
        <v>50</v>
      </c>
      <c r="M33" s="10" t="inlineStr">
        <is>
          <t>是</t>
        </is>
      </c>
      <c r="N33" s="10" t="inlineStr">
        <is>
          <t>是</t>
        </is>
      </c>
      <c r="O33" s="10" t="inlineStr">
        <is>
          <t>supplier0029@example.com</t>
        </is>
      </c>
      <c r="P33" s="10" t="inlineStr">
        <is>
          <t>https://example.com/supplier/0029</t>
        </is>
      </c>
      <c r="Q33" s="10">
        <f>IF(R33&gt;=85,"A",IF(R33&gt;=70,"B","C"))</f>
        <v/>
      </c>
      <c r="R33" s="13">
        <f>MIN(100,50+IF(M33="是",10,0)+IF(N33="是",10,0)+IF(L33&lt;=100,10,IF(L33&lt;=300,5,0))+IF(J33&lt;=20,10,IF(J33&lt;=50,5,0))+IF(K33-J33&lt;=20,5,0)+IF(F33="企业官网",5,0))</f>
        <v/>
      </c>
      <c r="S33" s="10">
        <f>IF(Q33="A","价格与起订量有优势，建议优先询盘",IF(Q33="B","条件较均衡，可作为备选","起订量或价格需要进一步确认"))</f>
        <v/>
      </c>
      <c r="T33" s="10" t="inlineStr">
        <is>
          <t>未联系</t>
        </is>
      </c>
      <c r="U33" s="10" t="inlineStr">
        <is>
          <t>虚构演示数据</t>
        </is>
      </c>
    </row>
    <row r="34" ht="21" customHeight="1">
      <c r="A34" s="10" t="inlineStr">
        <is>
          <t>GYS-0030</t>
        </is>
      </c>
      <c r="B34" s="10" t="inlineStr">
        <is>
          <t>南通汽车用品供应链0030有限公司（演示）</t>
        </is>
      </c>
      <c r="C34" s="10" t="inlineStr">
        <is>
          <t>汽车用品</t>
        </is>
      </c>
      <c r="D34" s="10" t="inlineStr">
        <is>
          <t>车载香薰</t>
        </is>
      </c>
      <c r="E34" s="10" t="inlineStr">
        <is>
          <t>江苏南通</t>
        </is>
      </c>
      <c r="F34" s="10" t="inlineStr">
        <is>
          <t>中国制造网</t>
        </is>
      </c>
      <c r="G34" s="10" t="inlineStr">
        <is>
          <t>陈经理</t>
        </is>
      </c>
      <c r="H34" s="10" t="inlineStr">
        <is>
          <t>000-0000-0030</t>
        </is>
      </c>
      <c r="I34" s="10" t="inlineStr">
        <is>
          <t>DEMO_GYS_0030</t>
        </is>
      </c>
      <c r="J34" s="11" t="n">
        <v>7.8</v>
      </c>
      <c r="K34" s="11" t="n">
        <v>26.8</v>
      </c>
      <c r="L34" s="12" t="n">
        <v>20</v>
      </c>
      <c r="M34" s="10" t="inlineStr">
        <is>
          <t>是</t>
        </is>
      </c>
      <c r="N34" s="10" t="inlineStr">
        <is>
          <t>否</t>
        </is>
      </c>
      <c r="O34" s="10" t="inlineStr">
        <is>
          <t>supplier0030@example.com</t>
        </is>
      </c>
      <c r="P34" s="10" t="inlineStr">
        <is>
          <t>https://example.com/supplier/0030</t>
        </is>
      </c>
      <c r="Q34" s="10">
        <f>IF(R34&gt;=85,"A",IF(R34&gt;=70,"B","C"))</f>
        <v/>
      </c>
      <c r="R34" s="13">
        <f>MIN(100,50+IF(M34="是",10,0)+IF(N34="是",10,0)+IF(L34&lt;=100,10,IF(L34&lt;=300,5,0))+IF(J34&lt;=20,10,IF(J34&lt;=50,5,0))+IF(K34-J34&lt;=20,5,0)+IF(F34="企业官网",5,0))</f>
        <v/>
      </c>
      <c r="S34" s="10">
        <f>IF(Q34="A","价格与起订量有优势，建议优先询盘",IF(Q34="B","条件较均衡，可作为备选","起订量或价格需要进一步确认"))</f>
        <v/>
      </c>
      <c r="T34" s="10" t="inlineStr">
        <is>
          <t>未联系</t>
        </is>
      </c>
      <c r="U34" s="10" t="inlineStr">
        <is>
          <t>虚构演示数据</t>
        </is>
      </c>
    </row>
    <row r="35" ht="21" customHeight="1">
      <c r="A35" s="10" t="inlineStr">
        <is>
          <t>GYS-0031</t>
        </is>
      </c>
      <c r="B35" s="10" t="inlineStr">
        <is>
          <t>郑州美容工具供应链0031有限公司（演示）</t>
        </is>
      </c>
      <c r="C35" s="10" t="inlineStr">
        <is>
          <t>美容工具</t>
        </is>
      </c>
      <c r="D35" s="10" t="inlineStr">
        <is>
          <t>便携化妆镜</t>
        </is>
      </c>
      <c r="E35" s="10" t="inlineStr">
        <is>
          <t>河南郑州</t>
        </is>
      </c>
      <c r="F35" s="10" t="inlineStr">
        <is>
          <t>企业官网</t>
        </is>
      </c>
      <c r="G35" s="10" t="inlineStr">
        <is>
          <t>林经理</t>
        </is>
      </c>
      <c r="H35" s="10" t="inlineStr">
        <is>
          <t>000-0000-0031</t>
        </is>
      </c>
      <c r="I35" s="10" t="inlineStr">
        <is>
          <t>DEMO_GYS_0031</t>
        </is>
      </c>
      <c r="J35" s="11" t="n">
        <v>9.5</v>
      </c>
      <c r="K35" s="11" t="n">
        <v>29.6</v>
      </c>
      <c r="L35" s="12" t="n">
        <v>500</v>
      </c>
      <c r="M35" s="10" t="inlineStr">
        <is>
          <t>是</t>
        </is>
      </c>
      <c r="N35" s="10" t="inlineStr">
        <is>
          <t>是</t>
        </is>
      </c>
      <c r="O35" s="10" t="inlineStr">
        <is>
          <t>supplier0031@example.com</t>
        </is>
      </c>
      <c r="P35" s="10" t="inlineStr">
        <is>
          <t>https://example.com/supplier/0031</t>
        </is>
      </c>
      <c r="Q35" s="10">
        <f>IF(R35&gt;=85,"A",IF(R35&gt;=70,"B","C"))</f>
        <v/>
      </c>
      <c r="R35" s="13">
        <f>MIN(100,50+IF(M35="是",10,0)+IF(N35="是",10,0)+IF(L35&lt;=100,10,IF(L35&lt;=300,5,0))+IF(J35&lt;=20,10,IF(J35&lt;=50,5,0))+IF(K35-J35&lt;=20,5,0)+IF(F35="企业官网",5,0))</f>
        <v/>
      </c>
      <c r="S35" s="10">
        <f>IF(Q35="A","价格与起订量有优势，建议优先询盘",IF(Q35="B","条件较均衡，可作为备选","起订量或价格需要进一步确认"))</f>
        <v/>
      </c>
      <c r="T35" s="10" t="inlineStr">
        <is>
          <t>未联系</t>
        </is>
      </c>
      <c r="U35" s="10" t="inlineStr">
        <is>
          <t>虚构演示数据</t>
        </is>
      </c>
    </row>
    <row r="36" ht="21" customHeight="1">
      <c r="A36" s="10" t="inlineStr">
        <is>
          <t>GYS-0032</t>
        </is>
      </c>
      <c r="B36" s="10" t="inlineStr">
        <is>
          <t>宁波旅行用品供应链0032有限公司（演示）</t>
        </is>
      </c>
      <c r="C36" s="10" t="inlineStr">
        <is>
          <t>旅行用品</t>
        </is>
      </c>
      <c r="D36" s="10" t="inlineStr">
        <is>
          <t>压缩收纳袋</t>
        </is>
      </c>
      <c r="E36" s="10" t="inlineStr">
        <is>
          <t>浙江宁波</t>
        </is>
      </c>
      <c r="F36" s="10" t="inlineStr">
        <is>
          <t>义乌购</t>
        </is>
      </c>
      <c r="G36" s="10" t="inlineStr">
        <is>
          <t>王经理</t>
        </is>
      </c>
      <c r="H36" s="10" t="inlineStr">
        <is>
          <t>000-0000-0032</t>
        </is>
      </c>
      <c r="I36" s="10" t="inlineStr">
        <is>
          <t>DEMO_GYS_0032</t>
        </is>
      </c>
      <c r="J36" s="11" t="n">
        <v>11.2</v>
      </c>
      <c r="K36" s="11" t="n">
        <v>32.4</v>
      </c>
      <c r="L36" s="12" t="n">
        <v>300</v>
      </c>
      <c r="M36" s="10" t="inlineStr">
        <is>
          <t>否</t>
        </is>
      </c>
      <c r="N36" s="10" t="inlineStr">
        <is>
          <t>是</t>
        </is>
      </c>
      <c r="O36" s="10" t="inlineStr">
        <is>
          <t>supplier0032@example.com</t>
        </is>
      </c>
      <c r="P36" s="10" t="inlineStr">
        <is>
          <t>https://example.com/supplier/0032</t>
        </is>
      </c>
      <c r="Q36" s="10">
        <f>IF(R36&gt;=85,"A",IF(R36&gt;=70,"B","C"))</f>
        <v/>
      </c>
      <c r="R36" s="13">
        <f>MIN(100,50+IF(M36="是",10,0)+IF(N36="是",10,0)+IF(L36&lt;=100,10,IF(L36&lt;=300,5,0))+IF(J36&lt;=20,10,IF(J36&lt;=50,5,0))+IF(K36-J36&lt;=20,5,0)+IF(F36="企业官网",5,0))</f>
        <v/>
      </c>
      <c r="S36" s="10">
        <f>IF(Q36="A","价格与起订量有优势，建议优先询盘",IF(Q36="B","条件较均衡，可作为备选","起订量或价格需要进一步确认"))</f>
        <v/>
      </c>
      <c r="T36" s="10" t="inlineStr">
        <is>
          <t>未联系</t>
        </is>
      </c>
      <c r="U36" s="10" t="inlineStr">
        <is>
          <t>虚构演示数据</t>
        </is>
      </c>
    </row>
    <row r="37" ht="21" customHeight="1">
      <c r="A37" s="10" t="inlineStr">
        <is>
          <t>GYS-0033</t>
        </is>
      </c>
      <c r="B37" s="10" t="inlineStr">
        <is>
          <t>深圳清洁工具供应链0033有限公司（演示）</t>
        </is>
      </c>
      <c r="C37" s="10" t="inlineStr">
        <is>
          <t>清洁工具</t>
        </is>
      </c>
      <c r="D37" s="10" t="inlineStr">
        <is>
          <t>免手洗拖把</t>
        </is>
      </c>
      <c r="E37" s="10" t="inlineStr">
        <is>
          <t>广东深圳</t>
        </is>
      </c>
      <c r="F37" s="10" t="inlineStr">
        <is>
          <t>慧聪网</t>
        </is>
      </c>
      <c r="G37" s="10" t="inlineStr">
        <is>
          <t>李经理</t>
        </is>
      </c>
      <c r="H37" s="10" t="inlineStr">
        <is>
          <t>000-0000-0033</t>
        </is>
      </c>
      <c r="I37" s="10" t="inlineStr">
        <is>
          <t>DEMO_GYS_0033</t>
        </is>
      </c>
      <c r="J37" s="11" t="n">
        <v>12.9</v>
      </c>
      <c r="K37" s="11" t="n">
        <v>17.2</v>
      </c>
      <c r="L37" s="12" t="n">
        <v>200</v>
      </c>
      <c r="M37" s="10" t="inlineStr">
        <is>
          <t>是</t>
        </is>
      </c>
      <c r="N37" s="10" t="inlineStr">
        <is>
          <t>否</t>
        </is>
      </c>
      <c r="O37" s="10" t="inlineStr">
        <is>
          <t>supplier0033@example.com</t>
        </is>
      </c>
      <c r="P37" s="10" t="inlineStr">
        <is>
          <t>https://example.com/supplier/0033</t>
        </is>
      </c>
      <c r="Q37" s="10">
        <f>IF(R37&gt;=85,"A",IF(R37&gt;=70,"B","C"))</f>
        <v/>
      </c>
      <c r="R37" s="13">
        <f>MIN(100,50+IF(M37="是",10,0)+IF(N37="是",10,0)+IF(L37&lt;=100,10,IF(L37&lt;=300,5,0))+IF(J37&lt;=20,10,IF(J37&lt;=50,5,0))+IF(K37-J37&lt;=20,5,0)+IF(F37="企业官网",5,0))</f>
        <v/>
      </c>
      <c r="S37" s="10">
        <f>IF(Q37="A","价格与起订量有优势，建议优先询盘",IF(Q37="B","条件较均衡，可作为备选","起订量或价格需要进一步确认"))</f>
        <v/>
      </c>
      <c r="T37" s="10" t="inlineStr">
        <is>
          <t>未联系</t>
        </is>
      </c>
      <c r="U37" s="10" t="inlineStr">
        <is>
          <t>虚构演示数据</t>
        </is>
      </c>
    </row>
    <row r="38" ht="21" customHeight="1">
      <c r="A38" s="10" t="inlineStr">
        <is>
          <t>GYS-0034</t>
        </is>
      </c>
      <c r="B38" s="10" t="inlineStr">
        <is>
          <t>佛山小家电供应链0034有限公司（演示）</t>
        </is>
      </c>
      <c r="C38" s="10" t="inlineStr">
        <is>
          <t>小家电</t>
        </is>
      </c>
      <c r="D38" s="10" t="inlineStr">
        <is>
          <t>迷你加湿器</t>
        </is>
      </c>
      <c r="E38" s="10" t="inlineStr">
        <is>
          <t>广东佛山</t>
        </is>
      </c>
      <c r="F38" s="10" t="inlineStr">
        <is>
          <t>1688</t>
        </is>
      </c>
      <c r="G38" s="10" t="inlineStr">
        <is>
          <t>张经理</t>
        </is>
      </c>
      <c r="H38" s="10" t="inlineStr">
        <is>
          <t>000-0000-0034</t>
        </is>
      </c>
      <c r="I38" s="10" t="inlineStr">
        <is>
          <t>DEMO_GYS_0034</t>
        </is>
      </c>
      <c r="J38" s="11" t="n">
        <v>14.6</v>
      </c>
      <c r="K38" s="11" t="n">
        <v>20</v>
      </c>
      <c r="L38" s="12" t="n">
        <v>100</v>
      </c>
      <c r="M38" s="10" t="inlineStr">
        <is>
          <t>是</t>
        </is>
      </c>
      <c r="N38" s="10" t="inlineStr">
        <is>
          <t>是</t>
        </is>
      </c>
      <c r="O38" s="10" t="inlineStr">
        <is>
          <t>supplier0034@example.com</t>
        </is>
      </c>
      <c r="P38" s="10" t="inlineStr">
        <is>
          <t>https://example.com/supplier/0034</t>
        </is>
      </c>
      <c r="Q38" s="10">
        <f>IF(R38&gt;=85,"A",IF(R38&gt;=70,"B","C"))</f>
        <v/>
      </c>
      <c r="R38" s="13">
        <f>MIN(100,50+IF(M38="是",10,0)+IF(N38="是",10,0)+IF(L38&lt;=100,10,IF(L38&lt;=300,5,0))+IF(J38&lt;=20,10,IF(J38&lt;=50,5,0))+IF(K38-J38&lt;=20,5,0)+IF(F38="企业官网",5,0))</f>
        <v/>
      </c>
      <c r="S38" s="10">
        <f>IF(Q38="A","价格与起订量有优势，建议优先询盘",IF(Q38="B","条件较均衡，可作为备选","起订量或价格需要进一步确认"))</f>
        <v/>
      </c>
      <c r="T38" s="10" t="inlineStr">
        <is>
          <t>未联系</t>
        </is>
      </c>
      <c r="U38" s="10" t="inlineStr">
        <is>
          <t>虚构演示数据</t>
        </is>
      </c>
    </row>
    <row r="39" ht="21" customHeight="1">
      <c r="A39" s="10" t="inlineStr">
        <is>
          <t>GYS-0035</t>
        </is>
      </c>
      <c r="B39" s="10" t="inlineStr">
        <is>
          <t>苏州礼品包装供应链0035有限公司（演示）</t>
        </is>
      </c>
      <c r="C39" s="10" t="inlineStr">
        <is>
          <t>礼品包装</t>
        </is>
      </c>
      <c r="D39" s="10" t="inlineStr">
        <is>
          <t>节日礼盒</t>
        </is>
      </c>
      <c r="E39" s="10" t="inlineStr">
        <is>
          <t>江苏苏州</t>
        </is>
      </c>
      <c r="F39" s="10" t="inlineStr">
        <is>
          <t>中国制造网</t>
        </is>
      </c>
      <c r="G39" s="10" t="inlineStr">
        <is>
          <t>刘经理</t>
        </is>
      </c>
      <c r="H39" s="10" t="inlineStr">
        <is>
          <t>000-0000-0035</t>
        </is>
      </c>
      <c r="I39" s="10" t="inlineStr">
        <is>
          <t>DEMO_GYS_0035</t>
        </is>
      </c>
      <c r="J39" s="11" t="n">
        <v>16.3</v>
      </c>
      <c r="K39" s="11" t="n">
        <v>22.8</v>
      </c>
      <c r="L39" s="12" t="n">
        <v>50</v>
      </c>
      <c r="M39" s="10" t="inlineStr">
        <is>
          <t>是</t>
        </is>
      </c>
      <c r="N39" s="10" t="inlineStr">
        <is>
          <t>是</t>
        </is>
      </c>
      <c r="O39" s="10" t="inlineStr">
        <is>
          <t>supplier0035@example.com</t>
        </is>
      </c>
      <c r="P39" s="10" t="inlineStr">
        <is>
          <t>https://example.com/supplier/0035</t>
        </is>
      </c>
      <c r="Q39" s="10">
        <f>IF(R39&gt;=85,"A",IF(R39&gt;=70,"B","C"))</f>
        <v/>
      </c>
      <c r="R39" s="13">
        <f>MIN(100,50+IF(M39="是",10,0)+IF(N39="是",10,0)+IF(L39&lt;=100,10,IF(L39&lt;=300,5,0))+IF(J39&lt;=20,10,IF(J39&lt;=50,5,0))+IF(K39-J39&lt;=20,5,0)+IF(F39="企业官网",5,0))</f>
        <v/>
      </c>
      <c r="S39" s="10">
        <f>IF(Q39="A","价格与起订量有优势，建议优先询盘",IF(Q39="B","条件较均衡，可作为备选","起订量或价格需要进一步确认"))</f>
        <v/>
      </c>
      <c r="T39" s="10" t="inlineStr">
        <is>
          <t>未联系</t>
        </is>
      </c>
      <c r="U39" s="10" t="inlineStr">
        <is>
          <t>虚构演示数据</t>
        </is>
      </c>
    </row>
    <row r="40" ht="21" customHeight="1">
      <c r="A40" s="10" t="inlineStr">
        <is>
          <t>GYS-0036</t>
        </is>
      </c>
      <c r="B40" s="10" t="inlineStr">
        <is>
          <t>白沟五金工具供应链0036有限公司（演示）</t>
        </is>
      </c>
      <c r="C40" s="10" t="inlineStr">
        <is>
          <t>五金工具</t>
        </is>
      </c>
      <c r="D40" s="10" t="inlineStr">
        <is>
          <t>多功能螺丝刀</t>
        </is>
      </c>
      <c r="E40" s="10" t="inlineStr">
        <is>
          <t>河北白沟</t>
        </is>
      </c>
      <c r="F40" s="10" t="inlineStr">
        <is>
          <t>企业官网</t>
        </is>
      </c>
      <c r="G40" s="10" t="inlineStr">
        <is>
          <t>黄经理</t>
        </is>
      </c>
      <c r="H40" s="10" t="inlineStr">
        <is>
          <t>000-0000-0036</t>
        </is>
      </c>
      <c r="I40" s="10" t="inlineStr">
        <is>
          <t>DEMO_GYS_0036</t>
        </is>
      </c>
      <c r="J40" s="11" t="n">
        <v>18</v>
      </c>
      <c r="K40" s="11" t="n">
        <v>25.6</v>
      </c>
      <c r="L40" s="12" t="n">
        <v>20</v>
      </c>
      <c r="M40" s="10" t="inlineStr">
        <is>
          <t>否</t>
        </is>
      </c>
      <c r="N40" s="10" t="inlineStr">
        <is>
          <t>否</t>
        </is>
      </c>
      <c r="O40" s="10" t="inlineStr">
        <is>
          <t>supplier0036@example.com</t>
        </is>
      </c>
      <c r="P40" s="10" t="inlineStr">
        <is>
          <t>https://example.com/supplier/0036</t>
        </is>
      </c>
      <c r="Q40" s="10">
        <f>IF(R40&gt;=85,"A",IF(R40&gt;=70,"B","C"))</f>
        <v/>
      </c>
      <c r="R40" s="13">
        <f>MIN(100,50+IF(M40="是",10,0)+IF(N40="是",10,0)+IF(L40&lt;=100,10,IF(L40&lt;=300,5,0))+IF(J40&lt;=20,10,IF(J40&lt;=50,5,0))+IF(K40-J40&lt;=20,5,0)+IF(F40="企业官网",5,0))</f>
        <v/>
      </c>
      <c r="S40" s="10">
        <f>IF(Q40="A","价格与起订量有优势，建议优先询盘",IF(Q40="B","条件较均衡，可作为备选","起订量或价格需要进一步确认"))</f>
        <v/>
      </c>
      <c r="T40" s="10" t="inlineStr">
        <is>
          <t>未联系</t>
        </is>
      </c>
      <c r="U40" s="10" t="inlineStr">
        <is>
          <t>虚构演示数据</t>
        </is>
      </c>
    </row>
    <row r="41" ht="21" customHeight="1">
      <c r="A41" s="10" t="inlineStr">
        <is>
          <t>GYS-0037</t>
        </is>
      </c>
      <c r="B41" s="10" t="inlineStr">
        <is>
          <t>义乌鞋靴配件供应链0037有限公司（演示）</t>
        </is>
      </c>
      <c r="C41" s="10" t="inlineStr">
        <is>
          <t>鞋靴配件</t>
        </is>
      </c>
      <c r="D41" s="10" t="inlineStr">
        <is>
          <t>防磨脚贴</t>
        </is>
      </c>
      <c r="E41" s="10" t="inlineStr">
        <is>
          <t>浙江义乌</t>
        </is>
      </c>
      <c r="F41" s="10" t="inlineStr">
        <is>
          <t>义乌购</t>
        </is>
      </c>
      <c r="G41" s="10" t="inlineStr">
        <is>
          <t>赵经理</t>
        </is>
      </c>
      <c r="H41" s="10" t="inlineStr">
        <is>
          <t>000-0000-0037</t>
        </is>
      </c>
      <c r="I41" s="10" t="inlineStr">
        <is>
          <t>DEMO_GYS_0037</t>
        </is>
      </c>
      <c r="J41" s="11" t="n">
        <v>19.7</v>
      </c>
      <c r="K41" s="11" t="n">
        <v>28.4</v>
      </c>
      <c r="L41" s="12" t="n">
        <v>500</v>
      </c>
      <c r="M41" s="10" t="inlineStr">
        <is>
          <t>是</t>
        </is>
      </c>
      <c r="N41" s="10" t="inlineStr">
        <is>
          <t>是</t>
        </is>
      </c>
      <c r="O41" s="10" t="inlineStr">
        <is>
          <t>supplier0037@example.com</t>
        </is>
      </c>
      <c r="P41" s="10" t="inlineStr">
        <is>
          <t>https://example.com/supplier/0037</t>
        </is>
      </c>
      <c r="Q41" s="10">
        <f>IF(R41&gt;=85,"A",IF(R41&gt;=70,"B","C"))</f>
        <v/>
      </c>
      <c r="R41" s="13">
        <f>MIN(100,50+IF(M41="是",10,0)+IF(N41="是",10,0)+IF(L41&lt;=100,10,IF(L41&lt;=300,5,0))+IF(J41&lt;=20,10,IF(J41&lt;=50,5,0))+IF(K41-J41&lt;=20,5,0)+IF(F41="企业官网",5,0))</f>
        <v/>
      </c>
      <c r="S41" s="10">
        <f>IF(Q41="A","价格与起订量有优势，建议优先询盘",IF(Q41="B","条件较均衡，可作为备选","起订量或价格需要进一步确认"))</f>
        <v/>
      </c>
      <c r="T41" s="10" t="inlineStr">
        <is>
          <t>未联系</t>
        </is>
      </c>
      <c r="U41" s="10" t="inlineStr">
        <is>
          <t>虚构演示数据</t>
        </is>
      </c>
    </row>
    <row r="42" ht="21" customHeight="1">
      <c r="A42" s="10" t="inlineStr">
        <is>
          <t>GYS-0038</t>
        </is>
      </c>
      <c r="B42" s="10" t="inlineStr">
        <is>
          <t>台州食品包装供应链0038有限公司（演示）</t>
        </is>
      </c>
      <c r="C42" s="10" t="inlineStr">
        <is>
          <t>食品包装</t>
        </is>
      </c>
      <c r="D42" s="10" t="inlineStr">
        <is>
          <t>密封包装袋</t>
        </is>
      </c>
      <c r="E42" s="10" t="inlineStr">
        <is>
          <t>浙江台州</t>
        </is>
      </c>
      <c r="F42" s="10" t="inlineStr">
        <is>
          <t>慧聪网</t>
        </is>
      </c>
      <c r="G42" s="10" t="inlineStr">
        <is>
          <t>周经理</t>
        </is>
      </c>
      <c r="H42" s="10" t="inlineStr">
        <is>
          <t>000-0000-0038</t>
        </is>
      </c>
      <c r="I42" s="10" t="inlineStr">
        <is>
          <t>DEMO_GYS_0038</t>
        </is>
      </c>
      <c r="J42" s="11" t="n">
        <v>21.4</v>
      </c>
      <c r="K42" s="11" t="n">
        <v>31.2</v>
      </c>
      <c r="L42" s="12" t="n">
        <v>300</v>
      </c>
      <c r="M42" s="10" t="inlineStr">
        <is>
          <t>是</t>
        </is>
      </c>
      <c r="N42" s="10" t="inlineStr">
        <is>
          <t>是</t>
        </is>
      </c>
      <c r="O42" s="10" t="inlineStr">
        <is>
          <t>supplier0038@example.com</t>
        </is>
      </c>
      <c r="P42" s="10" t="inlineStr">
        <is>
          <t>https://example.com/supplier/0038</t>
        </is>
      </c>
      <c r="Q42" s="10">
        <f>IF(R42&gt;=85,"A",IF(R42&gt;=70,"B","C"))</f>
        <v/>
      </c>
      <c r="R42" s="13">
        <f>MIN(100,50+IF(M42="是",10,0)+IF(N42="是",10,0)+IF(L42&lt;=100,10,IF(L42&lt;=300,5,0))+IF(J42&lt;=20,10,IF(J42&lt;=50,5,0))+IF(K42-J42&lt;=20,5,0)+IF(F42="企业官网",5,0))</f>
        <v/>
      </c>
      <c r="S42" s="10">
        <f>IF(Q42="A","价格与起订量有优势，建议优先询盘",IF(Q42="B","条件较均衡，可作为备选","起订量或价格需要进一步确认"))</f>
        <v/>
      </c>
      <c r="T42" s="10" t="inlineStr">
        <is>
          <t>未联系</t>
        </is>
      </c>
      <c r="U42" s="10" t="inlineStr">
        <is>
          <t>虚构演示数据</t>
        </is>
      </c>
    </row>
    <row r="43" ht="21" customHeight="1">
      <c r="A43" s="10" t="inlineStr">
        <is>
          <t>GYS-0039</t>
        </is>
      </c>
      <c r="B43" s="10" t="inlineStr">
        <is>
          <t>东莞户外照明供应链0039有限公司（演示）</t>
        </is>
      </c>
      <c r="C43" s="10" t="inlineStr">
        <is>
          <t>户外照明</t>
        </is>
      </c>
      <c r="D43" s="10" t="inlineStr">
        <is>
          <t>便携露营灯</t>
        </is>
      </c>
      <c r="E43" s="10" t="inlineStr">
        <is>
          <t>广东东莞</t>
        </is>
      </c>
      <c r="F43" s="10" t="inlineStr">
        <is>
          <t>1688</t>
        </is>
      </c>
      <c r="G43" s="10" t="inlineStr">
        <is>
          <t>吴经理</t>
        </is>
      </c>
      <c r="H43" s="10" t="inlineStr">
        <is>
          <t>000-0000-0039</t>
        </is>
      </c>
      <c r="I43" s="10" t="inlineStr">
        <is>
          <t>DEMO_GYS_0039</t>
        </is>
      </c>
      <c r="J43" s="11" t="n">
        <v>23.1</v>
      </c>
      <c r="K43" s="11" t="n">
        <v>34</v>
      </c>
      <c r="L43" s="12" t="n">
        <v>200</v>
      </c>
      <c r="M43" s="10" t="inlineStr">
        <is>
          <t>是</t>
        </is>
      </c>
      <c r="N43" s="10" t="inlineStr">
        <is>
          <t>否</t>
        </is>
      </c>
      <c r="O43" s="10" t="inlineStr">
        <is>
          <t>supplier0039@example.com</t>
        </is>
      </c>
      <c r="P43" s="10" t="inlineStr">
        <is>
          <t>https://example.com/supplier/0039</t>
        </is>
      </c>
      <c r="Q43" s="10">
        <f>IF(R43&gt;=85,"A",IF(R43&gt;=70,"B","C"))</f>
        <v/>
      </c>
      <c r="R43" s="13">
        <f>MIN(100,50+IF(M43="是",10,0)+IF(N43="是",10,0)+IF(L43&lt;=100,10,IF(L43&lt;=300,5,0))+IF(J43&lt;=20,10,IF(J43&lt;=50,5,0))+IF(K43-J43&lt;=20,5,0)+IF(F43="企业官网",5,0))</f>
        <v/>
      </c>
      <c r="S43" s="10">
        <f>IF(Q43="A","价格与起订量有优势，建议优先询盘",IF(Q43="B","条件较均衡，可作为备选","起订量或价格需要进一步确认"))</f>
        <v/>
      </c>
      <c r="T43" s="10" t="inlineStr">
        <is>
          <t>未联系</t>
        </is>
      </c>
      <c r="U43" s="10" t="inlineStr">
        <is>
          <t>虚构演示数据</t>
        </is>
      </c>
    </row>
    <row r="44" ht="21" customHeight="1">
      <c r="A44" s="10" t="inlineStr">
        <is>
          <t>GYS-0040</t>
        </is>
      </c>
      <c r="B44" s="10" t="inlineStr">
        <is>
          <t>厦门健康用品供应链0040有限公司（演示）</t>
        </is>
      </c>
      <c r="C44" s="10" t="inlineStr">
        <is>
          <t>健康用品</t>
        </is>
      </c>
      <c r="D44" s="10" t="inlineStr">
        <is>
          <t>热敷眼罩</t>
        </is>
      </c>
      <c r="E44" s="10" t="inlineStr">
        <is>
          <t>福建厦门</t>
        </is>
      </c>
      <c r="F44" s="10" t="inlineStr">
        <is>
          <t>中国制造网</t>
        </is>
      </c>
      <c r="G44" s="10" t="inlineStr">
        <is>
          <t>陈经理</t>
        </is>
      </c>
      <c r="H44" s="10" t="inlineStr">
        <is>
          <t>000-0000-0040</t>
        </is>
      </c>
      <c r="I44" s="10" t="inlineStr">
        <is>
          <t>DEMO_GYS_0040</t>
        </is>
      </c>
      <c r="J44" s="11" t="n">
        <v>24.8</v>
      </c>
      <c r="K44" s="11" t="n">
        <v>36.8</v>
      </c>
      <c r="L44" s="12" t="n">
        <v>100</v>
      </c>
      <c r="M44" s="10" t="inlineStr">
        <is>
          <t>否</t>
        </is>
      </c>
      <c r="N44" s="10" t="inlineStr">
        <is>
          <t>是</t>
        </is>
      </c>
      <c r="O44" s="10" t="inlineStr">
        <is>
          <t>supplier0040@example.com</t>
        </is>
      </c>
      <c r="P44" s="10" t="inlineStr">
        <is>
          <t>https://example.com/supplier/0040</t>
        </is>
      </c>
      <c r="Q44" s="10">
        <f>IF(R44&gt;=85,"A",IF(R44&gt;=70,"B","C"))</f>
        <v/>
      </c>
      <c r="R44" s="13">
        <f>MIN(100,50+IF(M44="是",10,0)+IF(N44="是",10,0)+IF(L44&lt;=100,10,IF(L44&lt;=300,5,0))+IF(J44&lt;=20,10,IF(J44&lt;=50,5,0))+IF(K44-J44&lt;=20,5,0)+IF(F44="企业官网",5,0))</f>
        <v/>
      </c>
      <c r="S44" s="10">
        <f>IF(Q44="A","价格与起订量有优势，建议优先询盘",IF(Q44="B","条件较均衡，可作为备选","起订量或价格需要进一步确认"))</f>
        <v/>
      </c>
      <c r="T44" s="10" t="inlineStr">
        <is>
          <t>未联系</t>
        </is>
      </c>
      <c r="U44" s="10" t="inlineStr">
        <is>
          <t>虚构演示数据</t>
        </is>
      </c>
    </row>
    <row r="45" ht="21" customHeight="1">
      <c r="A45" s="10" t="inlineStr">
        <is>
          <t>GYS-0041</t>
        </is>
      </c>
      <c r="B45" s="10" t="inlineStr">
        <is>
          <t>临沂服饰内衣供应链0041有限公司（演示）</t>
        </is>
      </c>
      <c r="C45" s="10" t="inlineStr">
        <is>
          <t>服饰内衣</t>
        </is>
      </c>
      <c r="D45" s="10" t="inlineStr">
        <is>
          <t>防滑袜</t>
        </is>
      </c>
      <c r="E45" s="10" t="inlineStr">
        <is>
          <t>山东临沂</t>
        </is>
      </c>
      <c r="F45" s="10" t="inlineStr">
        <is>
          <t>企业官网</t>
        </is>
      </c>
      <c r="G45" s="10" t="inlineStr">
        <is>
          <t>林经理</t>
        </is>
      </c>
      <c r="H45" s="10" t="inlineStr">
        <is>
          <t>000-0000-0041</t>
        </is>
      </c>
      <c r="I45" s="10" t="inlineStr">
        <is>
          <t>DEMO_GYS_0041</t>
        </is>
      </c>
      <c r="J45" s="11" t="n">
        <v>26.5</v>
      </c>
      <c r="K45" s="11" t="n">
        <v>39.6</v>
      </c>
      <c r="L45" s="12" t="n">
        <v>50</v>
      </c>
      <c r="M45" s="10" t="inlineStr">
        <is>
          <t>是</t>
        </is>
      </c>
      <c r="N45" s="10" t="inlineStr">
        <is>
          <t>是</t>
        </is>
      </c>
      <c r="O45" s="10" t="inlineStr">
        <is>
          <t>supplier0041@example.com</t>
        </is>
      </c>
      <c r="P45" s="10" t="inlineStr">
        <is>
          <t>https://example.com/supplier/0041</t>
        </is>
      </c>
      <c r="Q45" s="10">
        <f>IF(R45&gt;=85,"A",IF(R45&gt;=70,"B","C"))</f>
        <v/>
      </c>
      <c r="R45" s="13">
        <f>MIN(100,50+IF(M45="是",10,0)+IF(N45="是",10,0)+IF(L45&lt;=100,10,IF(L45&lt;=300,5,0))+IF(J45&lt;=20,10,IF(J45&lt;=50,5,0))+IF(K45-J45&lt;=20,5,0)+IF(F45="企业官网",5,0))</f>
        <v/>
      </c>
      <c r="S45" s="10">
        <f>IF(Q45="A","价格与起订量有优势，建议优先询盘",IF(Q45="B","条件较均衡，可作为备选","起订量或价格需要进一步确认"))</f>
        <v/>
      </c>
      <c r="T45" s="10" t="inlineStr">
        <is>
          <t>未联系</t>
        </is>
      </c>
      <c r="U45" s="10" t="inlineStr">
        <is>
          <t>虚构演示数据</t>
        </is>
      </c>
    </row>
    <row r="46" ht="21" customHeight="1">
      <c r="A46" s="10" t="inlineStr">
        <is>
          <t>GYS-0042</t>
        </is>
      </c>
      <c r="B46" s="10" t="inlineStr">
        <is>
          <t>南昌家居日用供应链0042有限公司（演示）</t>
        </is>
      </c>
      <c r="C46" s="10" t="inlineStr">
        <is>
          <t>家居日用</t>
        </is>
      </c>
      <c r="D46" s="10" t="inlineStr">
        <is>
          <t>折叠收纳箱</t>
        </is>
      </c>
      <c r="E46" s="10" t="inlineStr">
        <is>
          <t>江西南昌</t>
        </is>
      </c>
      <c r="F46" s="10" t="inlineStr">
        <is>
          <t>义乌购</t>
        </is>
      </c>
      <c r="G46" s="10" t="inlineStr">
        <is>
          <t>王经理</t>
        </is>
      </c>
      <c r="H46" s="10" t="inlineStr">
        <is>
          <t>000-0000-0042</t>
        </is>
      </c>
      <c r="I46" s="10" t="inlineStr">
        <is>
          <t>DEMO_GYS_0042</t>
        </is>
      </c>
      <c r="J46" s="11" t="n">
        <v>28.2</v>
      </c>
      <c r="K46" s="11" t="n">
        <v>42.4</v>
      </c>
      <c r="L46" s="12" t="n">
        <v>20</v>
      </c>
      <c r="M46" s="10" t="inlineStr">
        <is>
          <t>是</t>
        </is>
      </c>
      <c r="N46" s="10" t="inlineStr">
        <is>
          <t>否</t>
        </is>
      </c>
      <c r="O46" s="10" t="inlineStr">
        <is>
          <t>supplier0042@example.com</t>
        </is>
      </c>
      <c r="P46" s="10" t="inlineStr">
        <is>
          <t>https://example.com/supplier/0042</t>
        </is>
      </c>
      <c r="Q46" s="10">
        <f>IF(R46&gt;=85,"A",IF(R46&gt;=70,"B","C"))</f>
        <v/>
      </c>
      <c r="R46" s="13">
        <f>MIN(100,50+IF(M46="是",10,0)+IF(N46="是",10,0)+IF(L46&lt;=100,10,IF(L46&lt;=300,5,0))+IF(J46&lt;=20,10,IF(J46&lt;=50,5,0))+IF(K46-J46&lt;=20,5,0)+IF(F46="企业官网",5,0))</f>
        <v/>
      </c>
      <c r="S46" s="10">
        <f>IF(Q46="A","价格与起订量有优势，建议优先询盘",IF(Q46="B","条件较均衡，可作为备选","起订量或价格需要进一步确认"))</f>
        <v/>
      </c>
      <c r="T46" s="10" t="inlineStr">
        <is>
          <t>未联系</t>
        </is>
      </c>
      <c r="U46" s="10" t="inlineStr">
        <is>
          <t>虚构演示数据</t>
        </is>
      </c>
    </row>
    <row r="47" ht="21" customHeight="1">
      <c r="A47" s="10" t="inlineStr">
        <is>
          <t>GYS-0043</t>
        </is>
      </c>
      <c r="B47" s="10" t="inlineStr">
        <is>
          <t>温州个护清洁供应链0043有限公司（演示）</t>
        </is>
      </c>
      <c r="C47" s="10" t="inlineStr">
        <is>
          <t>个护清洁</t>
        </is>
      </c>
      <c r="D47" s="10" t="inlineStr">
        <is>
          <t>便携洗脸巾</t>
        </is>
      </c>
      <c r="E47" s="10" t="inlineStr">
        <is>
          <t>浙江温州</t>
        </is>
      </c>
      <c r="F47" s="10" t="inlineStr">
        <is>
          <t>慧聪网</t>
        </is>
      </c>
      <c r="G47" s="10" t="inlineStr">
        <is>
          <t>李经理</t>
        </is>
      </c>
      <c r="H47" s="10" t="inlineStr">
        <is>
          <t>000-0000-0043</t>
        </is>
      </c>
      <c r="I47" s="10" t="inlineStr">
        <is>
          <t>DEMO_GYS_0043</t>
        </is>
      </c>
      <c r="J47" s="11" t="n">
        <v>29.9</v>
      </c>
      <c r="K47" s="11" t="n">
        <v>45.2</v>
      </c>
      <c r="L47" s="12" t="n">
        <v>500</v>
      </c>
      <c r="M47" s="10" t="inlineStr">
        <is>
          <t>是</t>
        </is>
      </c>
      <c r="N47" s="10" t="inlineStr">
        <is>
          <t>是</t>
        </is>
      </c>
      <c r="O47" s="10" t="inlineStr">
        <is>
          <t>supplier0043@example.com</t>
        </is>
      </c>
      <c r="P47" s="10" t="inlineStr">
        <is>
          <t>https://example.com/supplier/0043</t>
        </is>
      </c>
      <c r="Q47" s="10">
        <f>IF(R47&gt;=85,"A",IF(R47&gt;=70,"B","C"))</f>
        <v/>
      </c>
      <c r="R47" s="13">
        <f>MIN(100,50+IF(M47="是",10,0)+IF(N47="是",10,0)+IF(L47&lt;=100,10,IF(L47&lt;=300,5,0))+IF(J47&lt;=20,10,IF(J47&lt;=50,5,0))+IF(K47-J47&lt;=20,5,0)+IF(F47="企业官网",5,0))</f>
        <v/>
      </c>
      <c r="S47" s="10">
        <f>IF(Q47="A","价格与起订量有优势，建议优先询盘",IF(Q47="B","条件较均衡，可作为备选","起订量或价格需要进一步确认"))</f>
        <v/>
      </c>
      <c r="T47" s="10" t="inlineStr">
        <is>
          <t>未联系</t>
        </is>
      </c>
      <c r="U47" s="10" t="inlineStr">
        <is>
          <t>虚构演示数据</t>
        </is>
      </c>
    </row>
    <row r="48" ht="21" customHeight="1">
      <c r="A48" s="10" t="inlineStr">
        <is>
          <t>GYS-0044</t>
        </is>
      </c>
      <c r="B48" s="10" t="inlineStr">
        <is>
          <t>广州厨房用品供应链0044有限公司（演示）</t>
        </is>
      </c>
      <c r="C48" s="10" t="inlineStr">
        <is>
          <t>厨房用品</t>
        </is>
      </c>
      <c r="D48" s="10" t="inlineStr">
        <is>
          <t>硅胶保鲜盒</t>
        </is>
      </c>
      <c r="E48" s="10" t="inlineStr">
        <is>
          <t>广东广州</t>
        </is>
      </c>
      <c r="F48" s="10" t="inlineStr">
        <is>
          <t>1688</t>
        </is>
      </c>
      <c r="G48" s="10" t="inlineStr">
        <is>
          <t>张经理</t>
        </is>
      </c>
      <c r="H48" s="10" t="inlineStr">
        <is>
          <t>000-0000-0044</t>
        </is>
      </c>
      <c r="I48" s="10" t="inlineStr">
        <is>
          <t>DEMO_GYS_0044</t>
        </is>
      </c>
      <c r="J48" s="11" t="n">
        <v>31.6</v>
      </c>
      <c r="K48" s="11" t="n">
        <v>48</v>
      </c>
      <c r="L48" s="12" t="n">
        <v>300</v>
      </c>
      <c r="M48" s="10" t="inlineStr">
        <is>
          <t>否</t>
        </is>
      </c>
      <c r="N48" s="10" t="inlineStr">
        <is>
          <t>是</t>
        </is>
      </c>
      <c r="O48" s="10" t="inlineStr">
        <is>
          <t>supplier0044@example.com</t>
        </is>
      </c>
      <c r="P48" s="10" t="inlineStr">
        <is>
          <t>https://example.com/supplier/0044</t>
        </is>
      </c>
      <c r="Q48" s="10">
        <f>IF(R48&gt;=85,"A",IF(R48&gt;=70,"B","C"))</f>
        <v/>
      </c>
      <c r="R48" s="13">
        <f>MIN(100,50+IF(M48="是",10,0)+IF(N48="是",10,0)+IF(L48&lt;=100,10,IF(L48&lt;=300,5,0))+IF(J48&lt;=20,10,IF(J48&lt;=50,5,0))+IF(K48-J48&lt;=20,5,0)+IF(F48="企业官网",5,0))</f>
        <v/>
      </c>
      <c r="S48" s="10">
        <f>IF(Q48="A","价格与起订量有优势，建议优先询盘",IF(Q48="B","条件较均衡，可作为备选","起订量或价格需要进一步确认"))</f>
        <v/>
      </c>
      <c r="T48" s="10" t="inlineStr">
        <is>
          <t>未联系</t>
        </is>
      </c>
      <c r="U48" s="10" t="inlineStr">
        <is>
          <t>虚构演示数据</t>
        </is>
      </c>
    </row>
    <row r="49" ht="21" customHeight="1">
      <c r="A49" s="10" t="inlineStr">
        <is>
          <t>GYS-0045</t>
        </is>
      </c>
      <c r="B49" s="10" t="inlineStr">
        <is>
          <t>泉州数码配件供应链0045有限公司（演示）</t>
        </is>
      </c>
      <c r="C49" s="10" t="inlineStr">
        <is>
          <t>数码配件</t>
        </is>
      </c>
      <c r="D49" s="10" t="inlineStr">
        <is>
          <t>磁吸手机支架</t>
        </is>
      </c>
      <c r="E49" s="10" t="inlineStr">
        <is>
          <t>福建泉州</t>
        </is>
      </c>
      <c r="F49" s="10" t="inlineStr">
        <is>
          <t>中国制造网</t>
        </is>
      </c>
      <c r="G49" s="10" t="inlineStr">
        <is>
          <t>刘经理</t>
        </is>
      </c>
      <c r="H49" s="10" t="inlineStr">
        <is>
          <t>000-0000-0045</t>
        </is>
      </c>
      <c r="I49" s="10" t="inlineStr">
        <is>
          <t>DEMO_GYS_0045</t>
        </is>
      </c>
      <c r="J49" s="11" t="n">
        <v>33.3</v>
      </c>
      <c r="K49" s="11" t="n">
        <v>50.8</v>
      </c>
      <c r="L49" s="12" t="n">
        <v>200</v>
      </c>
      <c r="M49" s="10" t="inlineStr">
        <is>
          <t>是</t>
        </is>
      </c>
      <c r="N49" s="10" t="inlineStr">
        <is>
          <t>否</t>
        </is>
      </c>
      <c r="O49" s="10" t="inlineStr">
        <is>
          <t>supplier0045@example.com</t>
        </is>
      </c>
      <c r="P49" s="10" t="inlineStr">
        <is>
          <t>https://example.com/supplier/0045</t>
        </is>
      </c>
      <c r="Q49" s="10">
        <f>IF(R49&gt;=85,"A",IF(R49&gt;=70,"B","C"))</f>
        <v/>
      </c>
      <c r="R49" s="13">
        <f>MIN(100,50+IF(M49="是",10,0)+IF(N49="是",10,0)+IF(L49&lt;=100,10,IF(L49&lt;=300,5,0))+IF(J49&lt;=20,10,IF(J49&lt;=50,5,0))+IF(K49-J49&lt;=20,5,0)+IF(F49="企业官网",5,0))</f>
        <v/>
      </c>
      <c r="S49" s="10">
        <f>IF(Q49="A","价格与起订量有优势，建议优先询盘",IF(Q49="B","条件较均衡，可作为备选","起订量或价格需要进一步确认"))</f>
        <v/>
      </c>
      <c r="T49" s="10" t="inlineStr">
        <is>
          <t>未联系</t>
        </is>
      </c>
      <c r="U49" s="10" t="inlineStr">
        <is>
          <t>虚构演示数据</t>
        </is>
      </c>
    </row>
    <row r="50" ht="21" customHeight="1">
      <c r="A50" s="10" t="inlineStr">
        <is>
          <t>GYS-0046</t>
        </is>
      </c>
      <c r="B50" s="10" t="inlineStr">
        <is>
          <t>南通宠物用品供应链0046有限公司（演示）</t>
        </is>
      </c>
      <c r="C50" s="10" t="inlineStr">
        <is>
          <t>宠物用品</t>
        </is>
      </c>
      <c r="D50" s="10" t="inlineStr">
        <is>
          <t>宠物清洁手套</t>
        </is>
      </c>
      <c r="E50" s="10" t="inlineStr">
        <is>
          <t>江苏南通</t>
        </is>
      </c>
      <c r="F50" s="10" t="inlineStr">
        <is>
          <t>企业官网</t>
        </is>
      </c>
      <c r="G50" s="10" t="inlineStr">
        <is>
          <t>黄经理</t>
        </is>
      </c>
      <c r="H50" s="10" t="inlineStr">
        <is>
          <t>000-0000-0046</t>
        </is>
      </c>
      <c r="I50" s="10" t="inlineStr">
        <is>
          <t>DEMO_GYS_0046</t>
        </is>
      </c>
      <c r="J50" s="11" t="n">
        <v>35</v>
      </c>
      <c r="K50" s="11" t="n">
        <v>53.6</v>
      </c>
      <c r="L50" s="12" t="n">
        <v>100</v>
      </c>
      <c r="M50" s="10" t="inlineStr">
        <is>
          <t>是</t>
        </is>
      </c>
      <c r="N50" s="10" t="inlineStr">
        <is>
          <t>是</t>
        </is>
      </c>
      <c r="O50" s="10" t="inlineStr">
        <is>
          <t>supplier0046@example.com</t>
        </is>
      </c>
      <c r="P50" s="10" t="inlineStr">
        <is>
          <t>https://example.com/supplier/0046</t>
        </is>
      </c>
      <c r="Q50" s="10">
        <f>IF(R50&gt;=85,"A",IF(R50&gt;=70,"B","C"))</f>
        <v/>
      </c>
      <c r="R50" s="13">
        <f>MIN(100,50+IF(M50="是",10,0)+IF(N50="是",10,0)+IF(L50&lt;=100,10,IF(L50&lt;=300,5,0))+IF(J50&lt;=20,10,IF(J50&lt;=50,5,0))+IF(K50-J50&lt;=20,5,0)+IF(F50="企业官网",5,0))</f>
        <v/>
      </c>
      <c r="S50" s="10">
        <f>IF(Q50="A","价格与起订量有优势，建议优先询盘",IF(Q50="B","条件较均衡，可作为备选","起订量或价格需要进一步确认"))</f>
        <v/>
      </c>
      <c r="T50" s="10" t="inlineStr">
        <is>
          <t>未联系</t>
        </is>
      </c>
      <c r="U50" s="10" t="inlineStr">
        <is>
          <t>虚构演示数据</t>
        </is>
      </c>
    </row>
    <row r="51" ht="21" customHeight="1">
      <c r="A51" s="10" t="inlineStr">
        <is>
          <t>GYS-0047</t>
        </is>
      </c>
      <c r="B51" s="10" t="inlineStr">
        <is>
          <t>郑州母婴用品供应链0047有限公司（演示）</t>
        </is>
      </c>
      <c r="C51" s="10" t="inlineStr">
        <is>
          <t>母婴用品</t>
        </is>
      </c>
      <c r="D51" s="10" t="inlineStr">
        <is>
          <t>婴儿防撞条</t>
        </is>
      </c>
      <c r="E51" s="10" t="inlineStr">
        <is>
          <t>河南郑州</t>
        </is>
      </c>
      <c r="F51" s="10" t="inlineStr">
        <is>
          <t>义乌购</t>
        </is>
      </c>
      <c r="G51" s="10" t="inlineStr">
        <is>
          <t>赵经理</t>
        </is>
      </c>
      <c r="H51" s="10" t="inlineStr">
        <is>
          <t>000-0000-0047</t>
        </is>
      </c>
      <c r="I51" s="10" t="inlineStr">
        <is>
          <t>DEMO_GYS_0047</t>
        </is>
      </c>
      <c r="J51" s="11" t="n">
        <v>36.7</v>
      </c>
      <c r="K51" s="11" t="n">
        <v>56.4</v>
      </c>
      <c r="L51" s="12" t="n">
        <v>50</v>
      </c>
      <c r="M51" s="10" t="inlineStr">
        <is>
          <t>是</t>
        </is>
      </c>
      <c r="N51" s="10" t="inlineStr">
        <is>
          <t>是</t>
        </is>
      </c>
      <c r="O51" s="10" t="inlineStr">
        <is>
          <t>supplier0047@example.com</t>
        </is>
      </c>
      <c r="P51" s="10" t="inlineStr">
        <is>
          <t>https://example.com/supplier/0047</t>
        </is>
      </c>
      <c r="Q51" s="10">
        <f>IF(R51&gt;=85,"A",IF(R51&gt;=70,"B","C"))</f>
        <v/>
      </c>
      <c r="R51" s="13">
        <f>MIN(100,50+IF(M51="是",10,0)+IF(N51="是",10,0)+IF(L51&lt;=100,10,IF(L51&lt;=300,5,0))+IF(J51&lt;=20,10,IF(J51&lt;=50,5,0))+IF(K51-J51&lt;=20,5,0)+IF(F51="企业官网",5,0))</f>
        <v/>
      </c>
      <c r="S51" s="10">
        <f>IF(Q51="A","价格与起订量有优势，建议优先询盘",IF(Q51="B","条件较均衡，可作为备选","起订量或价格需要进一步确认"))</f>
        <v/>
      </c>
      <c r="T51" s="10" t="inlineStr">
        <is>
          <t>未联系</t>
        </is>
      </c>
      <c r="U51" s="10" t="inlineStr">
        <is>
          <t>虚构演示数据</t>
        </is>
      </c>
    </row>
    <row r="52" ht="21" customHeight="1">
      <c r="A52" s="10" t="inlineStr">
        <is>
          <t>GYS-0048</t>
        </is>
      </c>
      <c r="B52" s="10" t="inlineStr">
        <is>
          <t>宁波运动户外供应链0048有限公司（演示）</t>
        </is>
      </c>
      <c r="C52" s="10" t="inlineStr">
        <is>
          <t>运动户外</t>
        </is>
      </c>
      <c r="D52" s="10" t="inlineStr">
        <is>
          <t>弹力训练带</t>
        </is>
      </c>
      <c r="E52" s="10" t="inlineStr">
        <is>
          <t>浙江宁波</t>
        </is>
      </c>
      <c r="F52" s="10" t="inlineStr">
        <is>
          <t>慧聪网</t>
        </is>
      </c>
      <c r="G52" s="10" t="inlineStr">
        <is>
          <t>周经理</t>
        </is>
      </c>
      <c r="H52" s="10" t="inlineStr">
        <is>
          <t>000-0000-0048</t>
        </is>
      </c>
      <c r="I52" s="10" t="inlineStr">
        <is>
          <t>DEMO_GYS_0048</t>
        </is>
      </c>
      <c r="J52" s="11" t="n">
        <v>38.4</v>
      </c>
      <c r="K52" s="11" t="n">
        <v>59.2</v>
      </c>
      <c r="L52" s="12" t="n">
        <v>20</v>
      </c>
      <c r="M52" s="10" t="inlineStr">
        <is>
          <t>否</t>
        </is>
      </c>
      <c r="N52" s="10" t="inlineStr">
        <is>
          <t>否</t>
        </is>
      </c>
      <c r="O52" s="10" t="inlineStr">
        <is>
          <t>supplier0048@example.com</t>
        </is>
      </c>
      <c r="P52" s="10" t="inlineStr">
        <is>
          <t>https://example.com/supplier/0048</t>
        </is>
      </c>
      <c r="Q52" s="10">
        <f>IF(R52&gt;=85,"A",IF(R52&gt;=70,"B","C"))</f>
        <v/>
      </c>
      <c r="R52" s="13">
        <f>MIN(100,50+IF(M52="是",10,0)+IF(N52="是",10,0)+IF(L52&lt;=100,10,IF(L52&lt;=300,5,0))+IF(J52&lt;=20,10,IF(J52&lt;=50,5,0))+IF(K52-J52&lt;=20,5,0)+IF(F52="企业官网",5,0))</f>
        <v/>
      </c>
      <c r="S52" s="10">
        <f>IF(Q52="A","价格与起订量有优势，建议优先询盘",IF(Q52="B","条件较均衡，可作为备选","起订量或价格需要进一步确认"))</f>
        <v/>
      </c>
      <c r="T52" s="10" t="inlineStr">
        <is>
          <t>未联系</t>
        </is>
      </c>
      <c r="U52" s="10" t="inlineStr">
        <is>
          <t>虚构演示数据</t>
        </is>
      </c>
    </row>
    <row r="53" ht="21" customHeight="1">
      <c r="A53" s="10" t="inlineStr">
        <is>
          <t>GYS-0049</t>
        </is>
      </c>
      <c r="B53" s="10" t="inlineStr">
        <is>
          <t>深圳办公文具供应链0049有限公司（演示）</t>
        </is>
      </c>
      <c r="C53" s="10" t="inlineStr">
        <is>
          <t>办公文具</t>
        </is>
      </c>
      <c r="D53" s="10" t="inlineStr">
        <is>
          <t>桌面收纳架</t>
        </is>
      </c>
      <c r="E53" s="10" t="inlineStr">
        <is>
          <t>广东深圳</t>
        </is>
      </c>
      <c r="F53" s="10" t="inlineStr">
        <is>
          <t>1688</t>
        </is>
      </c>
      <c r="G53" s="10" t="inlineStr">
        <is>
          <t>吴经理</t>
        </is>
      </c>
      <c r="H53" s="10" t="inlineStr">
        <is>
          <t>000-0000-0049</t>
        </is>
      </c>
      <c r="I53" s="10" t="inlineStr">
        <is>
          <t>DEMO_GYS_0049</t>
        </is>
      </c>
      <c r="J53" s="11" t="n">
        <v>40.1</v>
      </c>
      <c r="K53" s="11" t="n">
        <v>62</v>
      </c>
      <c r="L53" s="12" t="n">
        <v>500</v>
      </c>
      <c r="M53" s="10" t="inlineStr">
        <is>
          <t>是</t>
        </is>
      </c>
      <c r="N53" s="10" t="inlineStr">
        <is>
          <t>是</t>
        </is>
      </c>
      <c r="O53" s="10" t="inlineStr">
        <is>
          <t>supplier0049@example.com</t>
        </is>
      </c>
      <c r="P53" s="10" t="inlineStr">
        <is>
          <t>https://example.com/supplier/0049</t>
        </is>
      </c>
      <c r="Q53" s="10">
        <f>IF(R53&gt;=85,"A",IF(R53&gt;=70,"B","C"))</f>
        <v/>
      </c>
      <c r="R53" s="13">
        <f>MIN(100,50+IF(M53="是",10,0)+IF(N53="是",10,0)+IF(L53&lt;=100,10,IF(L53&lt;=300,5,0))+IF(J53&lt;=20,10,IF(J53&lt;=50,5,0))+IF(K53-J53&lt;=20,5,0)+IF(F53="企业官网",5,0))</f>
        <v/>
      </c>
      <c r="S53" s="10">
        <f>IF(Q53="A","价格与起订量有优势，建议优先询盘",IF(Q53="B","条件较均衡，可作为备选","起订量或价格需要进一步确认"))</f>
        <v/>
      </c>
      <c r="T53" s="10" t="inlineStr">
        <is>
          <t>未联系</t>
        </is>
      </c>
      <c r="U53" s="10" t="inlineStr">
        <is>
          <t>虚构演示数据</t>
        </is>
      </c>
    </row>
    <row r="54" ht="21" customHeight="1">
      <c r="A54" s="10" t="inlineStr">
        <is>
          <t>GYS-0050</t>
        </is>
      </c>
      <c r="B54" s="10" t="inlineStr">
        <is>
          <t>佛山汽车用品供应链0050有限公司（演示）</t>
        </is>
      </c>
      <c r="C54" s="10" t="inlineStr">
        <is>
          <t>汽车用品</t>
        </is>
      </c>
      <c r="D54" s="10" t="inlineStr">
        <is>
          <t>车载香薰</t>
        </is>
      </c>
      <c r="E54" s="10" t="inlineStr">
        <is>
          <t>广东佛山</t>
        </is>
      </c>
      <c r="F54" s="10" t="inlineStr">
        <is>
          <t>中国制造网</t>
        </is>
      </c>
      <c r="G54" s="10" t="inlineStr">
        <is>
          <t>陈经理</t>
        </is>
      </c>
      <c r="H54" s="10" t="inlineStr">
        <is>
          <t>000-0000-0050</t>
        </is>
      </c>
      <c r="I54" s="10" t="inlineStr">
        <is>
          <t>DEMO_GYS_0050</t>
        </is>
      </c>
      <c r="J54" s="11" t="n">
        <v>41.8</v>
      </c>
      <c r="K54" s="11" t="n">
        <v>46.8</v>
      </c>
      <c r="L54" s="12" t="n">
        <v>300</v>
      </c>
      <c r="M54" s="10" t="inlineStr">
        <is>
          <t>是</t>
        </is>
      </c>
      <c r="N54" s="10" t="inlineStr">
        <is>
          <t>是</t>
        </is>
      </c>
      <c r="O54" s="10" t="inlineStr">
        <is>
          <t>supplier0050@example.com</t>
        </is>
      </c>
      <c r="P54" s="10" t="inlineStr">
        <is>
          <t>https://example.com/supplier/0050</t>
        </is>
      </c>
      <c r="Q54" s="10">
        <f>IF(R54&gt;=85,"A",IF(R54&gt;=70,"B","C"))</f>
        <v/>
      </c>
      <c r="R54" s="13">
        <f>MIN(100,50+IF(M54="是",10,0)+IF(N54="是",10,0)+IF(L54&lt;=100,10,IF(L54&lt;=300,5,0))+IF(J54&lt;=20,10,IF(J54&lt;=50,5,0))+IF(K54-J54&lt;=20,5,0)+IF(F54="企业官网",5,0))</f>
        <v/>
      </c>
      <c r="S54" s="10">
        <f>IF(Q54="A","价格与起订量有优势，建议优先询盘",IF(Q54="B","条件较均衡，可作为备选","起订量或价格需要进一步确认"))</f>
        <v/>
      </c>
      <c r="T54" s="10" t="inlineStr">
        <is>
          <t>未联系</t>
        </is>
      </c>
      <c r="U54" s="10" t="inlineStr">
        <is>
          <t>虚构演示数据</t>
        </is>
      </c>
    </row>
    <row r="55" ht="21" customHeight="1">
      <c r="A55" s="10" t="inlineStr">
        <is>
          <t>GYS-0051</t>
        </is>
      </c>
      <c r="B55" s="10" t="inlineStr">
        <is>
          <t>苏州美容工具供应链0051有限公司（演示）</t>
        </is>
      </c>
      <c r="C55" s="10" t="inlineStr">
        <is>
          <t>美容工具</t>
        </is>
      </c>
      <c r="D55" s="10" t="inlineStr">
        <is>
          <t>便携化妆镜</t>
        </is>
      </c>
      <c r="E55" s="10" t="inlineStr">
        <is>
          <t>江苏苏州</t>
        </is>
      </c>
      <c r="F55" s="10" t="inlineStr">
        <is>
          <t>企业官网</t>
        </is>
      </c>
      <c r="G55" s="10" t="inlineStr">
        <is>
          <t>林经理</t>
        </is>
      </c>
      <c r="H55" s="10" t="inlineStr">
        <is>
          <t>000-0000-0051</t>
        </is>
      </c>
      <c r="I55" s="10" t="inlineStr">
        <is>
          <t>DEMO_GYS_0051</t>
        </is>
      </c>
      <c r="J55" s="11" t="n">
        <v>43.5</v>
      </c>
      <c r="K55" s="11" t="n">
        <v>49.6</v>
      </c>
      <c r="L55" s="12" t="n">
        <v>200</v>
      </c>
      <c r="M55" s="10" t="inlineStr">
        <is>
          <t>是</t>
        </is>
      </c>
      <c r="N55" s="10" t="inlineStr">
        <is>
          <t>否</t>
        </is>
      </c>
      <c r="O55" s="10" t="inlineStr">
        <is>
          <t>supplier0051@example.com</t>
        </is>
      </c>
      <c r="P55" s="10" t="inlineStr">
        <is>
          <t>https://example.com/supplier/0051</t>
        </is>
      </c>
      <c r="Q55" s="10">
        <f>IF(R55&gt;=85,"A",IF(R55&gt;=70,"B","C"))</f>
        <v/>
      </c>
      <c r="R55" s="13">
        <f>MIN(100,50+IF(M55="是",10,0)+IF(N55="是",10,0)+IF(L55&lt;=100,10,IF(L55&lt;=300,5,0))+IF(J55&lt;=20,10,IF(J55&lt;=50,5,0))+IF(K55-J55&lt;=20,5,0)+IF(F55="企业官网",5,0))</f>
        <v/>
      </c>
      <c r="S55" s="10">
        <f>IF(Q55="A","价格与起订量有优势，建议优先询盘",IF(Q55="B","条件较均衡，可作为备选","起订量或价格需要进一步确认"))</f>
        <v/>
      </c>
      <c r="T55" s="10" t="inlineStr">
        <is>
          <t>未联系</t>
        </is>
      </c>
      <c r="U55" s="10" t="inlineStr">
        <is>
          <t>虚构演示数据</t>
        </is>
      </c>
    </row>
    <row r="56" ht="21" customHeight="1">
      <c r="A56" s="10" t="inlineStr">
        <is>
          <t>GYS-0052</t>
        </is>
      </c>
      <c r="B56" s="10" t="inlineStr">
        <is>
          <t>白沟旅行用品供应链0052有限公司（演示）</t>
        </is>
      </c>
      <c r="C56" s="10" t="inlineStr">
        <is>
          <t>旅行用品</t>
        </is>
      </c>
      <c r="D56" s="10" t="inlineStr">
        <is>
          <t>压缩收纳袋</t>
        </is>
      </c>
      <c r="E56" s="10" t="inlineStr">
        <is>
          <t>河北白沟</t>
        </is>
      </c>
      <c r="F56" s="10" t="inlineStr">
        <is>
          <t>义乌购</t>
        </is>
      </c>
      <c r="G56" s="10" t="inlineStr">
        <is>
          <t>王经理</t>
        </is>
      </c>
      <c r="H56" s="10" t="inlineStr">
        <is>
          <t>000-0000-0052</t>
        </is>
      </c>
      <c r="I56" s="10" t="inlineStr">
        <is>
          <t>DEMO_GYS_0052</t>
        </is>
      </c>
      <c r="J56" s="11" t="n">
        <v>45.2</v>
      </c>
      <c r="K56" s="11" t="n">
        <v>52.4</v>
      </c>
      <c r="L56" s="12" t="n">
        <v>100</v>
      </c>
      <c r="M56" s="10" t="inlineStr">
        <is>
          <t>否</t>
        </is>
      </c>
      <c r="N56" s="10" t="inlineStr">
        <is>
          <t>是</t>
        </is>
      </c>
      <c r="O56" s="10" t="inlineStr">
        <is>
          <t>supplier0052@example.com</t>
        </is>
      </c>
      <c r="P56" s="10" t="inlineStr">
        <is>
          <t>https://example.com/supplier/0052</t>
        </is>
      </c>
      <c r="Q56" s="10">
        <f>IF(R56&gt;=85,"A",IF(R56&gt;=70,"B","C"))</f>
        <v/>
      </c>
      <c r="R56" s="13">
        <f>MIN(100,50+IF(M56="是",10,0)+IF(N56="是",10,0)+IF(L56&lt;=100,10,IF(L56&lt;=300,5,0))+IF(J56&lt;=20,10,IF(J56&lt;=50,5,0))+IF(K56-J56&lt;=20,5,0)+IF(F56="企业官网",5,0))</f>
        <v/>
      </c>
      <c r="S56" s="10">
        <f>IF(Q56="A","价格与起订量有优势，建议优先询盘",IF(Q56="B","条件较均衡，可作为备选","起订量或价格需要进一步确认"))</f>
        <v/>
      </c>
      <c r="T56" s="10" t="inlineStr">
        <is>
          <t>未联系</t>
        </is>
      </c>
      <c r="U56" s="10" t="inlineStr">
        <is>
          <t>虚构演示数据</t>
        </is>
      </c>
    </row>
    <row r="57" ht="21" customHeight="1">
      <c r="A57" s="10" t="inlineStr">
        <is>
          <t>GYS-0053</t>
        </is>
      </c>
      <c r="B57" s="10" t="inlineStr">
        <is>
          <t>义乌清洁工具供应链0053有限公司（演示）</t>
        </is>
      </c>
      <c r="C57" s="10" t="inlineStr">
        <is>
          <t>清洁工具</t>
        </is>
      </c>
      <c r="D57" s="10" t="inlineStr">
        <is>
          <t>免手洗拖把</t>
        </is>
      </c>
      <c r="E57" s="10" t="inlineStr">
        <is>
          <t>浙江义乌</t>
        </is>
      </c>
      <c r="F57" s="10" t="inlineStr">
        <is>
          <t>慧聪网</t>
        </is>
      </c>
      <c r="G57" s="10" t="inlineStr">
        <is>
          <t>李经理</t>
        </is>
      </c>
      <c r="H57" s="10" t="inlineStr">
        <is>
          <t>000-0000-0053</t>
        </is>
      </c>
      <c r="I57" s="10" t="inlineStr">
        <is>
          <t>DEMO_GYS_0053</t>
        </is>
      </c>
      <c r="J57" s="11" t="n">
        <v>46.9</v>
      </c>
      <c r="K57" s="11" t="n">
        <v>55.2</v>
      </c>
      <c r="L57" s="12" t="n">
        <v>50</v>
      </c>
      <c r="M57" s="10" t="inlineStr">
        <is>
          <t>是</t>
        </is>
      </c>
      <c r="N57" s="10" t="inlineStr">
        <is>
          <t>是</t>
        </is>
      </c>
      <c r="O57" s="10" t="inlineStr">
        <is>
          <t>supplier0053@example.com</t>
        </is>
      </c>
      <c r="P57" s="10" t="inlineStr">
        <is>
          <t>https://example.com/supplier/0053</t>
        </is>
      </c>
      <c r="Q57" s="10">
        <f>IF(R57&gt;=85,"A",IF(R57&gt;=70,"B","C"))</f>
        <v/>
      </c>
      <c r="R57" s="13">
        <f>MIN(100,50+IF(M57="是",10,0)+IF(N57="是",10,0)+IF(L57&lt;=100,10,IF(L57&lt;=300,5,0))+IF(J57&lt;=20,10,IF(J57&lt;=50,5,0))+IF(K57-J57&lt;=20,5,0)+IF(F57="企业官网",5,0))</f>
        <v/>
      </c>
      <c r="S57" s="10">
        <f>IF(Q57="A","价格与起订量有优势，建议优先询盘",IF(Q57="B","条件较均衡，可作为备选","起订量或价格需要进一步确认"))</f>
        <v/>
      </c>
      <c r="T57" s="10" t="inlineStr">
        <is>
          <t>未联系</t>
        </is>
      </c>
      <c r="U57" s="10" t="inlineStr">
        <is>
          <t>虚构演示数据</t>
        </is>
      </c>
    </row>
    <row r="58" ht="21" customHeight="1">
      <c r="A58" s="10" t="inlineStr">
        <is>
          <t>GYS-0054</t>
        </is>
      </c>
      <c r="B58" s="10" t="inlineStr">
        <is>
          <t>台州小家电供应链0054有限公司（演示）</t>
        </is>
      </c>
      <c r="C58" s="10" t="inlineStr">
        <is>
          <t>小家电</t>
        </is>
      </c>
      <c r="D58" s="10" t="inlineStr">
        <is>
          <t>迷你加湿器</t>
        </is>
      </c>
      <c r="E58" s="10" t="inlineStr">
        <is>
          <t>浙江台州</t>
        </is>
      </c>
      <c r="F58" s="10" t="inlineStr">
        <is>
          <t>1688</t>
        </is>
      </c>
      <c r="G58" s="10" t="inlineStr">
        <is>
          <t>张经理</t>
        </is>
      </c>
      <c r="H58" s="10" t="inlineStr">
        <is>
          <t>000-0000-0054</t>
        </is>
      </c>
      <c r="I58" s="10" t="inlineStr">
        <is>
          <t>DEMO_GYS_0054</t>
        </is>
      </c>
      <c r="J58" s="11" t="n">
        <v>48.6</v>
      </c>
      <c r="K58" s="11" t="n">
        <v>58</v>
      </c>
      <c r="L58" s="12" t="n">
        <v>20</v>
      </c>
      <c r="M58" s="10" t="inlineStr">
        <is>
          <t>是</t>
        </is>
      </c>
      <c r="N58" s="10" t="inlineStr">
        <is>
          <t>否</t>
        </is>
      </c>
      <c r="O58" s="10" t="inlineStr">
        <is>
          <t>supplier0054@example.com</t>
        </is>
      </c>
      <c r="P58" s="10" t="inlineStr">
        <is>
          <t>https://example.com/supplier/0054</t>
        </is>
      </c>
      <c r="Q58" s="10">
        <f>IF(R58&gt;=85,"A",IF(R58&gt;=70,"B","C"))</f>
        <v/>
      </c>
      <c r="R58" s="13">
        <f>MIN(100,50+IF(M58="是",10,0)+IF(N58="是",10,0)+IF(L58&lt;=100,10,IF(L58&lt;=300,5,0))+IF(J58&lt;=20,10,IF(J58&lt;=50,5,0))+IF(K58-J58&lt;=20,5,0)+IF(F58="企业官网",5,0))</f>
        <v/>
      </c>
      <c r="S58" s="10">
        <f>IF(Q58="A","价格与起订量有优势，建议优先询盘",IF(Q58="B","条件较均衡，可作为备选","起订量或价格需要进一步确认"))</f>
        <v/>
      </c>
      <c r="T58" s="10" t="inlineStr">
        <is>
          <t>未联系</t>
        </is>
      </c>
      <c r="U58" s="10" t="inlineStr">
        <is>
          <t>虚构演示数据</t>
        </is>
      </c>
    </row>
    <row r="59" ht="21" customHeight="1">
      <c r="A59" s="10" t="inlineStr">
        <is>
          <t>GYS-0055</t>
        </is>
      </c>
      <c r="B59" s="10" t="inlineStr">
        <is>
          <t>东莞礼品包装供应链0055有限公司（演示）</t>
        </is>
      </c>
      <c r="C59" s="10" t="inlineStr">
        <is>
          <t>礼品包装</t>
        </is>
      </c>
      <c r="D59" s="10" t="inlineStr">
        <is>
          <t>节日礼盒</t>
        </is>
      </c>
      <c r="E59" s="10" t="inlineStr">
        <is>
          <t>广东东莞</t>
        </is>
      </c>
      <c r="F59" s="10" t="inlineStr">
        <is>
          <t>中国制造网</t>
        </is>
      </c>
      <c r="G59" s="10" t="inlineStr">
        <is>
          <t>刘经理</t>
        </is>
      </c>
      <c r="H59" s="10" t="inlineStr">
        <is>
          <t>000-0000-0055</t>
        </is>
      </c>
      <c r="I59" s="10" t="inlineStr">
        <is>
          <t>DEMO_GYS_0055</t>
        </is>
      </c>
      <c r="J59" s="11" t="n">
        <v>4.3</v>
      </c>
      <c r="K59" s="11" t="n">
        <v>14.8</v>
      </c>
      <c r="L59" s="12" t="n">
        <v>500</v>
      </c>
      <c r="M59" s="10" t="inlineStr">
        <is>
          <t>是</t>
        </is>
      </c>
      <c r="N59" s="10" t="inlineStr">
        <is>
          <t>是</t>
        </is>
      </c>
      <c r="O59" s="10" t="inlineStr">
        <is>
          <t>supplier0055@example.com</t>
        </is>
      </c>
      <c r="P59" s="10" t="inlineStr">
        <is>
          <t>https://example.com/supplier/0055</t>
        </is>
      </c>
      <c r="Q59" s="10">
        <f>IF(R59&gt;=85,"A",IF(R59&gt;=70,"B","C"))</f>
        <v/>
      </c>
      <c r="R59" s="13">
        <f>MIN(100,50+IF(M59="是",10,0)+IF(N59="是",10,0)+IF(L59&lt;=100,10,IF(L59&lt;=300,5,0))+IF(J59&lt;=20,10,IF(J59&lt;=50,5,0))+IF(K59-J59&lt;=20,5,0)+IF(F59="企业官网",5,0))</f>
        <v/>
      </c>
      <c r="S59" s="10">
        <f>IF(Q59="A","价格与起订量有优势，建议优先询盘",IF(Q59="B","条件较均衡，可作为备选","起订量或价格需要进一步确认"))</f>
        <v/>
      </c>
      <c r="T59" s="10" t="inlineStr">
        <is>
          <t>未联系</t>
        </is>
      </c>
      <c r="U59" s="10" t="inlineStr">
        <is>
          <t>虚构演示数据</t>
        </is>
      </c>
    </row>
    <row r="60" ht="21" customHeight="1">
      <c r="A60" s="10" t="inlineStr">
        <is>
          <t>GYS-0056</t>
        </is>
      </c>
      <c r="B60" s="10" t="inlineStr">
        <is>
          <t>厦门五金工具供应链0056有限公司（演示）</t>
        </is>
      </c>
      <c r="C60" s="10" t="inlineStr">
        <is>
          <t>五金工具</t>
        </is>
      </c>
      <c r="D60" s="10" t="inlineStr">
        <is>
          <t>多功能螺丝刀</t>
        </is>
      </c>
      <c r="E60" s="10" t="inlineStr">
        <is>
          <t>福建厦门</t>
        </is>
      </c>
      <c r="F60" s="10" t="inlineStr">
        <is>
          <t>企业官网</t>
        </is>
      </c>
      <c r="G60" s="10" t="inlineStr">
        <is>
          <t>黄经理</t>
        </is>
      </c>
      <c r="H60" s="10" t="inlineStr">
        <is>
          <t>000-0000-0056</t>
        </is>
      </c>
      <c r="I60" s="10" t="inlineStr">
        <is>
          <t>DEMO_GYS_0056</t>
        </is>
      </c>
      <c r="J60" s="11" t="n">
        <v>6</v>
      </c>
      <c r="K60" s="11" t="n">
        <v>17.6</v>
      </c>
      <c r="L60" s="12" t="n">
        <v>300</v>
      </c>
      <c r="M60" s="10" t="inlineStr">
        <is>
          <t>否</t>
        </is>
      </c>
      <c r="N60" s="10" t="inlineStr">
        <is>
          <t>是</t>
        </is>
      </c>
      <c r="O60" s="10" t="inlineStr">
        <is>
          <t>supplier0056@example.com</t>
        </is>
      </c>
      <c r="P60" s="10" t="inlineStr">
        <is>
          <t>https://example.com/supplier/0056</t>
        </is>
      </c>
      <c r="Q60" s="10">
        <f>IF(R60&gt;=85,"A",IF(R60&gt;=70,"B","C"))</f>
        <v/>
      </c>
      <c r="R60" s="13">
        <f>MIN(100,50+IF(M60="是",10,0)+IF(N60="是",10,0)+IF(L60&lt;=100,10,IF(L60&lt;=300,5,0))+IF(J60&lt;=20,10,IF(J60&lt;=50,5,0))+IF(K60-J60&lt;=20,5,0)+IF(F60="企业官网",5,0))</f>
        <v/>
      </c>
      <c r="S60" s="10">
        <f>IF(Q60="A","价格与起订量有优势，建议优先询盘",IF(Q60="B","条件较均衡，可作为备选","起订量或价格需要进一步确认"))</f>
        <v/>
      </c>
      <c r="T60" s="10" t="inlineStr">
        <is>
          <t>未联系</t>
        </is>
      </c>
      <c r="U60" s="10" t="inlineStr">
        <is>
          <t>虚构演示数据</t>
        </is>
      </c>
    </row>
    <row r="61" ht="21" customHeight="1">
      <c r="A61" s="10" t="inlineStr">
        <is>
          <t>GYS-0057</t>
        </is>
      </c>
      <c r="B61" s="10" t="inlineStr">
        <is>
          <t>临沂鞋靴配件供应链0057有限公司（演示）</t>
        </is>
      </c>
      <c r="C61" s="10" t="inlineStr">
        <is>
          <t>鞋靴配件</t>
        </is>
      </c>
      <c r="D61" s="10" t="inlineStr">
        <is>
          <t>防磨脚贴</t>
        </is>
      </c>
      <c r="E61" s="10" t="inlineStr">
        <is>
          <t>山东临沂</t>
        </is>
      </c>
      <c r="F61" s="10" t="inlineStr">
        <is>
          <t>义乌购</t>
        </is>
      </c>
      <c r="G61" s="10" t="inlineStr">
        <is>
          <t>赵经理</t>
        </is>
      </c>
      <c r="H61" s="10" t="inlineStr">
        <is>
          <t>000-0000-0057</t>
        </is>
      </c>
      <c r="I61" s="10" t="inlineStr">
        <is>
          <t>DEMO_GYS_0057</t>
        </is>
      </c>
      <c r="J61" s="11" t="n">
        <v>7.7</v>
      </c>
      <c r="K61" s="11" t="n">
        <v>20.4</v>
      </c>
      <c r="L61" s="12" t="n">
        <v>200</v>
      </c>
      <c r="M61" s="10" t="inlineStr">
        <is>
          <t>是</t>
        </is>
      </c>
      <c r="N61" s="10" t="inlineStr">
        <is>
          <t>否</t>
        </is>
      </c>
      <c r="O61" s="10" t="inlineStr">
        <is>
          <t>supplier0057@example.com</t>
        </is>
      </c>
      <c r="P61" s="10" t="inlineStr">
        <is>
          <t>https://example.com/supplier/0057</t>
        </is>
      </c>
      <c r="Q61" s="10">
        <f>IF(R61&gt;=85,"A",IF(R61&gt;=70,"B","C"))</f>
        <v/>
      </c>
      <c r="R61" s="13">
        <f>MIN(100,50+IF(M61="是",10,0)+IF(N61="是",10,0)+IF(L61&lt;=100,10,IF(L61&lt;=300,5,0))+IF(J61&lt;=20,10,IF(J61&lt;=50,5,0))+IF(K61-J61&lt;=20,5,0)+IF(F61="企业官网",5,0))</f>
        <v/>
      </c>
      <c r="S61" s="10">
        <f>IF(Q61="A","价格与起订量有优势，建议优先询盘",IF(Q61="B","条件较均衡，可作为备选","起订量或价格需要进一步确认"))</f>
        <v/>
      </c>
      <c r="T61" s="10" t="inlineStr">
        <is>
          <t>未联系</t>
        </is>
      </c>
      <c r="U61" s="10" t="inlineStr">
        <is>
          <t>虚构演示数据</t>
        </is>
      </c>
    </row>
    <row r="62" ht="21" customHeight="1">
      <c r="A62" s="10" t="inlineStr">
        <is>
          <t>GYS-0058</t>
        </is>
      </c>
      <c r="B62" s="10" t="inlineStr">
        <is>
          <t>南昌食品包装供应链0058有限公司（演示）</t>
        </is>
      </c>
      <c r="C62" s="10" t="inlineStr">
        <is>
          <t>食品包装</t>
        </is>
      </c>
      <c r="D62" s="10" t="inlineStr">
        <is>
          <t>密封包装袋</t>
        </is>
      </c>
      <c r="E62" s="10" t="inlineStr">
        <is>
          <t>江西南昌</t>
        </is>
      </c>
      <c r="F62" s="10" t="inlineStr">
        <is>
          <t>慧聪网</t>
        </is>
      </c>
      <c r="G62" s="10" t="inlineStr">
        <is>
          <t>周经理</t>
        </is>
      </c>
      <c r="H62" s="10" t="inlineStr">
        <is>
          <t>000-0000-0058</t>
        </is>
      </c>
      <c r="I62" s="10" t="inlineStr">
        <is>
          <t>DEMO_GYS_0058</t>
        </is>
      </c>
      <c r="J62" s="11" t="n">
        <v>9.4</v>
      </c>
      <c r="K62" s="11" t="n">
        <v>23.2</v>
      </c>
      <c r="L62" s="12" t="n">
        <v>100</v>
      </c>
      <c r="M62" s="10" t="inlineStr">
        <is>
          <t>是</t>
        </is>
      </c>
      <c r="N62" s="10" t="inlineStr">
        <is>
          <t>是</t>
        </is>
      </c>
      <c r="O62" s="10" t="inlineStr">
        <is>
          <t>supplier0058@example.com</t>
        </is>
      </c>
      <c r="P62" s="10" t="inlineStr">
        <is>
          <t>https://example.com/supplier/0058</t>
        </is>
      </c>
      <c r="Q62" s="10">
        <f>IF(R62&gt;=85,"A",IF(R62&gt;=70,"B","C"))</f>
        <v/>
      </c>
      <c r="R62" s="13">
        <f>MIN(100,50+IF(M62="是",10,0)+IF(N62="是",10,0)+IF(L62&lt;=100,10,IF(L62&lt;=300,5,0))+IF(J62&lt;=20,10,IF(J62&lt;=50,5,0))+IF(K62-J62&lt;=20,5,0)+IF(F62="企业官网",5,0))</f>
        <v/>
      </c>
      <c r="S62" s="10">
        <f>IF(Q62="A","价格与起订量有优势，建议优先询盘",IF(Q62="B","条件较均衡，可作为备选","起订量或价格需要进一步确认"))</f>
        <v/>
      </c>
      <c r="T62" s="10" t="inlineStr">
        <is>
          <t>未联系</t>
        </is>
      </c>
      <c r="U62" s="10" t="inlineStr">
        <is>
          <t>虚构演示数据</t>
        </is>
      </c>
    </row>
    <row r="63" ht="21" customHeight="1">
      <c r="A63" s="10" t="inlineStr">
        <is>
          <t>GYS-0059</t>
        </is>
      </c>
      <c r="B63" s="10" t="inlineStr">
        <is>
          <t>温州户外照明供应链0059有限公司（演示）</t>
        </is>
      </c>
      <c r="C63" s="10" t="inlineStr">
        <is>
          <t>户外照明</t>
        </is>
      </c>
      <c r="D63" s="10" t="inlineStr">
        <is>
          <t>便携露营灯</t>
        </is>
      </c>
      <c r="E63" s="10" t="inlineStr">
        <is>
          <t>浙江温州</t>
        </is>
      </c>
      <c r="F63" s="10" t="inlineStr">
        <is>
          <t>1688</t>
        </is>
      </c>
      <c r="G63" s="10" t="inlineStr">
        <is>
          <t>吴经理</t>
        </is>
      </c>
      <c r="H63" s="10" t="inlineStr">
        <is>
          <t>000-0000-0059</t>
        </is>
      </c>
      <c r="I63" s="10" t="inlineStr">
        <is>
          <t>DEMO_GYS_0059</t>
        </is>
      </c>
      <c r="J63" s="11" t="n">
        <v>11.1</v>
      </c>
      <c r="K63" s="11" t="n">
        <v>26</v>
      </c>
      <c r="L63" s="12" t="n">
        <v>50</v>
      </c>
      <c r="M63" s="10" t="inlineStr">
        <is>
          <t>是</t>
        </is>
      </c>
      <c r="N63" s="10" t="inlineStr">
        <is>
          <t>是</t>
        </is>
      </c>
      <c r="O63" s="10" t="inlineStr">
        <is>
          <t>supplier0059@example.com</t>
        </is>
      </c>
      <c r="P63" s="10" t="inlineStr">
        <is>
          <t>https://example.com/supplier/0059</t>
        </is>
      </c>
      <c r="Q63" s="10">
        <f>IF(R63&gt;=85,"A",IF(R63&gt;=70,"B","C"))</f>
        <v/>
      </c>
      <c r="R63" s="13">
        <f>MIN(100,50+IF(M63="是",10,0)+IF(N63="是",10,0)+IF(L63&lt;=100,10,IF(L63&lt;=300,5,0))+IF(J63&lt;=20,10,IF(J63&lt;=50,5,0))+IF(K63-J63&lt;=20,5,0)+IF(F63="企业官网",5,0))</f>
        <v/>
      </c>
      <c r="S63" s="10">
        <f>IF(Q63="A","价格与起订量有优势，建议优先询盘",IF(Q63="B","条件较均衡，可作为备选","起订量或价格需要进一步确认"))</f>
        <v/>
      </c>
      <c r="T63" s="10" t="inlineStr">
        <is>
          <t>未联系</t>
        </is>
      </c>
      <c r="U63" s="10" t="inlineStr">
        <is>
          <t>虚构演示数据</t>
        </is>
      </c>
    </row>
    <row r="64" ht="21" customHeight="1">
      <c r="A64" s="10" t="inlineStr">
        <is>
          <t>GYS-0060</t>
        </is>
      </c>
      <c r="B64" s="10" t="inlineStr">
        <is>
          <t>广州健康用品供应链0060有限公司（演示）</t>
        </is>
      </c>
      <c r="C64" s="10" t="inlineStr">
        <is>
          <t>健康用品</t>
        </is>
      </c>
      <c r="D64" s="10" t="inlineStr">
        <is>
          <t>热敷眼罩</t>
        </is>
      </c>
      <c r="E64" s="10" t="inlineStr">
        <is>
          <t>广东广州</t>
        </is>
      </c>
      <c r="F64" s="10" t="inlineStr">
        <is>
          <t>中国制造网</t>
        </is>
      </c>
      <c r="G64" s="10" t="inlineStr">
        <is>
          <t>陈经理</t>
        </is>
      </c>
      <c r="H64" s="10" t="inlineStr">
        <is>
          <t>000-0000-0060</t>
        </is>
      </c>
      <c r="I64" s="10" t="inlineStr">
        <is>
          <t>DEMO_GYS_0060</t>
        </is>
      </c>
      <c r="J64" s="11" t="n">
        <v>12.8</v>
      </c>
      <c r="K64" s="11" t="n">
        <v>28.8</v>
      </c>
      <c r="L64" s="12" t="n">
        <v>20</v>
      </c>
      <c r="M64" s="10" t="inlineStr">
        <is>
          <t>否</t>
        </is>
      </c>
      <c r="N64" s="10" t="inlineStr">
        <is>
          <t>否</t>
        </is>
      </c>
      <c r="O64" s="10" t="inlineStr">
        <is>
          <t>supplier0060@example.com</t>
        </is>
      </c>
      <c r="P64" s="10" t="inlineStr">
        <is>
          <t>https://example.com/supplier/0060</t>
        </is>
      </c>
      <c r="Q64" s="10">
        <f>IF(R64&gt;=85,"A",IF(R64&gt;=70,"B","C"))</f>
        <v/>
      </c>
      <c r="R64" s="13">
        <f>MIN(100,50+IF(M64="是",10,0)+IF(N64="是",10,0)+IF(L64&lt;=100,10,IF(L64&lt;=300,5,0))+IF(J64&lt;=20,10,IF(J64&lt;=50,5,0))+IF(K64-J64&lt;=20,5,0)+IF(F64="企业官网",5,0))</f>
        <v/>
      </c>
      <c r="S64" s="10">
        <f>IF(Q64="A","价格与起订量有优势，建议优先询盘",IF(Q64="B","条件较均衡，可作为备选","起订量或价格需要进一步确认"))</f>
        <v/>
      </c>
      <c r="T64" s="10" t="inlineStr">
        <is>
          <t>未联系</t>
        </is>
      </c>
      <c r="U64" s="10" t="inlineStr">
        <is>
          <t>虚构演示数据</t>
        </is>
      </c>
    </row>
    <row r="65" ht="21" customHeight="1">
      <c r="A65" s="10" t="inlineStr">
        <is>
          <t>GYS-0061</t>
        </is>
      </c>
      <c r="B65" s="10" t="inlineStr">
        <is>
          <t>泉州服饰内衣供应链0061有限公司（演示）</t>
        </is>
      </c>
      <c r="C65" s="10" t="inlineStr">
        <is>
          <t>服饰内衣</t>
        </is>
      </c>
      <c r="D65" s="10" t="inlineStr">
        <is>
          <t>防滑袜</t>
        </is>
      </c>
      <c r="E65" s="10" t="inlineStr">
        <is>
          <t>福建泉州</t>
        </is>
      </c>
      <c r="F65" s="10" t="inlineStr">
        <is>
          <t>企业官网</t>
        </is>
      </c>
      <c r="G65" s="10" t="inlineStr">
        <is>
          <t>林经理</t>
        </is>
      </c>
      <c r="H65" s="10" t="inlineStr">
        <is>
          <t>000-0000-0061</t>
        </is>
      </c>
      <c r="I65" s="10" t="inlineStr">
        <is>
          <t>DEMO_GYS_0061</t>
        </is>
      </c>
      <c r="J65" s="11" t="n">
        <v>14.5</v>
      </c>
      <c r="K65" s="11" t="n">
        <v>31.6</v>
      </c>
      <c r="L65" s="12" t="n">
        <v>500</v>
      </c>
      <c r="M65" s="10" t="inlineStr">
        <is>
          <t>是</t>
        </is>
      </c>
      <c r="N65" s="10" t="inlineStr">
        <is>
          <t>是</t>
        </is>
      </c>
      <c r="O65" s="10" t="inlineStr">
        <is>
          <t>supplier0061@example.com</t>
        </is>
      </c>
      <c r="P65" s="10" t="inlineStr">
        <is>
          <t>https://example.com/supplier/0061</t>
        </is>
      </c>
      <c r="Q65" s="10">
        <f>IF(R65&gt;=85,"A",IF(R65&gt;=70,"B","C"))</f>
        <v/>
      </c>
      <c r="R65" s="13">
        <f>MIN(100,50+IF(M65="是",10,0)+IF(N65="是",10,0)+IF(L65&lt;=100,10,IF(L65&lt;=300,5,0))+IF(J65&lt;=20,10,IF(J65&lt;=50,5,0))+IF(K65-J65&lt;=20,5,0)+IF(F65="企业官网",5,0))</f>
        <v/>
      </c>
      <c r="S65" s="10">
        <f>IF(Q65="A","价格与起订量有优势，建议优先询盘",IF(Q65="B","条件较均衡，可作为备选","起订量或价格需要进一步确认"))</f>
        <v/>
      </c>
      <c r="T65" s="10" t="inlineStr">
        <is>
          <t>未联系</t>
        </is>
      </c>
      <c r="U65" s="10" t="inlineStr">
        <is>
          <t>虚构演示数据</t>
        </is>
      </c>
    </row>
    <row r="66" ht="21" customHeight="1">
      <c r="A66" s="10" t="inlineStr">
        <is>
          <t>GYS-0062</t>
        </is>
      </c>
      <c r="B66" s="10" t="inlineStr">
        <is>
          <t>南通家居日用供应链0062有限公司（演示）</t>
        </is>
      </c>
      <c r="C66" s="10" t="inlineStr">
        <is>
          <t>家居日用</t>
        </is>
      </c>
      <c r="D66" s="10" t="inlineStr">
        <is>
          <t>折叠收纳箱</t>
        </is>
      </c>
      <c r="E66" s="10" t="inlineStr">
        <is>
          <t>江苏南通</t>
        </is>
      </c>
      <c r="F66" s="10" t="inlineStr">
        <is>
          <t>义乌购</t>
        </is>
      </c>
      <c r="G66" s="10" t="inlineStr">
        <is>
          <t>王经理</t>
        </is>
      </c>
      <c r="H66" s="10" t="inlineStr">
        <is>
          <t>000-0000-0062</t>
        </is>
      </c>
      <c r="I66" s="10" t="inlineStr">
        <is>
          <t>DEMO_GYS_0062</t>
        </is>
      </c>
      <c r="J66" s="11" t="n">
        <v>16.2</v>
      </c>
      <c r="K66" s="11" t="n">
        <v>34.4</v>
      </c>
      <c r="L66" s="12" t="n">
        <v>300</v>
      </c>
      <c r="M66" s="10" t="inlineStr">
        <is>
          <t>是</t>
        </is>
      </c>
      <c r="N66" s="10" t="inlineStr">
        <is>
          <t>是</t>
        </is>
      </c>
      <c r="O66" s="10" t="inlineStr">
        <is>
          <t>supplier0062@example.com</t>
        </is>
      </c>
      <c r="P66" s="10" t="inlineStr">
        <is>
          <t>https://example.com/supplier/0062</t>
        </is>
      </c>
      <c r="Q66" s="10">
        <f>IF(R66&gt;=85,"A",IF(R66&gt;=70,"B","C"))</f>
        <v/>
      </c>
      <c r="R66" s="13">
        <f>MIN(100,50+IF(M66="是",10,0)+IF(N66="是",10,0)+IF(L66&lt;=100,10,IF(L66&lt;=300,5,0))+IF(J66&lt;=20,10,IF(J66&lt;=50,5,0))+IF(K66-J66&lt;=20,5,0)+IF(F66="企业官网",5,0))</f>
        <v/>
      </c>
      <c r="S66" s="10">
        <f>IF(Q66="A","价格与起订量有优势，建议优先询盘",IF(Q66="B","条件较均衡，可作为备选","起订量或价格需要进一步确认"))</f>
        <v/>
      </c>
      <c r="T66" s="10" t="inlineStr">
        <is>
          <t>未联系</t>
        </is>
      </c>
      <c r="U66" s="10" t="inlineStr">
        <is>
          <t>虚构演示数据</t>
        </is>
      </c>
    </row>
    <row r="67" ht="21" customHeight="1">
      <c r="A67" s="10" t="inlineStr">
        <is>
          <t>GYS-0063</t>
        </is>
      </c>
      <c r="B67" s="10" t="inlineStr">
        <is>
          <t>郑州个护清洁供应链0063有限公司（演示）</t>
        </is>
      </c>
      <c r="C67" s="10" t="inlineStr">
        <is>
          <t>个护清洁</t>
        </is>
      </c>
      <c r="D67" s="10" t="inlineStr">
        <is>
          <t>便携洗脸巾</t>
        </is>
      </c>
      <c r="E67" s="10" t="inlineStr">
        <is>
          <t>河南郑州</t>
        </is>
      </c>
      <c r="F67" s="10" t="inlineStr">
        <is>
          <t>慧聪网</t>
        </is>
      </c>
      <c r="G67" s="10" t="inlineStr">
        <is>
          <t>李经理</t>
        </is>
      </c>
      <c r="H67" s="10" t="inlineStr">
        <is>
          <t>000-0000-0063</t>
        </is>
      </c>
      <c r="I67" s="10" t="inlineStr">
        <is>
          <t>DEMO_GYS_0063</t>
        </is>
      </c>
      <c r="J67" s="11" t="n">
        <v>17.9</v>
      </c>
      <c r="K67" s="11" t="n">
        <v>37.2</v>
      </c>
      <c r="L67" s="12" t="n">
        <v>200</v>
      </c>
      <c r="M67" s="10" t="inlineStr">
        <is>
          <t>是</t>
        </is>
      </c>
      <c r="N67" s="10" t="inlineStr">
        <is>
          <t>否</t>
        </is>
      </c>
      <c r="O67" s="10" t="inlineStr">
        <is>
          <t>supplier0063@example.com</t>
        </is>
      </c>
      <c r="P67" s="10" t="inlineStr">
        <is>
          <t>https://example.com/supplier/0063</t>
        </is>
      </c>
      <c r="Q67" s="10">
        <f>IF(R67&gt;=85,"A",IF(R67&gt;=70,"B","C"))</f>
        <v/>
      </c>
      <c r="R67" s="13">
        <f>MIN(100,50+IF(M67="是",10,0)+IF(N67="是",10,0)+IF(L67&lt;=100,10,IF(L67&lt;=300,5,0))+IF(J67&lt;=20,10,IF(J67&lt;=50,5,0))+IF(K67-J67&lt;=20,5,0)+IF(F67="企业官网",5,0))</f>
        <v/>
      </c>
      <c r="S67" s="10">
        <f>IF(Q67="A","价格与起订量有优势，建议优先询盘",IF(Q67="B","条件较均衡，可作为备选","起订量或价格需要进一步确认"))</f>
        <v/>
      </c>
      <c r="T67" s="10" t="inlineStr">
        <is>
          <t>未联系</t>
        </is>
      </c>
      <c r="U67" s="10" t="inlineStr">
        <is>
          <t>虚构演示数据</t>
        </is>
      </c>
    </row>
    <row r="68" ht="21" customHeight="1">
      <c r="A68" s="10" t="inlineStr">
        <is>
          <t>GYS-0064</t>
        </is>
      </c>
      <c r="B68" s="10" t="inlineStr">
        <is>
          <t>宁波厨房用品供应链0064有限公司（演示）</t>
        </is>
      </c>
      <c r="C68" s="10" t="inlineStr">
        <is>
          <t>厨房用品</t>
        </is>
      </c>
      <c r="D68" s="10" t="inlineStr">
        <is>
          <t>硅胶保鲜盒</t>
        </is>
      </c>
      <c r="E68" s="10" t="inlineStr">
        <is>
          <t>浙江宁波</t>
        </is>
      </c>
      <c r="F68" s="10" t="inlineStr">
        <is>
          <t>1688</t>
        </is>
      </c>
      <c r="G68" s="10" t="inlineStr">
        <is>
          <t>张经理</t>
        </is>
      </c>
      <c r="H68" s="10" t="inlineStr">
        <is>
          <t>000-0000-0064</t>
        </is>
      </c>
      <c r="I68" s="10" t="inlineStr">
        <is>
          <t>DEMO_GYS_0064</t>
        </is>
      </c>
      <c r="J68" s="11" t="n">
        <v>19.6</v>
      </c>
      <c r="K68" s="11" t="n">
        <v>40</v>
      </c>
      <c r="L68" s="12" t="n">
        <v>100</v>
      </c>
      <c r="M68" s="10" t="inlineStr">
        <is>
          <t>否</t>
        </is>
      </c>
      <c r="N68" s="10" t="inlineStr">
        <is>
          <t>是</t>
        </is>
      </c>
      <c r="O68" s="10" t="inlineStr">
        <is>
          <t>supplier0064@example.com</t>
        </is>
      </c>
      <c r="P68" s="10" t="inlineStr">
        <is>
          <t>https://example.com/supplier/0064</t>
        </is>
      </c>
      <c r="Q68" s="10">
        <f>IF(R68&gt;=85,"A",IF(R68&gt;=70,"B","C"))</f>
        <v/>
      </c>
      <c r="R68" s="13">
        <f>MIN(100,50+IF(M68="是",10,0)+IF(N68="是",10,0)+IF(L68&lt;=100,10,IF(L68&lt;=300,5,0))+IF(J68&lt;=20,10,IF(J68&lt;=50,5,0))+IF(K68-J68&lt;=20,5,0)+IF(F68="企业官网",5,0))</f>
        <v/>
      </c>
      <c r="S68" s="10">
        <f>IF(Q68="A","价格与起订量有优势，建议优先询盘",IF(Q68="B","条件较均衡，可作为备选","起订量或价格需要进一步确认"))</f>
        <v/>
      </c>
      <c r="T68" s="10" t="inlineStr">
        <is>
          <t>未联系</t>
        </is>
      </c>
      <c r="U68" s="10" t="inlineStr">
        <is>
          <t>虚构演示数据</t>
        </is>
      </c>
    </row>
    <row r="69" ht="21" customHeight="1">
      <c r="A69" s="10" t="inlineStr">
        <is>
          <t>GYS-0065</t>
        </is>
      </c>
      <c r="B69" s="10" t="inlineStr">
        <is>
          <t>深圳数码配件供应链0065有限公司（演示）</t>
        </is>
      </c>
      <c r="C69" s="10" t="inlineStr">
        <is>
          <t>数码配件</t>
        </is>
      </c>
      <c r="D69" s="10" t="inlineStr">
        <is>
          <t>磁吸手机支架</t>
        </is>
      </c>
      <c r="E69" s="10" t="inlineStr">
        <is>
          <t>广东深圳</t>
        </is>
      </c>
      <c r="F69" s="10" t="inlineStr">
        <is>
          <t>中国制造网</t>
        </is>
      </c>
      <c r="G69" s="10" t="inlineStr">
        <is>
          <t>刘经理</t>
        </is>
      </c>
      <c r="H69" s="10" t="inlineStr">
        <is>
          <t>000-0000-0065</t>
        </is>
      </c>
      <c r="I69" s="10" t="inlineStr">
        <is>
          <t>DEMO_GYS_0065</t>
        </is>
      </c>
      <c r="J69" s="11" t="n">
        <v>21.3</v>
      </c>
      <c r="K69" s="11" t="n">
        <v>42.8</v>
      </c>
      <c r="L69" s="12" t="n">
        <v>50</v>
      </c>
      <c r="M69" s="10" t="inlineStr">
        <is>
          <t>是</t>
        </is>
      </c>
      <c r="N69" s="10" t="inlineStr">
        <is>
          <t>是</t>
        </is>
      </c>
      <c r="O69" s="10" t="inlineStr">
        <is>
          <t>supplier0065@example.com</t>
        </is>
      </c>
      <c r="P69" s="10" t="inlineStr">
        <is>
          <t>https://example.com/supplier/0065</t>
        </is>
      </c>
      <c r="Q69" s="10">
        <f>IF(R69&gt;=85,"A",IF(R69&gt;=70,"B","C"))</f>
        <v/>
      </c>
      <c r="R69" s="13">
        <f>MIN(100,50+IF(M69="是",10,0)+IF(N69="是",10,0)+IF(L69&lt;=100,10,IF(L69&lt;=300,5,0))+IF(J69&lt;=20,10,IF(J69&lt;=50,5,0))+IF(K69-J69&lt;=20,5,0)+IF(F69="企业官网",5,0))</f>
        <v/>
      </c>
      <c r="S69" s="10">
        <f>IF(Q69="A","价格与起订量有优势，建议优先询盘",IF(Q69="B","条件较均衡，可作为备选","起订量或价格需要进一步确认"))</f>
        <v/>
      </c>
      <c r="T69" s="10" t="inlineStr">
        <is>
          <t>未联系</t>
        </is>
      </c>
      <c r="U69" s="10" t="inlineStr">
        <is>
          <t>虚构演示数据</t>
        </is>
      </c>
    </row>
    <row r="70" ht="21" customHeight="1">
      <c r="A70" s="10" t="inlineStr">
        <is>
          <t>GYS-0066</t>
        </is>
      </c>
      <c r="B70" s="10" t="inlineStr">
        <is>
          <t>佛山宠物用品供应链0066有限公司（演示）</t>
        </is>
      </c>
      <c r="C70" s="10" t="inlineStr">
        <is>
          <t>宠物用品</t>
        </is>
      </c>
      <c r="D70" s="10" t="inlineStr">
        <is>
          <t>宠物清洁手套</t>
        </is>
      </c>
      <c r="E70" s="10" t="inlineStr">
        <is>
          <t>广东佛山</t>
        </is>
      </c>
      <c r="F70" s="10" t="inlineStr">
        <is>
          <t>企业官网</t>
        </is>
      </c>
      <c r="G70" s="10" t="inlineStr">
        <is>
          <t>黄经理</t>
        </is>
      </c>
      <c r="H70" s="10" t="inlineStr">
        <is>
          <t>000-0000-0066</t>
        </is>
      </c>
      <c r="I70" s="10" t="inlineStr">
        <is>
          <t>DEMO_GYS_0066</t>
        </is>
      </c>
      <c r="J70" s="11" t="n">
        <v>23</v>
      </c>
      <c r="K70" s="11" t="n">
        <v>27.6</v>
      </c>
      <c r="L70" s="12" t="n">
        <v>20</v>
      </c>
      <c r="M70" s="10" t="inlineStr">
        <is>
          <t>是</t>
        </is>
      </c>
      <c r="N70" s="10" t="inlineStr">
        <is>
          <t>否</t>
        </is>
      </c>
      <c r="O70" s="10" t="inlineStr">
        <is>
          <t>supplier0066@example.com</t>
        </is>
      </c>
      <c r="P70" s="10" t="inlineStr">
        <is>
          <t>https://example.com/supplier/0066</t>
        </is>
      </c>
      <c r="Q70" s="10">
        <f>IF(R70&gt;=85,"A",IF(R70&gt;=70,"B","C"))</f>
        <v/>
      </c>
      <c r="R70" s="13">
        <f>MIN(100,50+IF(M70="是",10,0)+IF(N70="是",10,0)+IF(L70&lt;=100,10,IF(L70&lt;=300,5,0))+IF(J70&lt;=20,10,IF(J70&lt;=50,5,0))+IF(K70-J70&lt;=20,5,0)+IF(F70="企业官网",5,0))</f>
        <v/>
      </c>
      <c r="S70" s="10">
        <f>IF(Q70="A","价格与起订量有优势，建议优先询盘",IF(Q70="B","条件较均衡，可作为备选","起订量或价格需要进一步确认"))</f>
        <v/>
      </c>
      <c r="T70" s="10" t="inlineStr">
        <is>
          <t>未联系</t>
        </is>
      </c>
      <c r="U70" s="10" t="inlineStr">
        <is>
          <t>虚构演示数据</t>
        </is>
      </c>
    </row>
    <row r="71" ht="21" customHeight="1">
      <c r="A71" s="10" t="inlineStr">
        <is>
          <t>GYS-0067</t>
        </is>
      </c>
      <c r="B71" s="10" t="inlineStr">
        <is>
          <t>苏州母婴用品供应链0067有限公司（演示）</t>
        </is>
      </c>
      <c r="C71" s="10" t="inlineStr">
        <is>
          <t>母婴用品</t>
        </is>
      </c>
      <c r="D71" s="10" t="inlineStr">
        <is>
          <t>婴儿防撞条</t>
        </is>
      </c>
      <c r="E71" s="10" t="inlineStr">
        <is>
          <t>江苏苏州</t>
        </is>
      </c>
      <c r="F71" s="10" t="inlineStr">
        <is>
          <t>义乌购</t>
        </is>
      </c>
      <c r="G71" s="10" t="inlineStr">
        <is>
          <t>赵经理</t>
        </is>
      </c>
      <c r="H71" s="10" t="inlineStr">
        <is>
          <t>000-0000-0067</t>
        </is>
      </c>
      <c r="I71" s="10" t="inlineStr">
        <is>
          <t>DEMO_GYS_0067</t>
        </is>
      </c>
      <c r="J71" s="11" t="n">
        <v>24.7</v>
      </c>
      <c r="K71" s="11" t="n">
        <v>30.4</v>
      </c>
      <c r="L71" s="12" t="n">
        <v>500</v>
      </c>
      <c r="M71" s="10" t="inlineStr">
        <is>
          <t>是</t>
        </is>
      </c>
      <c r="N71" s="10" t="inlineStr">
        <is>
          <t>是</t>
        </is>
      </c>
      <c r="O71" s="10" t="inlineStr">
        <is>
          <t>supplier0067@example.com</t>
        </is>
      </c>
      <c r="P71" s="10" t="inlineStr">
        <is>
          <t>https://example.com/supplier/0067</t>
        </is>
      </c>
      <c r="Q71" s="10">
        <f>IF(R71&gt;=85,"A",IF(R71&gt;=70,"B","C"))</f>
        <v/>
      </c>
      <c r="R71" s="13">
        <f>MIN(100,50+IF(M71="是",10,0)+IF(N71="是",10,0)+IF(L71&lt;=100,10,IF(L71&lt;=300,5,0))+IF(J71&lt;=20,10,IF(J71&lt;=50,5,0))+IF(K71-J71&lt;=20,5,0)+IF(F71="企业官网",5,0))</f>
        <v/>
      </c>
      <c r="S71" s="10">
        <f>IF(Q71="A","价格与起订量有优势，建议优先询盘",IF(Q71="B","条件较均衡，可作为备选","起订量或价格需要进一步确认"))</f>
        <v/>
      </c>
      <c r="T71" s="10" t="inlineStr">
        <is>
          <t>未联系</t>
        </is>
      </c>
      <c r="U71" s="10" t="inlineStr">
        <is>
          <t>虚构演示数据</t>
        </is>
      </c>
    </row>
    <row r="72" ht="21" customHeight="1">
      <c r="A72" s="10" t="inlineStr">
        <is>
          <t>GYS-0068</t>
        </is>
      </c>
      <c r="B72" s="10" t="inlineStr">
        <is>
          <t>白沟运动户外供应链0068有限公司（演示）</t>
        </is>
      </c>
      <c r="C72" s="10" t="inlineStr">
        <is>
          <t>运动户外</t>
        </is>
      </c>
      <c r="D72" s="10" t="inlineStr">
        <is>
          <t>弹力训练带</t>
        </is>
      </c>
      <c r="E72" s="10" t="inlineStr">
        <is>
          <t>河北白沟</t>
        </is>
      </c>
      <c r="F72" s="10" t="inlineStr">
        <is>
          <t>慧聪网</t>
        </is>
      </c>
      <c r="G72" s="10" t="inlineStr">
        <is>
          <t>周经理</t>
        </is>
      </c>
      <c r="H72" s="10" t="inlineStr">
        <is>
          <t>000-0000-0068</t>
        </is>
      </c>
      <c r="I72" s="10" t="inlineStr">
        <is>
          <t>DEMO_GYS_0068</t>
        </is>
      </c>
      <c r="J72" s="11" t="n">
        <v>26.4</v>
      </c>
      <c r="K72" s="11" t="n">
        <v>33.2</v>
      </c>
      <c r="L72" s="12" t="n">
        <v>300</v>
      </c>
      <c r="M72" s="10" t="inlineStr">
        <is>
          <t>否</t>
        </is>
      </c>
      <c r="N72" s="10" t="inlineStr">
        <is>
          <t>是</t>
        </is>
      </c>
      <c r="O72" s="10" t="inlineStr">
        <is>
          <t>supplier0068@example.com</t>
        </is>
      </c>
      <c r="P72" s="10" t="inlineStr">
        <is>
          <t>https://example.com/supplier/0068</t>
        </is>
      </c>
      <c r="Q72" s="10">
        <f>IF(R72&gt;=85,"A",IF(R72&gt;=70,"B","C"))</f>
        <v/>
      </c>
      <c r="R72" s="13">
        <f>MIN(100,50+IF(M72="是",10,0)+IF(N72="是",10,0)+IF(L72&lt;=100,10,IF(L72&lt;=300,5,0))+IF(J72&lt;=20,10,IF(J72&lt;=50,5,0))+IF(K72-J72&lt;=20,5,0)+IF(F72="企业官网",5,0))</f>
        <v/>
      </c>
      <c r="S72" s="10">
        <f>IF(Q72="A","价格与起订量有优势，建议优先询盘",IF(Q72="B","条件较均衡，可作为备选","起订量或价格需要进一步确认"))</f>
        <v/>
      </c>
      <c r="T72" s="10" t="inlineStr">
        <is>
          <t>未联系</t>
        </is>
      </c>
      <c r="U72" s="10" t="inlineStr">
        <is>
          <t>虚构演示数据</t>
        </is>
      </c>
    </row>
    <row r="73" ht="21" customHeight="1">
      <c r="A73" s="10" t="inlineStr">
        <is>
          <t>GYS-0069</t>
        </is>
      </c>
      <c r="B73" s="10" t="inlineStr">
        <is>
          <t>义乌办公文具供应链0069有限公司（演示）</t>
        </is>
      </c>
      <c r="C73" s="10" t="inlineStr">
        <is>
          <t>办公文具</t>
        </is>
      </c>
      <c r="D73" s="10" t="inlineStr">
        <is>
          <t>桌面收纳架</t>
        </is>
      </c>
      <c r="E73" s="10" t="inlineStr">
        <is>
          <t>浙江义乌</t>
        </is>
      </c>
      <c r="F73" s="10" t="inlineStr">
        <is>
          <t>1688</t>
        </is>
      </c>
      <c r="G73" s="10" t="inlineStr">
        <is>
          <t>吴经理</t>
        </is>
      </c>
      <c r="H73" s="10" t="inlineStr">
        <is>
          <t>000-0000-0069</t>
        </is>
      </c>
      <c r="I73" s="10" t="inlineStr">
        <is>
          <t>DEMO_GYS_0069</t>
        </is>
      </c>
      <c r="J73" s="11" t="n">
        <v>28.1</v>
      </c>
      <c r="K73" s="11" t="n">
        <v>36</v>
      </c>
      <c r="L73" s="12" t="n">
        <v>200</v>
      </c>
      <c r="M73" s="10" t="inlineStr">
        <is>
          <t>是</t>
        </is>
      </c>
      <c r="N73" s="10" t="inlineStr">
        <is>
          <t>否</t>
        </is>
      </c>
      <c r="O73" s="10" t="inlineStr">
        <is>
          <t>supplier0069@example.com</t>
        </is>
      </c>
      <c r="P73" s="10" t="inlineStr">
        <is>
          <t>https://example.com/supplier/0069</t>
        </is>
      </c>
      <c r="Q73" s="10">
        <f>IF(R73&gt;=85,"A",IF(R73&gt;=70,"B","C"))</f>
        <v/>
      </c>
      <c r="R73" s="13">
        <f>MIN(100,50+IF(M73="是",10,0)+IF(N73="是",10,0)+IF(L73&lt;=100,10,IF(L73&lt;=300,5,0))+IF(J73&lt;=20,10,IF(J73&lt;=50,5,0))+IF(K73-J73&lt;=20,5,0)+IF(F73="企业官网",5,0))</f>
        <v/>
      </c>
      <c r="S73" s="10">
        <f>IF(Q73="A","价格与起订量有优势，建议优先询盘",IF(Q73="B","条件较均衡，可作为备选","起订量或价格需要进一步确认"))</f>
        <v/>
      </c>
      <c r="T73" s="10" t="inlineStr">
        <is>
          <t>未联系</t>
        </is>
      </c>
      <c r="U73" s="10" t="inlineStr">
        <is>
          <t>虚构演示数据</t>
        </is>
      </c>
    </row>
    <row r="74" ht="21" customHeight="1">
      <c r="A74" s="10" t="inlineStr">
        <is>
          <t>GYS-0070</t>
        </is>
      </c>
      <c r="B74" s="10" t="inlineStr">
        <is>
          <t>台州汽车用品供应链0070有限公司（演示）</t>
        </is>
      </c>
      <c r="C74" s="10" t="inlineStr">
        <is>
          <t>汽车用品</t>
        </is>
      </c>
      <c r="D74" s="10" t="inlineStr">
        <is>
          <t>车载香薰</t>
        </is>
      </c>
      <c r="E74" s="10" t="inlineStr">
        <is>
          <t>浙江台州</t>
        </is>
      </c>
      <c r="F74" s="10" t="inlineStr">
        <is>
          <t>中国制造网</t>
        </is>
      </c>
      <c r="G74" s="10" t="inlineStr">
        <is>
          <t>陈经理</t>
        </is>
      </c>
      <c r="H74" s="10" t="inlineStr">
        <is>
          <t>000-0000-0070</t>
        </is>
      </c>
      <c r="I74" s="10" t="inlineStr">
        <is>
          <t>DEMO_GYS_0070</t>
        </is>
      </c>
      <c r="J74" s="11" t="n">
        <v>29.8</v>
      </c>
      <c r="K74" s="11" t="n">
        <v>38.8</v>
      </c>
      <c r="L74" s="12" t="n">
        <v>100</v>
      </c>
      <c r="M74" s="10" t="inlineStr">
        <is>
          <t>是</t>
        </is>
      </c>
      <c r="N74" s="10" t="inlineStr">
        <is>
          <t>是</t>
        </is>
      </c>
      <c r="O74" s="10" t="inlineStr">
        <is>
          <t>supplier0070@example.com</t>
        </is>
      </c>
      <c r="P74" s="10" t="inlineStr">
        <is>
          <t>https://example.com/supplier/0070</t>
        </is>
      </c>
      <c r="Q74" s="10">
        <f>IF(R74&gt;=85,"A",IF(R74&gt;=70,"B","C"))</f>
        <v/>
      </c>
      <c r="R74" s="13">
        <f>MIN(100,50+IF(M74="是",10,0)+IF(N74="是",10,0)+IF(L74&lt;=100,10,IF(L74&lt;=300,5,0))+IF(J74&lt;=20,10,IF(J74&lt;=50,5,0))+IF(K74-J74&lt;=20,5,0)+IF(F74="企业官网",5,0))</f>
        <v/>
      </c>
      <c r="S74" s="10">
        <f>IF(Q74="A","价格与起订量有优势，建议优先询盘",IF(Q74="B","条件较均衡，可作为备选","起订量或价格需要进一步确认"))</f>
        <v/>
      </c>
      <c r="T74" s="10" t="inlineStr">
        <is>
          <t>未联系</t>
        </is>
      </c>
      <c r="U74" s="10" t="inlineStr">
        <is>
          <t>虚构演示数据</t>
        </is>
      </c>
    </row>
    <row r="75" ht="21" customHeight="1">
      <c r="A75" s="10" t="inlineStr">
        <is>
          <t>GYS-0071</t>
        </is>
      </c>
      <c r="B75" s="10" t="inlineStr">
        <is>
          <t>东莞美容工具供应链0071有限公司（演示）</t>
        </is>
      </c>
      <c r="C75" s="10" t="inlineStr">
        <is>
          <t>美容工具</t>
        </is>
      </c>
      <c r="D75" s="10" t="inlineStr">
        <is>
          <t>便携化妆镜</t>
        </is>
      </c>
      <c r="E75" s="10" t="inlineStr">
        <is>
          <t>广东东莞</t>
        </is>
      </c>
      <c r="F75" s="10" t="inlineStr">
        <is>
          <t>企业官网</t>
        </is>
      </c>
      <c r="G75" s="10" t="inlineStr">
        <is>
          <t>林经理</t>
        </is>
      </c>
      <c r="H75" s="10" t="inlineStr">
        <is>
          <t>000-0000-0071</t>
        </is>
      </c>
      <c r="I75" s="10" t="inlineStr">
        <is>
          <t>DEMO_GYS_0071</t>
        </is>
      </c>
      <c r="J75" s="11" t="n">
        <v>31.5</v>
      </c>
      <c r="K75" s="11" t="n">
        <v>41.6</v>
      </c>
      <c r="L75" s="12" t="n">
        <v>50</v>
      </c>
      <c r="M75" s="10" t="inlineStr">
        <is>
          <t>是</t>
        </is>
      </c>
      <c r="N75" s="10" t="inlineStr">
        <is>
          <t>是</t>
        </is>
      </c>
      <c r="O75" s="10" t="inlineStr">
        <is>
          <t>supplier0071@example.com</t>
        </is>
      </c>
      <c r="P75" s="10" t="inlineStr">
        <is>
          <t>https://example.com/supplier/0071</t>
        </is>
      </c>
      <c r="Q75" s="10">
        <f>IF(R75&gt;=85,"A",IF(R75&gt;=70,"B","C"))</f>
        <v/>
      </c>
      <c r="R75" s="13">
        <f>MIN(100,50+IF(M75="是",10,0)+IF(N75="是",10,0)+IF(L75&lt;=100,10,IF(L75&lt;=300,5,0))+IF(J75&lt;=20,10,IF(J75&lt;=50,5,0))+IF(K75-J75&lt;=20,5,0)+IF(F75="企业官网",5,0))</f>
        <v/>
      </c>
      <c r="S75" s="10">
        <f>IF(Q75="A","价格与起订量有优势，建议优先询盘",IF(Q75="B","条件较均衡，可作为备选","起订量或价格需要进一步确认"))</f>
        <v/>
      </c>
      <c r="T75" s="10" t="inlineStr">
        <is>
          <t>未联系</t>
        </is>
      </c>
      <c r="U75" s="10" t="inlineStr">
        <is>
          <t>虚构演示数据</t>
        </is>
      </c>
    </row>
    <row r="76" ht="21" customHeight="1">
      <c r="A76" s="10" t="inlineStr">
        <is>
          <t>GYS-0072</t>
        </is>
      </c>
      <c r="B76" s="10" t="inlineStr">
        <is>
          <t>厦门旅行用品供应链0072有限公司（演示）</t>
        </is>
      </c>
      <c r="C76" s="10" t="inlineStr">
        <is>
          <t>旅行用品</t>
        </is>
      </c>
      <c r="D76" s="10" t="inlineStr">
        <is>
          <t>压缩收纳袋</t>
        </is>
      </c>
      <c r="E76" s="10" t="inlineStr">
        <is>
          <t>福建厦门</t>
        </is>
      </c>
      <c r="F76" s="10" t="inlineStr">
        <is>
          <t>义乌购</t>
        </is>
      </c>
      <c r="G76" s="10" t="inlineStr">
        <is>
          <t>王经理</t>
        </is>
      </c>
      <c r="H76" s="10" t="inlineStr">
        <is>
          <t>000-0000-0072</t>
        </is>
      </c>
      <c r="I76" s="10" t="inlineStr">
        <is>
          <t>DEMO_GYS_0072</t>
        </is>
      </c>
      <c r="J76" s="11" t="n">
        <v>33.2</v>
      </c>
      <c r="K76" s="11" t="n">
        <v>44.4</v>
      </c>
      <c r="L76" s="12" t="n">
        <v>20</v>
      </c>
      <c r="M76" s="10" t="inlineStr">
        <is>
          <t>否</t>
        </is>
      </c>
      <c r="N76" s="10" t="inlineStr">
        <is>
          <t>否</t>
        </is>
      </c>
      <c r="O76" s="10" t="inlineStr">
        <is>
          <t>supplier0072@example.com</t>
        </is>
      </c>
      <c r="P76" s="10" t="inlineStr">
        <is>
          <t>https://example.com/supplier/0072</t>
        </is>
      </c>
      <c r="Q76" s="10">
        <f>IF(R76&gt;=85,"A",IF(R76&gt;=70,"B","C"))</f>
        <v/>
      </c>
      <c r="R76" s="13">
        <f>MIN(100,50+IF(M76="是",10,0)+IF(N76="是",10,0)+IF(L76&lt;=100,10,IF(L76&lt;=300,5,0))+IF(J76&lt;=20,10,IF(J76&lt;=50,5,0))+IF(K76-J76&lt;=20,5,0)+IF(F76="企业官网",5,0))</f>
        <v/>
      </c>
      <c r="S76" s="10">
        <f>IF(Q76="A","价格与起订量有优势，建议优先询盘",IF(Q76="B","条件较均衡，可作为备选","起订量或价格需要进一步确认"))</f>
        <v/>
      </c>
      <c r="T76" s="10" t="inlineStr">
        <is>
          <t>未联系</t>
        </is>
      </c>
      <c r="U76" s="10" t="inlineStr">
        <is>
          <t>虚构演示数据</t>
        </is>
      </c>
    </row>
    <row r="77" ht="21" customHeight="1">
      <c r="A77" s="10" t="inlineStr">
        <is>
          <t>GYS-0073</t>
        </is>
      </c>
      <c r="B77" s="10" t="inlineStr">
        <is>
          <t>临沂清洁工具供应链0073有限公司（演示）</t>
        </is>
      </c>
      <c r="C77" s="10" t="inlineStr">
        <is>
          <t>清洁工具</t>
        </is>
      </c>
      <c r="D77" s="10" t="inlineStr">
        <is>
          <t>免手洗拖把</t>
        </is>
      </c>
      <c r="E77" s="10" t="inlineStr">
        <is>
          <t>山东临沂</t>
        </is>
      </c>
      <c r="F77" s="10" t="inlineStr">
        <is>
          <t>慧聪网</t>
        </is>
      </c>
      <c r="G77" s="10" t="inlineStr">
        <is>
          <t>李经理</t>
        </is>
      </c>
      <c r="H77" s="10" t="inlineStr">
        <is>
          <t>000-0000-0073</t>
        </is>
      </c>
      <c r="I77" s="10" t="inlineStr">
        <is>
          <t>DEMO_GYS_0073</t>
        </is>
      </c>
      <c r="J77" s="11" t="n">
        <v>34.9</v>
      </c>
      <c r="K77" s="11" t="n">
        <v>47.2</v>
      </c>
      <c r="L77" s="12" t="n">
        <v>500</v>
      </c>
      <c r="M77" s="10" t="inlineStr">
        <is>
          <t>是</t>
        </is>
      </c>
      <c r="N77" s="10" t="inlineStr">
        <is>
          <t>是</t>
        </is>
      </c>
      <c r="O77" s="10" t="inlineStr">
        <is>
          <t>supplier0073@example.com</t>
        </is>
      </c>
      <c r="P77" s="10" t="inlineStr">
        <is>
          <t>https://example.com/supplier/0073</t>
        </is>
      </c>
      <c r="Q77" s="10">
        <f>IF(R77&gt;=85,"A",IF(R77&gt;=70,"B","C"))</f>
        <v/>
      </c>
      <c r="R77" s="13">
        <f>MIN(100,50+IF(M77="是",10,0)+IF(N77="是",10,0)+IF(L77&lt;=100,10,IF(L77&lt;=300,5,0))+IF(J77&lt;=20,10,IF(J77&lt;=50,5,0))+IF(K77-J77&lt;=20,5,0)+IF(F77="企业官网",5,0))</f>
        <v/>
      </c>
      <c r="S77" s="10">
        <f>IF(Q77="A","价格与起订量有优势，建议优先询盘",IF(Q77="B","条件较均衡，可作为备选","起订量或价格需要进一步确认"))</f>
        <v/>
      </c>
      <c r="T77" s="10" t="inlineStr">
        <is>
          <t>未联系</t>
        </is>
      </c>
      <c r="U77" s="10" t="inlineStr">
        <is>
          <t>虚构演示数据</t>
        </is>
      </c>
    </row>
    <row r="78" ht="21" customHeight="1">
      <c r="A78" s="10" t="inlineStr">
        <is>
          <t>GYS-0074</t>
        </is>
      </c>
      <c r="B78" s="10" t="inlineStr">
        <is>
          <t>南昌小家电供应链0074有限公司（演示）</t>
        </is>
      </c>
      <c r="C78" s="10" t="inlineStr">
        <is>
          <t>小家电</t>
        </is>
      </c>
      <c r="D78" s="10" t="inlineStr">
        <is>
          <t>迷你加湿器</t>
        </is>
      </c>
      <c r="E78" s="10" t="inlineStr">
        <is>
          <t>江西南昌</t>
        </is>
      </c>
      <c r="F78" s="10" t="inlineStr">
        <is>
          <t>1688</t>
        </is>
      </c>
      <c r="G78" s="10" t="inlineStr">
        <is>
          <t>张经理</t>
        </is>
      </c>
      <c r="H78" s="10" t="inlineStr">
        <is>
          <t>000-0000-0074</t>
        </is>
      </c>
      <c r="I78" s="10" t="inlineStr">
        <is>
          <t>DEMO_GYS_0074</t>
        </is>
      </c>
      <c r="J78" s="11" t="n">
        <v>36.6</v>
      </c>
      <c r="K78" s="11" t="n">
        <v>50</v>
      </c>
      <c r="L78" s="12" t="n">
        <v>300</v>
      </c>
      <c r="M78" s="10" t="inlineStr">
        <is>
          <t>是</t>
        </is>
      </c>
      <c r="N78" s="10" t="inlineStr">
        <is>
          <t>是</t>
        </is>
      </c>
      <c r="O78" s="10" t="inlineStr">
        <is>
          <t>supplier0074@example.com</t>
        </is>
      </c>
      <c r="P78" s="10" t="inlineStr">
        <is>
          <t>https://example.com/supplier/0074</t>
        </is>
      </c>
      <c r="Q78" s="10">
        <f>IF(R78&gt;=85,"A",IF(R78&gt;=70,"B","C"))</f>
        <v/>
      </c>
      <c r="R78" s="13">
        <f>MIN(100,50+IF(M78="是",10,0)+IF(N78="是",10,0)+IF(L78&lt;=100,10,IF(L78&lt;=300,5,0))+IF(J78&lt;=20,10,IF(J78&lt;=50,5,0))+IF(K78-J78&lt;=20,5,0)+IF(F78="企业官网",5,0))</f>
        <v/>
      </c>
      <c r="S78" s="10">
        <f>IF(Q78="A","价格与起订量有优势，建议优先询盘",IF(Q78="B","条件较均衡，可作为备选","起订量或价格需要进一步确认"))</f>
        <v/>
      </c>
      <c r="T78" s="10" t="inlineStr">
        <is>
          <t>未联系</t>
        </is>
      </c>
      <c r="U78" s="10" t="inlineStr">
        <is>
          <t>虚构演示数据</t>
        </is>
      </c>
    </row>
    <row r="79" ht="21" customHeight="1">
      <c r="A79" s="10" t="inlineStr">
        <is>
          <t>GYS-0075</t>
        </is>
      </c>
      <c r="B79" s="10" t="inlineStr">
        <is>
          <t>温州礼品包装供应链0075有限公司（演示）</t>
        </is>
      </c>
      <c r="C79" s="10" t="inlineStr">
        <is>
          <t>礼品包装</t>
        </is>
      </c>
      <c r="D79" s="10" t="inlineStr">
        <is>
          <t>节日礼盒</t>
        </is>
      </c>
      <c r="E79" s="10" t="inlineStr">
        <is>
          <t>浙江温州</t>
        </is>
      </c>
      <c r="F79" s="10" t="inlineStr">
        <is>
          <t>中国制造网</t>
        </is>
      </c>
      <c r="G79" s="10" t="inlineStr">
        <is>
          <t>刘经理</t>
        </is>
      </c>
      <c r="H79" s="10" t="inlineStr">
        <is>
          <t>000-0000-0075</t>
        </is>
      </c>
      <c r="I79" s="10" t="inlineStr">
        <is>
          <t>DEMO_GYS_0075</t>
        </is>
      </c>
      <c r="J79" s="11" t="n">
        <v>38.3</v>
      </c>
      <c r="K79" s="11" t="n">
        <v>52.8</v>
      </c>
      <c r="L79" s="12" t="n">
        <v>200</v>
      </c>
      <c r="M79" s="10" t="inlineStr">
        <is>
          <t>是</t>
        </is>
      </c>
      <c r="N79" s="10" t="inlineStr">
        <is>
          <t>否</t>
        </is>
      </c>
      <c r="O79" s="10" t="inlineStr">
        <is>
          <t>supplier0075@example.com</t>
        </is>
      </c>
      <c r="P79" s="10" t="inlineStr">
        <is>
          <t>https://example.com/supplier/0075</t>
        </is>
      </c>
      <c r="Q79" s="10">
        <f>IF(R79&gt;=85,"A",IF(R79&gt;=70,"B","C"))</f>
        <v/>
      </c>
      <c r="R79" s="13">
        <f>MIN(100,50+IF(M79="是",10,0)+IF(N79="是",10,0)+IF(L79&lt;=100,10,IF(L79&lt;=300,5,0))+IF(J79&lt;=20,10,IF(J79&lt;=50,5,0))+IF(K79-J79&lt;=20,5,0)+IF(F79="企业官网",5,0))</f>
        <v/>
      </c>
      <c r="S79" s="10">
        <f>IF(Q79="A","价格与起订量有优势，建议优先询盘",IF(Q79="B","条件较均衡，可作为备选","起订量或价格需要进一步确认"))</f>
        <v/>
      </c>
      <c r="T79" s="10" t="inlineStr">
        <is>
          <t>未联系</t>
        </is>
      </c>
      <c r="U79" s="10" t="inlineStr">
        <is>
          <t>虚构演示数据</t>
        </is>
      </c>
    </row>
    <row r="80" ht="21" customHeight="1">
      <c r="A80" s="10" t="inlineStr">
        <is>
          <t>GYS-0076</t>
        </is>
      </c>
      <c r="B80" s="10" t="inlineStr">
        <is>
          <t>广州五金工具供应链0076有限公司（演示）</t>
        </is>
      </c>
      <c r="C80" s="10" t="inlineStr">
        <is>
          <t>五金工具</t>
        </is>
      </c>
      <c r="D80" s="10" t="inlineStr">
        <is>
          <t>多功能螺丝刀</t>
        </is>
      </c>
      <c r="E80" s="10" t="inlineStr">
        <is>
          <t>广东广州</t>
        </is>
      </c>
      <c r="F80" s="10" t="inlineStr">
        <is>
          <t>企业官网</t>
        </is>
      </c>
      <c r="G80" s="10" t="inlineStr">
        <is>
          <t>黄经理</t>
        </is>
      </c>
      <c r="H80" s="10" t="inlineStr">
        <is>
          <t>000-0000-0076</t>
        </is>
      </c>
      <c r="I80" s="10" t="inlineStr">
        <is>
          <t>DEMO_GYS_0076</t>
        </is>
      </c>
      <c r="J80" s="11" t="n">
        <v>40</v>
      </c>
      <c r="K80" s="11" t="n">
        <v>55.6</v>
      </c>
      <c r="L80" s="12" t="n">
        <v>100</v>
      </c>
      <c r="M80" s="10" t="inlineStr">
        <is>
          <t>否</t>
        </is>
      </c>
      <c r="N80" s="10" t="inlineStr">
        <is>
          <t>是</t>
        </is>
      </c>
      <c r="O80" s="10" t="inlineStr">
        <is>
          <t>supplier0076@example.com</t>
        </is>
      </c>
      <c r="P80" s="10" t="inlineStr">
        <is>
          <t>https://example.com/supplier/0076</t>
        </is>
      </c>
      <c r="Q80" s="10">
        <f>IF(R80&gt;=85,"A",IF(R80&gt;=70,"B","C"))</f>
        <v/>
      </c>
      <c r="R80" s="13">
        <f>MIN(100,50+IF(M80="是",10,0)+IF(N80="是",10,0)+IF(L80&lt;=100,10,IF(L80&lt;=300,5,0))+IF(J80&lt;=20,10,IF(J80&lt;=50,5,0))+IF(K80-J80&lt;=20,5,0)+IF(F80="企业官网",5,0))</f>
        <v/>
      </c>
      <c r="S80" s="10">
        <f>IF(Q80="A","价格与起订量有优势，建议优先询盘",IF(Q80="B","条件较均衡，可作为备选","起订量或价格需要进一步确认"))</f>
        <v/>
      </c>
      <c r="T80" s="10" t="inlineStr">
        <is>
          <t>未联系</t>
        </is>
      </c>
      <c r="U80" s="10" t="inlineStr">
        <is>
          <t>虚构演示数据</t>
        </is>
      </c>
    </row>
    <row r="81" ht="21" customHeight="1">
      <c r="A81" s="10" t="inlineStr">
        <is>
          <t>GYS-0077</t>
        </is>
      </c>
      <c r="B81" s="10" t="inlineStr">
        <is>
          <t>泉州鞋靴配件供应链0077有限公司（演示）</t>
        </is>
      </c>
      <c r="C81" s="10" t="inlineStr">
        <is>
          <t>鞋靴配件</t>
        </is>
      </c>
      <c r="D81" s="10" t="inlineStr">
        <is>
          <t>防磨脚贴</t>
        </is>
      </c>
      <c r="E81" s="10" t="inlineStr">
        <is>
          <t>福建泉州</t>
        </is>
      </c>
      <c r="F81" s="10" t="inlineStr">
        <is>
          <t>义乌购</t>
        </is>
      </c>
      <c r="G81" s="10" t="inlineStr">
        <is>
          <t>赵经理</t>
        </is>
      </c>
      <c r="H81" s="10" t="inlineStr">
        <is>
          <t>000-0000-0077</t>
        </is>
      </c>
      <c r="I81" s="10" t="inlineStr">
        <is>
          <t>DEMO_GYS_0077</t>
        </is>
      </c>
      <c r="J81" s="11" t="n">
        <v>41.7</v>
      </c>
      <c r="K81" s="11" t="n">
        <v>58.4</v>
      </c>
      <c r="L81" s="12" t="n">
        <v>50</v>
      </c>
      <c r="M81" s="10" t="inlineStr">
        <is>
          <t>是</t>
        </is>
      </c>
      <c r="N81" s="10" t="inlineStr">
        <is>
          <t>是</t>
        </is>
      </c>
      <c r="O81" s="10" t="inlineStr">
        <is>
          <t>supplier0077@example.com</t>
        </is>
      </c>
      <c r="P81" s="10" t="inlineStr">
        <is>
          <t>https://example.com/supplier/0077</t>
        </is>
      </c>
      <c r="Q81" s="10">
        <f>IF(R81&gt;=85,"A",IF(R81&gt;=70,"B","C"))</f>
        <v/>
      </c>
      <c r="R81" s="13">
        <f>MIN(100,50+IF(M81="是",10,0)+IF(N81="是",10,0)+IF(L81&lt;=100,10,IF(L81&lt;=300,5,0))+IF(J81&lt;=20,10,IF(J81&lt;=50,5,0))+IF(K81-J81&lt;=20,5,0)+IF(F81="企业官网",5,0))</f>
        <v/>
      </c>
      <c r="S81" s="10">
        <f>IF(Q81="A","价格与起订量有优势，建议优先询盘",IF(Q81="B","条件较均衡，可作为备选","起订量或价格需要进一步确认"))</f>
        <v/>
      </c>
      <c r="T81" s="10" t="inlineStr">
        <is>
          <t>未联系</t>
        </is>
      </c>
      <c r="U81" s="10" t="inlineStr">
        <is>
          <t>虚构演示数据</t>
        </is>
      </c>
    </row>
    <row r="82" ht="21" customHeight="1">
      <c r="A82" s="10" t="inlineStr">
        <is>
          <t>GYS-0078</t>
        </is>
      </c>
      <c r="B82" s="10" t="inlineStr">
        <is>
          <t>南通食品包装供应链0078有限公司（演示）</t>
        </is>
      </c>
      <c r="C82" s="10" t="inlineStr">
        <is>
          <t>食品包装</t>
        </is>
      </c>
      <c r="D82" s="10" t="inlineStr">
        <is>
          <t>密封包装袋</t>
        </is>
      </c>
      <c r="E82" s="10" t="inlineStr">
        <is>
          <t>江苏南通</t>
        </is>
      </c>
      <c r="F82" s="10" t="inlineStr">
        <is>
          <t>慧聪网</t>
        </is>
      </c>
      <c r="G82" s="10" t="inlineStr">
        <is>
          <t>周经理</t>
        </is>
      </c>
      <c r="H82" s="10" t="inlineStr">
        <is>
          <t>000-0000-0078</t>
        </is>
      </c>
      <c r="I82" s="10" t="inlineStr">
        <is>
          <t>DEMO_GYS_0078</t>
        </is>
      </c>
      <c r="J82" s="11" t="n">
        <v>43.4</v>
      </c>
      <c r="K82" s="11" t="n">
        <v>61.2</v>
      </c>
      <c r="L82" s="12" t="n">
        <v>20</v>
      </c>
      <c r="M82" s="10" t="inlineStr">
        <is>
          <t>是</t>
        </is>
      </c>
      <c r="N82" s="10" t="inlineStr">
        <is>
          <t>否</t>
        </is>
      </c>
      <c r="O82" s="10" t="inlineStr">
        <is>
          <t>supplier0078@example.com</t>
        </is>
      </c>
      <c r="P82" s="10" t="inlineStr">
        <is>
          <t>https://example.com/supplier/0078</t>
        </is>
      </c>
      <c r="Q82" s="10">
        <f>IF(R82&gt;=85,"A",IF(R82&gt;=70,"B","C"))</f>
        <v/>
      </c>
      <c r="R82" s="13">
        <f>MIN(100,50+IF(M82="是",10,0)+IF(N82="是",10,0)+IF(L82&lt;=100,10,IF(L82&lt;=300,5,0))+IF(J82&lt;=20,10,IF(J82&lt;=50,5,0))+IF(K82-J82&lt;=20,5,0)+IF(F82="企业官网",5,0))</f>
        <v/>
      </c>
      <c r="S82" s="10">
        <f>IF(Q82="A","价格与起订量有优势，建议优先询盘",IF(Q82="B","条件较均衡，可作为备选","起订量或价格需要进一步确认"))</f>
        <v/>
      </c>
      <c r="T82" s="10" t="inlineStr">
        <is>
          <t>未联系</t>
        </is>
      </c>
      <c r="U82" s="10" t="inlineStr">
        <is>
          <t>虚构演示数据</t>
        </is>
      </c>
    </row>
    <row r="83" ht="21" customHeight="1">
      <c r="A83" s="10" t="inlineStr">
        <is>
          <t>GYS-0079</t>
        </is>
      </c>
      <c r="B83" s="10" t="inlineStr">
        <is>
          <t>郑州户外照明供应链0079有限公司（演示）</t>
        </is>
      </c>
      <c r="C83" s="10" t="inlineStr">
        <is>
          <t>户外照明</t>
        </is>
      </c>
      <c r="D83" s="10" t="inlineStr">
        <is>
          <t>便携露营灯</t>
        </is>
      </c>
      <c r="E83" s="10" t="inlineStr">
        <is>
          <t>河南郑州</t>
        </is>
      </c>
      <c r="F83" s="10" t="inlineStr">
        <is>
          <t>1688</t>
        </is>
      </c>
      <c r="G83" s="10" t="inlineStr">
        <is>
          <t>吴经理</t>
        </is>
      </c>
      <c r="H83" s="10" t="inlineStr">
        <is>
          <t>000-0000-0079</t>
        </is>
      </c>
      <c r="I83" s="10" t="inlineStr">
        <is>
          <t>DEMO_GYS_0079</t>
        </is>
      </c>
      <c r="J83" s="11" t="n">
        <v>45.1</v>
      </c>
      <c r="K83" s="11" t="n">
        <v>64</v>
      </c>
      <c r="L83" s="12" t="n">
        <v>500</v>
      </c>
      <c r="M83" s="10" t="inlineStr">
        <is>
          <t>是</t>
        </is>
      </c>
      <c r="N83" s="10" t="inlineStr">
        <is>
          <t>是</t>
        </is>
      </c>
      <c r="O83" s="10" t="inlineStr">
        <is>
          <t>supplier0079@example.com</t>
        </is>
      </c>
      <c r="P83" s="10" t="inlineStr">
        <is>
          <t>https://example.com/supplier/0079</t>
        </is>
      </c>
      <c r="Q83" s="10">
        <f>IF(R83&gt;=85,"A",IF(R83&gt;=70,"B","C"))</f>
        <v/>
      </c>
      <c r="R83" s="13">
        <f>MIN(100,50+IF(M83="是",10,0)+IF(N83="是",10,0)+IF(L83&lt;=100,10,IF(L83&lt;=300,5,0))+IF(J83&lt;=20,10,IF(J83&lt;=50,5,0))+IF(K83-J83&lt;=20,5,0)+IF(F83="企业官网",5,0))</f>
        <v/>
      </c>
      <c r="S83" s="10">
        <f>IF(Q83="A","价格与起订量有优势，建议优先询盘",IF(Q83="B","条件较均衡，可作为备选","起订量或价格需要进一步确认"))</f>
        <v/>
      </c>
      <c r="T83" s="10" t="inlineStr">
        <is>
          <t>未联系</t>
        </is>
      </c>
      <c r="U83" s="10" t="inlineStr">
        <is>
          <t>虚构演示数据</t>
        </is>
      </c>
    </row>
    <row r="84" ht="21" customHeight="1">
      <c r="A84" s="10" t="inlineStr">
        <is>
          <t>GYS-0080</t>
        </is>
      </c>
      <c r="B84" s="10" t="inlineStr">
        <is>
          <t>宁波健康用品供应链0080有限公司（演示）</t>
        </is>
      </c>
      <c r="C84" s="10" t="inlineStr">
        <is>
          <t>健康用品</t>
        </is>
      </c>
      <c r="D84" s="10" t="inlineStr">
        <is>
          <t>热敷眼罩</t>
        </is>
      </c>
      <c r="E84" s="10" t="inlineStr">
        <is>
          <t>浙江宁波</t>
        </is>
      </c>
      <c r="F84" s="10" t="inlineStr">
        <is>
          <t>中国制造网</t>
        </is>
      </c>
      <c r="G84" s="10" t="inlineStr">
        <is>
          <t>陈经理</t>
        </is>
      </c>
      <c r="H84" s="10" t="inlineStr">
        <is>
          <t>000-0000-0080</t>
        </is>
      </c>
      <c r="I84" s="10" t="inlineStr">
        <is>
          <t>DEMO_GYS_0080</t>
        </is>
      </c>
      <c r="J84" s="11" t="n">
        <v>46.8</v>
      </c>
      <c r="K84" s="11" t="n">
        <v>66.8</v>
      </c>
      <c r="L84" s="12" t="n">
        <v>300</v>
      </c>
      <c r="M84" s="10" t="inlineStr">
        <is>
          <t>否</t>
        </is>
      </c>
      <c r="N84" s="10" t="inlineStr">
        <is>
          <t>是</t>
        </is>
      </c>
      <c r="O84" s="10" t="inlineStr">
        <is>
          <t>supplier0080@example.com</t>
        </is>
      </c>
      <c r="P84" s="10" t="inlineStr">
        <is>
          <t>https://example.com/supplier/0080</t>
        </is>
      </c>
      <c r="Q84" s="10">
        <f>IF(R84&gt;=85,"A",IF(R84&gt;=70,"B","C"))</f>
        <v/>
      </c>
      <c r="R84" s="13">
        <f>MIN(100,50+IF(M84="是",10,0)+IF(N84="是",10,0)+IF(L84&lt;=100,10,IF(L84&lt;=300,5,0))+IF(J84&lt;=20,10,IF(J84&lt;=50,5,0))+IF(K84-J84&lt;=20,5,0)+IF(F84="企业官网",5,0))</f>
        <v/>
      </c>
      <c r="S84" s="10">
        <f>IF(Q84="A","价格与起订量有优势，建议优先询盘",IF(Q84="B","条件较均衡，可作为备选","起订量或价格需要进一步确认"))</f>
        <v/>
      </c>
      <c r="T84" s="10" t="inlineStr">
        <is>
          <t>未联系</t>
        </is>
      </c>
      <c r="U84" s="10" t="inlineStr">
        <is>
          <t>虚构演示数据</t>
        </is>
      </c>
    </row>
    <row r="85" ht="21" customHeight="1">
      <c r="A85" s="10" t="inlineStr">
        <is>
          <t>GYS-0081</t>
        </is>
      </c>
      <c r="B85" s="10" t="inlineStr">
        <is>
          <t>深圳服饰内衣供应链0081有限公司（演示）</t>
        </is>
      </c>
      <c r="C85" s="10" t="inlineStr">
        <is>
          <t>服饰内衣</t>
        </is>
      </c>
      <c r="D85" s="10" t="inlineStr">
        <is>
          <t>防滑袜</t>
        </is>
      </c>
      <c r="E85" s="10" t="inlineStr">
        <is>
          <t>广东深圳</t>
        </is>
      </c>
      <c r="F85" s="10" t="inlineStr">
        <is>
          <t>企业官网</t>
        </is>
      </c>
      <c r="G85" s="10" t="inlineStr">
        <is>
          <t>林经理</t>
        </is>
      </c>
      <c r="H85" s="10" t="inlineStr">
        <is>
          <t>000-0000-0081</t>
        </is>
      </c>
      <c r="I85" s="10" t="inlineStr">
        <is>
          <t>DEMO_GYS_0081</t>
        </is>
      </c>
      <c r="J85" s="11" t="n">
        <v>48.5</v>
      </c>
      <c r="K85" s="11" t="n">
        <v>69.59999999999999</v>
      </c>
      <c r="L85" s="12" t="n">
        <v>200</v>
      </c>
      <c r="M85" s="10" t="inlineStr">
        <is>
          <t>是</t>
        </is>
      </c>
      <c r="N85" s="10" t="inlineStr">
        <is>
          <t>否</t>
        </is>
      </c>
      <c r="O85" s="10" t="inlineStr">
        <is>
          <t>supplier0081@example.com</t>
        </is>
      </c>
      <c r="P85" s="10" t="inlineStr">
        <is>
          <t>https://example.com/supplier/0081</t>
        </is>
      </c>
      <c r="Q85" s="10">
        <f>IF(R85&gt;=85,"A",IF(R85&gt;=70,"B","C"))</f>
        <v/>
      </c>
      <c r="R85" s="13">
        <f>MIN(100,50+IF(M85="是",10,0)+IF(N85="是",10,0)+IF(L85&lt;=100,10,IF(L85&lt;=300,5,0))+IF(J85&lt;=20,10,IF(J85&lt;=50,5,0))+IF(K85-J85&lt;=20,5,0)+IF(F85="企业官网",5,0))</f>
        <v/>
      </c>
      <c r="S85" s="10">
        <f>IF(Q85="A","价格与起订量有优势，建议优先询盘",IF(Q85="B","条件较均衡，可作为备选","起订量或价格需要进一步确认"))</f>
        <v/>
      </c>
      <c r="T85" s="10" t="inlineStr">
        <is>
          <t>未联系</t>
        </is>
      </c>
      <c r="U85" s="10" t="inlineStr">
        <is>
          <t>虚构演示数据</t>
        </is>
      </c>
    </row>
    <row r="86" ht="21" customHeight="1">
      <c r="A86" s="10" t="inlineStr">
        <is>
          <t>GYS-0082</t>
        </is>
      </c>
      <c r="B86" s="10" t="inlineStr">
        <is>
          <t>佛山家居日用供应链0082有限公司（演示）</t>
        </is>
      </c>
      <c r="C86" s="10" t="inlineStr">
        <is>
          <t>家居日用</t>
        </is>
      </c>
      <c r="D86" s="10" t="inlineStr">
        <is>
          <t>折叠收纳箱</t>
        </is>
      </c>
      <c r="E86" s="10" t="inlineStr">
        <is>
          <t>广东佛山</t>
        </is>
      </c>
      <c r="F86" s="10" t="inlineStr">
        <is>
          <t>义乌购</t>
        </is>
      </c>
      <c r="G86" s="10" t="inlineStr">
        <is>
          <t>王经理</t>
        </is>
      </c>
      <c r="H86" s="10" t="inlineStr">
        <is>
          <t>000-0000-0082</t>
        </is>
      </c>
      <c r="I86" s="10" t="inlineStr">
        <is>
          <t>DEMO_GYS_0082</t>
        </is>
      </c>
      <c r="J86" s="11" t="n">
        <v>4.2</v>
      </c>
      <c r="K86" s="11" t="n">
        <v>8.4</v>
      </c>
      <c r="L86" s="12" t="n">
        <v>100</v>
      </c>
      <c r="M86" s="10" t="inlineStr">
        <is>
          <t>是</t>
        </is>
      </c>
      <c r="N86" s="10" t="inlineStr">
        <is>
          <t>是</t>
        </is>
      </c>
      <c r="O86" s="10" t="inlineStr">
        <is>
          <t>supplier0082@example.com</t>
        </is>
      </c>
      <c r="P86" s="10" t="inlineStr">
        <is>
          <t>https://example.com/supplier/0082</t>
        </is>
      </c>
      <c r="Q86" s="10">
        <f>IF(R86&gt;=85,"A",IF(R86&gt;=70,"B","C"))</f>
        <v/>
      </c>
      <c r="R86" s="13">
        <f>MIN(100,50+IF(M86="是",10,0)+IF(N86="是",10,0)+IF(L86&lt;=100,10,IF(L86&lt;=300,5,0))+IF(J86&lt;=20,10,IF(J86&lt;=50,5,0))+IF(K86-J86&lt;=20,5,0)+IF(F86="企业官网",5,0))</f>
        <v/>
      </c>
      <c r="S86" s="10">
        <f>IF(Q86="A","价格与起订量有优势，建议优先询盘",IF(Q86="B","条件较均衡，可作为备选","起订量或价格需要进一步确认"))</f>
        <v/>
      </c>
      <c r="T86" s="10" t="inlineStr">
        <is>
          <t>未联系</t>
        </is>
      </c>
      <c r="U86" s="10" t="inlineStr">
        <is>
          <t>虚构演示数据</t>
        </is>
      </c>
    </row>
    <row r="87" ht="21" customHeight="1">
      <c r="A87" s="10" t="inlineStr">
        <is>
          <t>GYS-0083</t>
        </is>
      </c>
      <c r="B87" s="10" t="inlineStr">
        <is>
          <t>苏州个护清洁供应链0083有限公司（演示）</t>
        </is>
      </c>
      <c r="C87" s="10" t="inlineStr">
        <is>
          <t>个护清洁</t>
        </is>
      </c>
      <c r="D87" s="10" t="inlineStr">
        <is>
          <t>便携洗脸巾</t>
        </is>
      </c>
      <c r="E87" s="10" t="inlineStr">
        <is>
          <t>江苏苏州</t>
        </is>
      </c>
      <c r="F87" s="10" t="inlineStr">
        <is>
          <t>慧聪网</t>
        </is>
      </c>
      <c r="G87" s="10" t="inlineStr">
        <is>
          <t>李经理</t>
        </is>
      </c>
      <c r="H87" s="10" t="inlineStr">
        <is>
          <t>000-0000-0083</t>
        </is>
      </c>
      <c r="I87" s="10" t="inlineStr">
        <is>
          <t>DEMO_GYS_0083</t>
        </is>
      </c>
      <c r="J87" s="11" t="n">
        <v>5.9</v>
      </c>
      <c r="K87" s="11" t="n">
        <v>11.2</v>
      </c>
      <c r="L87" s="12" t="n">
        <v>50</v>
      </c>
      <c r="M87" s="10" t="inlineStr">
        <is>
          <t>是</t>
        </is>
      </c>
      <c r="N87" s="10" t="inlineStr">
        <is>
          <t>是</t>
        </is>
      </c>
      <c r="O87" s="10" t="inlineStr">
        <is>
          <t>supplier0083@example.com</t>
        </is>
      </c>
      <c r="P87" s="10" t="inlineStr">
        <is>
          <t>https://example.com/supplier/0083</t>
        </is>
      </c>
      <c r="Q87" s="10">
        <f>IF(R87&gt;=85,"A",IF(R87&gt;=70,"B","C"))</f>
        <v/>
      </c>
      <c r="R87" s="13">
        <f>MIN(100,50+IF(M87="是",10,0)+IF(N87="是",10,0)+IF(L87&lt;=100,10,IF(L87&lt;=300,5,0))+IF(J87&lt;=20,10,IF(J87&lt;=50,5,0))+IF(K87-J87&lt;=20,5,0)+IF(F87="企业官网",5,0))</f>
        <v/>
      </c>
      <c r="S87" s="10">
        <f>IF(Q87="A","价格与起订量有优势，建议优先询盘",IF(Q87="B","条件较均衡，可作为备选","起订量或价格需要进一步确认"))</f>
        <v/>
      </c>
      <c r="T87" s="10" t="inlineStr">
        <is>
          <t>未联系</t>
        </is>
      </c>
      <c r="U87" s="10" t="inlineStr">
        <is>
          <t>虚构演示数据</t>
        </is>
      </c>
    </row>
    <row r="88" ht="21" customHeight="1">
      <c r="A88" s="10" t="inlineStr">
        <is>
          <t>GYS-0084</t>
        </is>
      </c>
      <c r="B88" s="10" t="inlineStr">
        <is>
          <t>白沟厨房用品供应链0084有限公司（演示）</t>
        </is>
      </c>
      <c r="C88" s="10" t="inlineStr">
        <is>
          <t>厨房用品</t>
        </is>
      </c>
      <c r="D88" s="10" t="inlineStr">
        <is>
          <t>硅胶保鲜盒</t>
        </is>
      </c>
      <c r="E88" s="10" t="inlineStr">
        <is>
          <t>河北白沟</t>
        </is>
      </c>
      <c r="F88" s="10" t="inlineStr">
        <is>
          <t>1688</t>
        </is>
      </c>
      <c r="G88" s="10" t="inlineStr">
        <is>
          <t>张经理</t>
        </is>
      </c>
      <c r="H88" s="10" t="inlineStr">
        <is>
          <t>000-0000-0084</t>
        </is>
      </c>
      <c r="I88" s="10" t="inlineStr">
        <is>
          <t>DEMO_GYS_0084</t>
        </is>
      </c>
      <c r="J88" s="11" t="n">
        <v>7.6</v>
      </c>
      <c r="K88" s="11" t="n">
        <v>14</v>
      </c>
      <c r="L88" s="12" t="n">
        <v>20</v>
      </c>
      <c r="M88" s="10" t="inlineStr">
        <is>
          <t>否</t>
        </is>
      </c>
      <c r="N88" s="10" t="inlineStr">
        <is>
          <t>否</t>
        </is>
      </c>
      <c r="O88" s="10" t="inlineStr">
        <is>
          <t>supplier0084@example.com</t>
        </is>
      </c>
      <c r="P88" s="10" t="inlineStr">
        <is>
          <t>https://example.com/supplier/0084</t>
        </is>
      </c>
      <c r="Q88" s="10">
        <f>IF(R88&gt;=85,"A",IF(R88&gt;=70,"B","C"))</f>
        <v/>
      </c>
      <c r="R88" s="13">
        <f>MIN(100,50+IF(M88="是",10,0)+IF(N88="是",10,0)+IF(L88&lt;=100,10,IF(L88&lt;=300,5,0))+IF(J88&lt;=20,10,IF(J88&lt;=50,5,0))+IF(K88-J88&lt;=20,5,0)+IF(F88="企业官网",5,0))</f>
        <v/>
      </c>
      <c r="S88" s="10">
        <f>IF(Q88="A","价格与起订量有优势，建议优先询盘",IF(Q88="B","条件较均衡，可作为备选","起订量或价格需要进一步确认"))</f>
        <v/>
      </c>
      <c r="T88" s="10" t="inlineStr">
        <is>
          <t>未联系</t>
        </is>
      </c>
      <c r="U88" s="10" t="inlineStr">
        <is>
          <t>虚构演示数据</t>
        </is>
      </c>
    </row>
    <row r="89" ht="21" customHeight="1">
      <c r="A89" s="10" t="inlineStr">
        <is>
          <t>GYS-0085</t>
        </is>
      </c>
      <c r="B89" s="10" t="inlineStr">
        <is>
          <t>义乌数码配件供应链0085有限公司（演示）</t>
        </is>
      </c>
      <c r="C89" s="10" t="inlineStr">
        <is>
          <t>数码配件</t>
        </is>
      </c>
      <c r="D89" s="10" t="inlineStr">
        <is>
          <t>磁吸手机支架</t>
        </is>
      </c>
      <c r="E89" s="10" t="inlineStr">
        <is>
          <t>浙江义乌</t>
        </is>
      </c>
      <c r="F89" s="10" t="inlineStr">
        <is>
          <t>中国制造网</t>
        </is>
      </c>
      <c r="G89" s="10" t="inlineStr">
        <is>
          <t>刘经理</t>
        </is>
      </c>
      <c r="H89" s="10" t="inlineStr">
        <is>
          <t>000-0000-0085</t>
        </is>
      </c>
      <c r="I89" s="10" t="inlineStr">
        <is>
          <t>DEMO_GYS_0085</t>
        </is>
      </c>
      <c r="J89" s="11" t="n">
        <v>9.300000000000001</v>
      </c>
      <c r="K89" s="11" t="n">
        <v>16.8</v>
      </c>
      <c r="L89" s="12" t="n">
        <v>500</v>
      </c>
      <c r="M89" s="10" t="inlineStr">
        <is>
          <t>是</t>
        </is>
      </c>
      <c r="N89" s="10" t="inlineStr">
        <is>
          <t>是</t>
        </is>
      </c>
      <c r="O89" s="10" t="inlineStr">
        <is>
          <t>supplier0085@example.com</t>
        </is>
      </c>
      <c r="P89" s="10" t="inlineStr">
        <is>
          <t>https://example.com/supplier/0085</t>
        </is>
      </c>
      <c r="Q89" s="10">
        <f>IF(R89&gt;=85,"A",IF(R89&gt;=70,"B","C"))</f>
        <v/>
      </c>
      <c r="R89" s="13">
        <f>MIN(100,50+IF(M89="是",10,0)+IF(N89="是",10,0)+IF(L89&lt;=100,10,IF(L89&lt;=300,5,0))+IF(J89&lt;=20,10,IF(J89&lt;=50,5,0))+IF(K89-J89&lt;=20,5,0)+IF(F89="企业官网",5,0))</f>
        <v/>
      </c>
      <c r="S89" s="10">
        <f>IF(Q89="A","价格与起订量有优势，建议优先询盘",IF(Q89="B","条件较均衡，可作为备选","起订量或价格需要进一步确认"))</f>
        <v/>
      </c>
      <c r="T89" s="10" t="inlineStr">
        <is>
          <t>未联系</t>
        </is>
      </c>
      <c r="U89" s="10" t="inlineStr">
        <is>
          <t>虚构演示数据</t>
        </is>
      </c>
    </row>
    <row r="90" ht="21" customHeight="1">
      <c r="A90" s="10" t="inlineStr">
        <is>
          <t>GYS-0086</t>
        </is>
      </c>
      <c r="B90" s="10" t="inlineStr">
        <is>
          <t>台州宠物用品供应链0086有限公司（演示）</t>
        </is>
      </c>
      <c r="C90" s="10" t="inlineStr">
        <is>
          <t>宠物用品</t>
        </is>
      </c>
      <c r="D90" s="10" t="inlineStr">
        <is>
          <t>宠物清洁手套</t>
        </is>
      </c>
      <c r="E90" s="10" t="inlineStr">
        <is>
          <t>浙江台州</t>
        </is>
      </c>
      <c r="F90" s="10" t="inlineStr">
        <is>
          <t>企业官网</t>
        </is>
      </c>
      <c r="G90" s="10" t="inlineStr">
        <is>
          <t>黄经理</t>
        </is>
      </c>
      <c r="H90" s="10" t="inlineStr">
        <is>
          <t>000-0000-0086</t>
        </is>
      </c>
      <c r="I90" s="10" t="inlineStr">
        <is>
          <t>DEMO_GYS_0086</t>
        </is>
      </c>
      <c r="J90" s="11" t="n">
        <v>11</v>
      </c>
      <c r="K90" s="11" t="n">
        <v>19.6</v>
      </c>
      <c r="L90" s="12" t="n">
        <v>300</v>
      </c>
      <c r="M90" s="10" t="inlineStr">
        <is>
          <t>是</t>
        </is>
      </c>
      <c r="N90" s="10" t="inlineStr">
        <is>
          <t>是</t>
        </is>
      </c>
      <c r="O90" s="10" t="inlineStr">
        <is>
          <t>supplier0086@example.com</t>
        </is>
      </c>
      <c r="P90" s="10" t="inlineStr">
        <is>
          <t>https://example.com/supplier/0086</t>
        </is>
      </c>
      <c r="Q90" s="10">
        <f>IF(R90&gt;=85,"A",IF(R90&gt;=70,"B","C"))</f>
        <v/>
      </c>
      <c r="R90" s="13">
        <f>MIN(100,50+IF(M90="是",10,0)+IF(N90="是",10,0)+IF(L90&lt;=100,10,IF(L90&lt;=300,5,0))+IF(J90&lt;=20,10,IF(J90&lt;=50,5,0))+IF(K90-J90&lt;=20,5,0)+IF(F90="企业官网",5,0))</f>
        <v/>
      </c>
      <c r="S90" s="10">
        <f>IF(Q90="A","价格与起订量有优势，建议优先询盘",IF(Q90="B","条件较均衡，可作为备选","起订量或价格需要进一步确认"))</f>
        <v/>
      </c>
      <c r="T90" s="10" t="inlineStr">
        <is>
          <t>未联系</t>
        </is>
      </c>
      <c r="U90" s="10" t="inlineStr">
        <is>
          <t>虚构演示数据</t>
        </is>
      </c>
    </row>
    <row r="91" ht="21" customHeight="1">
      <c r="A91" s="10" t="inlineStr">
        <is>
          <t>GYS-0087</t>
        </is>
      </c>
      <c r="B91" s="10" t="inlineStr">
        <is>
          <t>东莞母婴用品供应链0087有限公司（演示）</t>
        </is>
      </c>
      <c r="C91" s="10" t="inlineStr">
        <is>
          <t>母婴用品</t>
        </is>
      </c>
      <c r="D91" s="10" t="inlineStr">
        <is>
          <t>婴儿防撞条</t>
        </is>
      </c>
      <c r="E91" s="10" t="inlineStr">
        <is>
          <t>广东东莞</t>
        </is>
      </c>
      <c r="F91" s="10" t="inlineStr">
        <is>
          <t>义乌购</t>
        </is>
      </c>
      <c r="G91" s="10" t="inlineStr">
        <is>
          <t>赵经理</t>
        </is>
      </c>
      <c r="H91" s="10" t="inlineStr">
        <is>
          <t>000-0000-0087</t>
        </is>
      </c>
      <c r="I91" s="10" t="inlineStr">
        <is>
          <t>DEMO_GYS_0087</t>
        </is>
      </c>
      <c r="J91" s="11" t="n">
        <v>12.7</v>
      </c>
      <c r="K91" s="11" t="n">
        <v>22.4</v>
      </c>
      <c r="L91" s="12" t="n">
        <v>200</v>
      </c>
      <c r="M91" s="10" t="inlineStr">
        <is>
          <t>是</t>
        </is>
      </c>
      <c r="N91" s="10" t="inlineStr">
        <is>
          <t>否</t>
        </is>
      </c>
      <c r="O91" s="10" t="inlineStr">
        <is>
          <t>supplier0087@example.com</t>
        </is>
      </c>
      <c r="P91" s="10" t="inlineStr">
        <is>
          <t>https://example.com/supplier/0087</t>
        </is>
      </c>
      <c r="Q91" s="10">
        <f>IF(R91&gt;=85,"A",IF(R91&gt;=70,"B","C"))</f>
        <v/>
      </c>
      <c r="R91" s="13">
        <f>MIN(100,50+IF(M91="是",10,0)+IF(N91="是",10,0)+IF(L91&lt;=100,10,IF(L91&lt;=300,5,0))+IF(J91&lt;=20,10,IF(J91&lt;=50,5,0))+IF(K91-J91&lt;=20,5,0)+IF(F91="企业官网",5,0))</f>
        <v/>
      </c>
      <c r="S91" s="10">
        <f>IF(Q91="A","价格与起订量有优势，建议优先询盘",IF(Q91="B","条件较均衡，可作为备选","起订量或价格需要进一步确认"))</f>
        <v/>
      </c>
      <c r="T91" s="10" t="inlineStr">
        <is>
          <t>未联系</t>
        </is>
      </c>
      <c r="U91" s="10" t="inlineStr">
        <is>
          <t>虚构演示数据</t>
        </is>
      </c>
    </row>
    <row r="92" ht="21" customHeight="1">
      <c r="A92" s="10" t="inlineStr">
        <is>
          <t>GYS-0088</t>
        </is>
      </c>
      <c r="B92" s="10" t="inlineStr">
        <is>
          <t>厦门运动户外供应链0088有限公司（演示）</t>
        </is>
      </c>
      <c r="C92" s="10" t="inlineStr">
        <is>
          <t>运动户外</t>
        </is>
      </c>
      <c r="D92" s="10" t="inlineStr">
        <is>
          <t>弹力训练带</t>
        </is>
      </c>
      <c r="E92" s="10" t="inlineStr">
        <is>
          <t>福建厦门</t>
        </is>
      </c>
      <c r="F92" s="10" t="inlineStr">
        <is>
          <t>慧聪网</t>
        </is>
      </c>
      <c r="G92" s="10" t="inlineStr">
        <is>
          <t>周经理</t>
        </is>
      </c>
      <c r="H92" s="10" t="inlineStr">
        <is>
          <t>000-0000-0088</t>
        </is>
      </c>
      <c r="I92" s="10" t="inlineStr">
        <is>
          <t>DEMO_GYS_0088</t>
        </is>
      </c>
      <c r="J92" s="11" t="n">
        <v>14.4</v>
      </c>
      <c r="K92" s="11" t="n">
        <v>25.2</v>
      </c>
      <c r="L92" s="12" t="n">
        <v>100</v>
      </c>
      <c r="M92" s="10" t="inlineStr">
        <is>
          <t>否</t>
        </is>
      </c>
      <c r="N92" s="10" t="inlineStr">
        <is>
          <t>是</t>
        </is>
      </c>
      <c r="O92" s="10" t="inlineStr">
        <is>
          <t>supplier0088@example.com</t>
        </is>
      </c>
      <c r="P92" s="10" t="inlineStr">
        <is>
          <t>https://example.com/supplier/0088</t>
        </is>
      </c>
      <c r="Q92" s="10">
        <f>IF(R92&gt;=85,"A",IF(R92&gt;=70,"B","C"))</f>
        <v/>
      </c>
      <c r="R92" s="13">
        <f>MIN(100,50+IF(M92="是",10,0)+IF(N92="是",10,0)+IF(L92&lt;=100,10,IF(L92&lt;=300,5,0))+IF(J92&lt;=20,10,IF(J92&lt;=50,5,0))+IF(K92-J92&lt;=20,5,0)+IF(F92="企业官网",5,0))</f>
        <v/>
      </c>
      <c r="S92" s="10">
        <f>IF(Q92="A","价格与起订量有优势，建议优先询盘",IF(Q92="B","条件较均衡，可作为备选","起订量或价格需要进一步确认"))</f>
        <v/>
      </c>
      <c r="T92" s="10" t="inlineStr">
        <is>
          <t>未联系</t>
        </is>
      </c>
      <c r="U92" s="10" t="inlineStr">
        <is>
          <t>虚构演示数据</t>
        </is>
      </c>
    </row>
    <row r="93" ht="21" customHeight="1">
      <c r="A93" s="10" t="inlineStr">
        <is>
          <t>GYS-0089</t>
        </is>
      </c>
      <c r="B93" s="10" t="inlineStr">
        <is>
          <t>临沂办公文具供应链0089有限公司（演示）</t>
        </is>
      </c>
      <c r="C93" s="10" t="inlineStr">
        <is>
          <t>办公文具</t>
        </is>
      </c>
      <c r="D93" s="10" t="inlineStr">
        <is>
          <t>桌面收纳架</t>
        </is>
      </c>
      <c r="E93" s="10" t="inlineStr">
        <is>
          <t>山东临沂</t>
        </is>
      </c>
      <c r="F93" s="10" t="inlineStr">
        <is>
          <t>1688</t>
        </is>
      </c>
      <c r="G93" s="10" t="inlineStr">
        <is>
          <t>吴经理</t>
        </is>
      </c>
      <c r="H93" s="10" t="inlineStr">
        <is>
          <t>000-0000-0089</t>
        </is>
      </c>
      <c r="I93" s="10" t="inlineStr">
        <is>
          <t>DEMO_GYS_0089</t>
        </is>
      </c>
      <c r="J93" s="11" t="n">
        <v>16.1</v>
      </c>
      <c r="K93" s="11" t="n">
        <v>28</v>
      </c>
      <c r="L93" s="12" t="n">
        <v>50</v>
      </c>
      <c r="M93" s="10" t="inlineStr">
        <is>
          <t>是</t>
        </is>
      </c>
      <c r="N93" s="10" t="inlineStr">
        <is>
          <t>是</t>
        </is>
      </c>
      <c r="O93" s="10" t="inlineStr">
        <is>
          <t>supplier0089@example.com</t>
        </is>
      </c>
      <c r="P93" s="10" t="inlineStr">
        <is>
          <t>https://example.com/supplier/0089</t>
        </is>
      </c>
      <c r="Q93" s="10">
        <f>IF(R93&gt;=85,"A",IF(R93&gt;=70,"B","C"))</f>
        <v/>
      </c>
      <c r="R93" s="13">
        <f>MIN(100,50+IF(M93="是",10,0)+IF(N93="是",10,0)+IF(L93&lt;=100,10,IF(L93&lt;=300,5,0))+IF(J93&lt;=20,10,IF(J93&lt;=50,5,0))+IF(K93-J93&lt;=20,5,0)+IF(F93="企业官网",5,0))</f>
        <v/>
      </c>
      <c r="S93" s="10">
        <f>IF(Q93="A","价格与起订量有优势，建议优先询盘",IF(Q93="B","条件较均衡，可作为备选","起订量或价格需要进一步确认"))</f>
        <v/>
      </c>
      <c r="T93" s="10" t="inlineStr">
        <is>
          <t>未联系</t>
        </is>
      </c>
      <c r="U93" s="10" t="inlineStr">
        <is>
          <t>虚构演示数据</t>
        </is>
      </c>
    </row>
    <row r="94" ht="21" customHeight="1">
      <c r="A94" s="10" t="inlineStr">
        <is>
          <t>GYS-0090</t>
        </is>
      </c>
      <c r="B94" s="10" t="inlineStr">
        <is>
          <t>南昌汽车用品供应链0090有限公司（演示）</t>
        </is>
      </c>
      <c r="C94" s="10" t="inlineStr">
        <is>
          <t>汽车用品</t>
        </is>
      </c>
      <c r="D94" s="10" t="inlineStr">
        <is>
          <t>车载香薰</t>
        </is>
      </c>
      <c r="E94" s="10" t="inlineStr">
        <is>
          <t>江西南昌</t>
        </is>
      </c>
      <c r="F94" s="10" t="inlineStr">
        <is>
          <t>中国制造网</t>
        </is>
      </c>
      <c r="G94" s="10" t="inlineStr">
        <is>
          <t>陈经理</t>
        </is>
      </c>
      <c r="H94" s="10" t="inlineStr">
        <is>
          <t>000-0000-0090</t>
        </is>
      </c>
      <c r="I94" s="10" t="inlineStr">
        <is>
          <t>DEMO_GYS_0090</t>
        </is>
      </c>
      <c r="J94" s="11" t="n">
        <v>17.8</v>
      </c>
      <c r="K94" s="11" t="n">
        <v>30.8</v>
      </c>
      <c r="L94" s="12" t="n">
        <v>20</v>
      </c>
      <c r="M94" s="10" t="inlineStr">
        <is>
          <t>是</t>
        </is>
      </c>
      <c r="N94" s="10" t="inlineStr">
        <is>
          <t>否</t>
        </is>
      </c>
      <c r="O94" s="10" t="inlineStr">
        <is>
          <t>supplier0090@example.com</t>
        </is>
      </c>
      <c r="P94" s="10" t="inlineStr">
        <is>
          <t>https://example.com/supplier/0090</t>
        </is>
      </c>
      <c r="Q94" s="10">
        <f>IF(R94&gt;=85,"A",IF(R94&gt;=70,"B","C"))</f>
        <v/>
      </c>
      <c r="R94" s="13">
        <f>MIN(100,50+IF(M94="是",10,0)+IF(N94="是",10,0)+IF(L94&lt;=100,10,IF(L94&lt;=300,5,0))+IF(J94&lt;=20,10,IF(J94&lt;=50,5,0))+IF(K94-J94&lt;=20,5,0)+IF(F94="企业官网",5,0))</f>
        <v/>
      </c>
      <c r="S94" s="10">
        <f>IF(Q94="A","价格与起订量有优势，建议优先询盘",IF(Q94="B","条件较均衡，可作为备选","起订量或价格需要进一步确认"))</f>
        <v/>
      </c>
      <c r="T94" s="10" t="inlineStr">
        <is>
          <t>未联系</t>
        </is>
      </c>
      <c r="U94" s="10" t="inlineStr">
        <is>
          <t>虚构演示数据</t>
        </is>
      </c>
    </row>
    <row r="95" ht="21" customHeight="1">
      <c r="A95" s="10" t="inlineStr">
        <is>
          <t>GYS-0091</t>
        </is>
      </c>
      <c r="B95" s="10" t="inlineStr">
        <is>
          <t>温州美容工具供应链0091有限公司（演示）</t>
        </is>
      </c>
      <c r="C95" s="10" t="inlineStr">
        <is>
          <t>美容工具</t>
        </is>
      </c>
      <c r="D95" s="10" t="inlineStr">
        <is>
          <t>便携化妆镜</t>
        </is>
      </c>
      <c r="E95" s="10" t="inlineStr">
        <is>
          <t>浙江温州</t>
        </is>
      </c>
      <c r="F95" s="10" t="inlineStr">
        <is>
          <t>企业官网</t>
        </is>
      </c>
      <c r="G95" s="10" t="inlineStr">
        <is>
          <t>林经理</t>
        </is>
      </c>
      <c r="H95" s="10" t="inlineStr">
        <is>
          <t>000-0000-0091</t>
        </is>
      </c>
      <c r="I95" s="10" t="inlineStr">
        <is>
          <t>DEMO_GYS_0091</t>
        </is>
      </c>
      <c r="J95" s="11" t="n">
        <v>19.5</v>
      </c>
      <c r="K95" s="11" t="n">
        <v>33.6</v>
      </c>
      <c r="L95" s="12" t="n">
        <v>500</v>
      </c>
      <c r="M95" s="10" t="inlineStr">
        <is>
          <t>是</t>
        </is>
      </c>
      <c r="N95" s="10" t="inlineStr">
        <is>
          <t>是</t>
        </is>
      </c>
      <c r="O95" s="10" t="inlineStr">
        <is>
          <t>supplier0091@example.com</t>
        </is>
      </c>
      <c r="P95" s="10" t="inlineStr">
        <is>
          <t>https://example.com/supplier/0091</t>
        </is>
      </c>
      <c r="Q95" s="10">
        <f>IF(R95&gt;=85,"A",IF(R95&gt;=70,"B","C"))</f>
        <v/>
      </c>
      <c r="R95" s="13">
        <f>MIN(100,50+IF(M95="是",10,0)+IF(N95="是",10,0)+IF(L95&lt;=100,10,IF(L95&lt;=300,5,0))+IF(J95&lt;=20,10,IF(J95&lt;=50,5,0))+IF(K95-J95&lt;=20,5,0)+IF(F95="企业官网",5,0))</f>
        <v/>
      </c>
      <c r="S95" s="10">
        <f>IF(Q95="A","价格与起订量有优势，建议优先询盘",IF(Q95="B","条件较均衡，可作为备选","起订量或价格需要进一步确认"))</f>
        <v/>
      </c>
      <c r="T95" s="10" t="inlineStr">
        <is>
          <t>未联系</t>
        </is>
      </c>
      <c r="U95" s="10" t="inlineStr">
        <is>
          <t>虚构演示数据</t>
        </is>
      </c>
    </row>
    <row r="96" ht="21" customHeight="1">
      <c r="A96" s="10" t="inlineStr">
        <is>
          <t>GYS-0092</t>
        </is>
      </c>
      <c r="B96" s="10" t="inlineStr">
        <is>
          <t>广州旅行用品供应链0092有限公司（演示）</t>
        </is>
      </c>
      <c r="C96" s="10" t="inlineStr">
        <is>
          <t>旅行用品</t>
        </is>
      </c>
      <c r="D96" s="10" t="inlineStr">
        <is>
          <t>压缩收纳袋</t>
        </is>
      </c>
      <c r="E96" s="10" t="inlineStr">
        <is>
          <t>广东广州</t>
        </is>
      </c>
      <c r="F96" s="10" t="inlineStr">
        <is>
          <t>义乌购</t>
        </is>
      </c>
      <c r="G96" s="10" t="inlineStr">
        <is>
          <t>王经理</t>
        </is>
      </c>
      <c r="H96" s="10" t="inlineStr">
        <is>
          <t>000-0000-0092</t>
        </is>
      </c>
      <c r="I96" s="10" t="inlineStr">
        <is>
          <t>DEMO_GYS_0092</t>
        </is>
      </c>
      <c r="J96" s="11" t="n">
        <v>21.2</v>
      </c>
      <c r="K96" s="11" t="n">
        <v>36.4</v>
      </c>
      <c r="L96" s="12" t="n">
        <v>300</v>
      </c>
      <c r="M96" s="10" t="inlineStr">
        <is>
          <t>否</t>
        </is>
      </c>
      <c r="N96" s="10" t="inlineStr">
        <is>
          <t>是</t>
        </is>
      </c>
      <c r="O96" s="10" t="inlineStr">
        <is>
          <t>supplier0092@example.com</t>
        </is>
      </c>
      <c r="P96" s="10" t="inlineStr">
        <is>
          <t>https://example.com/supplier/0092</t>
        </is>
      </c>
      <c r="Q96" s="10">
        <f>IF(R96&gt;=85,"A",IF(R96&gt;=70,"B","C"))</f>
        <v/>
      </c>
      <c r="R96" s="13">
        <f>MIN(100,50+IF(M96="是",10,0)+IF(N96="是",10,0)+IF(L96&lt;=100,10,IF(L96&lt;=300,5,0))+IF(J96&lt;=20,10,IF(J96&lt;=50,5,0))+IF(K96-J96&lt;=20,5,0)+IF(F96="企业官网",5,0))</f>
        <v/>
      </c>
      <c r="S96" s="10">
        <f>IF(Q96="A","价格与起订量有优势，建议优先询盘",IF(Q96="B","条件较均衡，可作为备选","起订量或价格需要进一步确认"))</f>
        <v/>
      </c>
      <c r="T96" s="10" t="inlineStr">
        <is>
          <t>未联系</t>
        </is>
      </c>
      <c r="U96" s="10" t="inlineStr">
        <is>
          <t>虚构演示数据</t>
        </is>
      </c>
    </row>
    <row r="97" ht="21" customHeight="1">
      <c r="A97" s="10" t="inlineStr">
        <is>
          <t>GYS-0093</t>
        </is>
      </c>
      <c r="B97" s="10" t="inlineStr">
        <is>
          <t>泉州清洁工具供应链0093有限公司（演示）</t>
        </is>
      </c>
      <c r="C97" s="10" t="inlineStr">
        <is>
          <t>清洁工具</t>
        </is>
      </c>
      <c r="D97" s="10" t="inlineStr">
        <is>
          <t>免手洗拖把</t>
        </is>
      </c>
      <c r="E97" s="10" t="inlineStr">
        <is>
          <t>福建泉州</t>
        </is>
      </c>
      <c r="F97" s="10" t="inlineStr">
        <is>
          <t>慧聪网</t>
        </is>
      </c>
      <c r="G97" s="10" t="inlineStr">
        <is>
          <t>李经理</t>
        </is>
      </c>
      <c r="H97" s="10" t="inlineStr">
        <is>
          <t>000-0000-0093</t>
        </is>
      </c>
      <c r="I97" s="10" t="inlineStr">
        <is>
          <t>DEMO_GYS_0093</t>
        </is>
      </c>
      <c r="J97" s="11" t="n">
        <v>22.9</v>
      </c>
      <c r="K97" s="11" t="n">
        <v>39.2</v>
      </c>
      <c r="L97" s="12" t="n">
        <v>200</v>
      </c>
      <c r="M97" s="10" t="inlineStr">
        <is>
          <t>是</t>
        </is>
      </c>
      <c r="N97" s="10" t="inlineStr">
        <is>
          <t>否</t>
        </is>
      </c>
      <c r="O97" s="10" t="inlineStr">
        <is>
          <t>supplier0093@example.com</t>
        </is>
      </c>
      <c r="P97" s="10" t="inlineStr">
        <is>
          <t>https://example.com/supplier/0093</t>
        </is>
      </c>
      <c r="Q97" s="10">
        <f>IF(R97&gt;=85,"A",IF(R97&gt;=70,"B","C"))</f>
        <v/>
      </c>
      <c r="R97" s="13">
        <f>MIN(100,50+IF(M97="是",10,0)+IF(N97="是",10,0)+IF(L97&lt;=100,10,IF(L97&lt;=300,5,0))+IF(J97&lt;=20,10,IF(J97&lt;=50,5,0))+IF(K97-J97&lt;=20,5,0)+IF(F97="企业官网",5,0))</f>
        <v/>
      </c>
      <c r="S97" s="10">
        <f>IF(Q97="A","价格与起订量有优势，建议优先询盘",IF(Q97="B","条件较均衡，可作为备选","起订量或价格需要进一步确认"))</f>
        <v/>
      </c>
      <c r="T97" s="10" t="inlineStr">
        <is>
          <t>未联系</t>
        </is>
      </c>
      <c r="U97" s="10" t="inlineStr">
        <is>
          <t>虚构演示数据</t>
        </is>
      </c>
    </row>
    <row r="98" ht="21" customHeight="1">
      <c r="A98" s="10" t="inlineStr">
        <is>
          <t>GYS-0094</t>
        </is>
      </c>
      <c r="B98" s="10" t="inlineStr">
        <is>
          <t>南通小家电供应链0094有限公司（演示）</t>
        </is>
      </c>
      <c r="C98" s="10" t="inlineStr">
        <is>
          <t>小家电</t>
        </is>
      </c>
      <c r="D98" s="10" t="inlineStr">
        <is>
          <t>迷你加湿器</t>
        </is>
      </c>
      <c r="E98" s="10" t="inlineStr">
        <is>
          <t>江苏南通</t>
        </is>
      </c>
      <c r="F98" s="10" t="inlineStr">
        <is>
          <t>1688</t>
        </is>
      </c>
      <c r="G98" s="10" t="inlineStr">
        <is>
          <t>张经理</t>
        </is>
      </c>
      <c r="H98" s="10" t="inlineStr">
        <is>
          <t>000-0000-0094</t>
        </is>
      </c>
      <c r="I98" s="10" t="inlineStr">
        <is>
          <t>DEMO_GYS_0094</t>
        </is>
      </c>
      <c r="J98" s="11" t="n">
        <v>24.6</v>
      </c>
      <c r="K98" s="11" t="n">
        <v>42</v>
      </c>
      <c r="L98" s="12" t="n">
        <v>100</v>
      </c>
      <c r="M98" s="10" t="inlineStr">
        <is>
          <t>是</t>
        </is>
      </c>
      <c r="N98" s="10" t="inlineStr">
        <is>
          <t>是</t>
        </is>
      </c>
      <c r="O98" s="10" t="inlineStr">
        <is>
          <t>supplier0094@example.com</t>
        </is>
      </c>
      <c r="P98" s="10" t="inlineStr">
        <is>
          <t>https://example.com/supplier/0094</t>
        </is>
      </c>
      <c r="Q98" s="10">
        <f>IF(R98&gt;=85,"A",IF(R98&gt;=70,"B","C"))</f>
        <v/>
      </c>
      <c r="R98" s="13">
        <f>MIN(100,50+IF(M98="是",10,0)+IF(N98="是",10,0)+IF(L98&lt;=100,10,IF(L98&lt;=300,5,0))+IF(J98&lt;=20,10,IF(J98&lt;=50,5,0))+IF(K98-J98&lt;=20,5,0)+IF(F98="企业官网",5,0))</f>
        <v/>
      </c>
      <c r="S98" s="10">
        <f>IF(Q98="A","价格与起订量有优势，建议优先询盘",IF(Q98="B","条件较均衡，可作为备选","起订量或价格需要进一步确认"))</f>
        <v/>
      </c>
      <c r="T98" s="10" t="inlineStr">
        <is>
          <t>未联系</t>
        </is>
      </c>
      <c r="U98" s="10" t="inlineStr">
        <is>
          <t>虚构演示数据</t>
        </is>
      </c>
    </row>
    <row r="99" ht="21" customHeight="1">
      <c r="A99" s="10" t="inlineStr">
        <is>
          <t>GYS-0095</t>
        </is>
      </c>
      <c r="B99" s="10" t="inlineStr">
        <is>
          <t>郑州礼品包装供应链0095有限公司（演示）</t>
        </is>
      </c>
      <c r="C99" s="10" t="inlineStr">
        <is>
          <t>礼品包装</t>
        </is>
      </c>
      <c r="D99" s="10" t="inlineStr">
        <is>
          <t>节日礼盒</t>
        </is>
      </c>
      <c r="E99" s="10" t="inlineStr">
        <is>
          <t>河南郑州</t>
        </is>
      </c>
      <c r="F99" s="10" t="inlineStr">
        <is>
          <t>中国制造网</t>
        </is>
      </c>
      <c r="G99" s="10" t="inlineStr">
        <is>
          <t>刘经理</t>
        </is>
      </c>
      <c r="H99" s="10" t="inlineStr">
        <is>
          <t>000-0000-0095</t>
        </is>
      </c>
      <c r="I99" s="10" t="inlineStr">
        <is>
          <t>DEMO_GYS_0095</t>
        </is>
      </c>
      <c r="J99" s="11" t="n">
        <v>26.3</v>
      </c>
      <c r="K99" s="11" t="n">
        <v>44.8</v>
      </c>
      <c r="L99" s="12" t="n">
        <v>50</v>
      </c>
      <c r="M99" s="10" t="inlineStr">
        <is>
          <t>是</t>
        </is>
      </c>
      <c r="N99" s="10" t="inlineStr">
        <is>
          <t>是</t>
        </is>
      </c>
      <c r="O99" s="10" t="inlineStr">
        <is>
          <t>supplier0095@example.com</t>
        </is>
      </c>
      <c r="P99" s="10" t="inlineStr">
        <is>
          <t>https://example.com/supplier/0095</t>
        </is>
      </c>
      <c r="Q99" s="10">
        <f>IF(R99&gt;=85,"A",IF(R99&gt;=70,"B","C"))</f>
        <v/>
      </c>
      <c r="R99" s="13">
        <f>MIN(100,50+IF(M99="是",10,0)+IF(N99="是",10,0)+IF(L99&lt;=100,10,IF(L99&lt;=300,5,0))+IF(J99&lt;=20,10,IF(J99&lt;=50,5,0))+IF(K99-J99&lt;=20,5,0)+IF(F99="企业官网",5,0))</f>
        <v/>
      </c>
      <c r="S99" s="10">
        <f>IF(Q99="A","价格与起订量有优势，建议优先询盘",IF(Q99="B","条件较均衡，可作为备选","起订量或价格需要进一步确认"))</f>
        <v/>
      </c>
      <c r="T99" s="10" t="inlineStr">
        <is>
          <t>未联系</t>
        </is>
      </c>
      <c r="U99" s="10" t="inlineStr">
        <is>
          <t>虚构演示数据</t>
        </is>
      </c>
    </row>
    <row r="100" ht="21" customHeight="1">
      <c r="A100" s="10" t="inlineStr">
        <is>
          <t>GYS-0096</t>
        </is>
      </c>
      <c r="B100" s="10" t="inlineStr">
        <is>
          <t>宁波五金工具供应链0096有限公司（演示）</t>
        </is>
      </c>
      <c r="C100" s="10" t="inlineStr">
        <is>
          <t>五金工具</t>
        </is>
      </c>
      <c r="D100" s="10" t="inlineStr">
        <is>
          <t>多功能螺丝刀</t>
        </is>
      </c>
      <c r="E100" s="10" t="inlineStr">
        <is>
          <t>浙江宁波</t>
        </is>
      </c>
      <c r="F100" s="10" t="inlineStr">
        <is>
          <t>企业官网</t>
        </is>
      </c>
      <c r="G100" s="10" t="inlineStr">
        <is>
          <t>黄经理</t>
        </is>
      </c>
      <c r="H100" s="10" t="inlineStr">
        <is>
          <t>000-0000-0096</t>
        </is>
      </c>
      <c r="I100" s="10" t="inlineStr">
        <is>
          <t>DEMO_GYS_0096</t>
        </is>
      </c>
      <c r="J100" s="11" t="n">
        <v>28</v>
      </c>
      <c r="K100" s="11" t="n">
        <v>47.6</v>
      </c>
      <c r="L100" s="12" t="n">
        <v>20</v>
      </c>
      <c r="M100" s="10" t="inlineStr">
        <is>
          <t>否</t>
        </is>
      </c>
      <c r="N100" s="10" t="inlineStr">
        <is>
          <t>否</t>
        </is>
      </c>
      <c r="O100" s="10" t="inlineStr">
        <is>
          <t>supplier0096@example.com</t>
        </is>
      </c>
      <c r="P100" s="10" t="inlineStr">
        <is>
          <t>https://example.com/supplier/0096</t>
        </is>
      </c>
      <c r="Q100" s="10">
        <f>IF(R100&gt;=85,"A",IF(R100&gt;=70,"B","C"))</f>
        <v/>
      </c>
      <c r="R100" s="13">
        <f>MIN(100,50+IF(M100="是",10,0)+IF(N100="是",10,0)+IF(L100&lt;=100,10,IF(L100&lt;=300,5,0))+IF(J100&lt;=20,10,IF(J100&lt;=50,5,0))+IF(K100-J100&lt;=20,5,0)+IF(F100="企业官网",5,0))</f>
        <v/>
      </c>
      <c r="S100" s="10">
        <f>IF(Q100="A","价格与起订量有优势，建议优先询盘",IF(Q100="B","条件较均衡，可作为备选","起订量或价格需要进一步确认"))</f>
        <v/>
      </c>
      <c r="T100" s="10" t="inlineStr">
        <is>
          <t>未联系</t>
        </is>
      </c>
      <c r="U100" s="10" t="inlineStr">
        <is>
          <t>虚构演示数据</t>
        </is>
      </c>
    </row>
    <row r="101" ht="21" customHeight="1">
      <c r="A101" s="10" t="inlineStr">
        <is>
          <t>GYS-0097</t>
        </is>
      </c>
      <c r="B101" s="10" t="inlineStr">
        <is>
          <t>深圳鞋靴配件供应链0097有限公司（演示）</t>
        </is>
      </c>
      <c r="C101" s="10" t="inlineStr">
        <is>
          <t>鞋靴配件</t>
        </is>
      </c>
      <c r="D101" s="10" t="inlineStr">
        <is>
          <t>防磨脚贴</t>
        </is>
      </c>
      <c r="E101" s="10" t="inlineStr">
        <is>
          <t>广东深圳</t>
        </is>
      </c>
      <c r="F101" s="10" t="inlineStr">
        <is>
          <t>义乌购</t>
        </is>
      </c>
      <c r="G101" s="10" t="inlineStr">
        <is>
          <t>赵经理</t>
        </is>
      </c>
      <c r="H101" s="10" t="inlineStr">
        <is>
          <t>000-0000-0097</t>
        </is>
      </c>
      <c r="I101" s="10" t="inlineStr">
        <is>
          <t>DEMO_GYS_0097</t>
        </is>
      </c>
      <c r="J101" s="11" t="n">
        <v>29.7</v>
      </c>
      <c r="K101" s="11" t="n">
        <v>50.4</v>
      </c>
      <c r="L101" s="12" t="n">
        <v>500</v>
      </c>
      <c r="M101" s="10" t="inlineStr">
        <is>
          <t>是</t>
        </is>
      </c>
      <c r="N101" s="10" t="inlineStr">
        <is>
          <t>是</t>
        </is>
      </c>
      <c r="O101" s="10" t="inlineStr">
        <is>
          <t>supplier0097@example.com</t>
        </is>
      </c>
      <c r="P101" s="10" t="inlineStr">
        <is>
          <t>https://example.com/supplier/0097</t>
        </is>
      </c>
      <c r="Q101" s="10">
        <f>IF(R101&gt;=85,"A",IF(R101&gt;=70,"B","C"))</f>
        <v/>
      </c>
      <c r="R101" s="13">
        <f>MIN(100,50+IF(M101="是",10,0)+IF(N101="是",10,0)+IF(L101&lt;=100,10,IF(L101&lt;=300,5,0))+IF(J101&lt;=20,10,IF(J101&lt;=50,5,0))+IF(K101-J101&lt;=20,5,0)+IF(F101="企业官网",5,0))</f>
        <v/>
      </c>
      <c r="S101" s="10">
        <f>IF(Q101="A","价格与起订量有优势，建议优先询盘",IF(Q101="B","条件较均衡，可作为备选","起订量或价格需要进一步确认"))</f>
        <v/>
      </c>
      <c r="T101" s="10" t="inlineStr">
        <is>
          <t>未联系</t>
        </is>
      </c>
      <c r="U101" s="10" t="inlineStr">
        <is>
          <t>虚构演示数据</t>
        </is>
      </c>
    </row>
    <row r="102" ht="21" customHeight="1">
      <c r="A102" s="10" t="inlineStr">
        <is>
          <t>GYS-0098</t>
        </is>
      </c>
      <c r="B102" s="10" t="inlineStr">
        <is>
          <t>佛山食品包装供应链0098有限公司（演示）</t>
        </is>
      </c>
      <c r="C102" s="10" t="inlineStr">
        <is>
          <t>食品包装</t>
        </is>
      </c>
      <c r="D102" s="10" t="inlineStr">
        <is>
          <t>密封包装袋</t>
        </is>
      </c>
      <c r="E102" s="10" t="inlineStr">
        <is>
          <t>广东佛山</t>
        </is>
      </c>
      <c r="F102" s="10" t="inlineStr">
        <is>
          <t>慧聪网</t>
        </is>
      </c>
      <c r="G102" s="10" t="inlineStr">
        <is>
          <t>周经理</t>
        </is>
      </c>
      <c r="H102" s="10" t="inlineStr">
        <is>
          <t>000-0000-0098</t>
        </is>
      </c>
      <c r="I102" s="10" t="inlineStr">
        <is>
          <t>DEMO_GYS_0098</t>
        </is>
      </c>
      <c r="J102" s="11" t="n">
        <v>31.4</v>
      </c>
      <c r="K102" s="11" t="n">
        <v>53.2</v>
      </c>
      <c r="L102" s="12" t="n">
        <v>300</v>
      </c>
      <c r="M102" s="10" t="inlineStr">
        <is>
          <t>是</t>
        </is>
      </c>
      <c r="N102" s="10" t="inlineStr">
        <is>
          <t>是</t>
        </is>
      </c>
      <c r="O102" s="10" t="inlineStr">
        <is>
          <t>supplier0098@example.com</t>
        </is>
      </c>
      <c r="P102" s="10" t="inlineStr">
        <is>
          <t>https://example.com/supplier/0098</t>
        </is>
      </c>
      <c r="Q102" s="10">
        <f>IF(R102&gt;=85,"A",IF(R102&gt;=70,"B","C"))</f>
        <v/>
      </c>
      <c r="R102" s="13">
        <f>MIN(100,50+IF(M102="是",10,0)+IF(N102="是",10,0)+IF(L102&lt;=100,10,IF(L102&lt;=300,5,0))+IF(J102&lt;=20,10,IF(J102&lt;=50,5,0))+IF(K102-J102&lt;=20,5,0)+IF(F102="企业官网",5,0))</f>
        <v/>
      </c>
      <c r="S102" s="10">
        <f>IF(Q102="A","价格与起订量有优势，建议优先询盘",IF(Q102="B","条件较均衡，可作为备选","起订量或价格需要进一步确认"))</f>
        <v/>
      </c>
      <c r="T102" s="10" t="inlineStr">
        <is>
          <t>未联系</t>
        </is>
      </c>
      <c r="U102" s="10" t="inlineStr">
        <is>
          <t>虚构演示数据</t>
        </is>
      </c>
    </row>
    <row r="103" ht="21" customHeight="1">
      <c r="A103" s="10" t="inlineStr">
        <is>
          <t>GYS-0099</t>
        </is>
      </c>
      <c r="B103" s="10" t="inlineStr">
        <is>
          <t>苏州户外照明供应链0099有限公司（演示）</t>
        </is>
      </c>
      <c r="C103" s="10" t="inlineStr">
        <is>
          <t>户外照明</t>
        </is>
      </c>
      <c r="D103" s="10" t="inlineStr">
        <is>
          <t>便携露营灯</t>
        </is>
      </c>
      <c r="E103" s="10" t="inlineStr">
        <is>
          <t>江苏苏州</t>
        </is>
      </c>
      <c r="F103" s="10" t="inlineStr">
        <is>
          <t>1688</t>
        </is>
      </c>
      <c r="G103" s="10" t="inlineStr">
        <is>
          <t>吴经理</t>
        </is>
      </c>
      <c r="H103" s="10" t="inlineStr">
        <is>
          <t>000-0000-0099</t>
        </is>
      </c>
      <c r="I103" s="10" t="inlineStr">
        <is>
          <t>DEMO_GYS_0099</t>
        </is>
      </c>
      <c r="J103" s="11" t="n">
        <v>33.1</v>
      </c>
      <c r="K103" s="11" t="n">
        <v>38</v>
      </c>
      <c r="L103" s="12" t="n">
        <v>200</v>
      </c>
      <c r="M103" s="10" t="inlineStr">
        <is>
          <t>是</t>
        </is>
      </c>
      <c r="N103" s="10" t="inlineStr">
        <is>
          <t>否</t>
        </is>
      </c>
      <c r="O103" s="10" t="inlineStr">
        <is>
          <t>supplier0099@example.com</t>
        </is>
      </c>
      <c r="P103" s="10" t="inlineStr">
        <is>
          <t>https://example.com/supplier/0099</t>
        </is>
      </c>
      <c r="Q103" s="10">
        <f>IF(R103&gt;=85,"A",IF(R103&gt;=70,"B","C"))</f>
        <v/>
      </c>
      <c r="R103" s="13">
        <f>MIN(100,50+IF(M103="是",10,0)+IF(N103="是",10,0)+IF(L103&lt;=100,10,IF(L103&lt;=300,5,0))+IF(J103&lt;=20,10,IF(J103&lt;=50,5,0))+IF(K103-J103&lt;=20,5,0)+IF(F103="企业官网",5,0))</f>
        <v/>
      </c>
      <c r="S103" s="10">
        <f>IF(Q103="A","价格与起订量有优势，建议优先询盘",IF(Q103="B","条件较均衡，可作为备选","起订量或价格需要进一步确认"))</f>
        <v/>
      </c>
      <c r="T103" s="10" t="inlineStr">
        <is>
          <t>未联系</t>
        </is>
      </c>
      <c r="U103" s="10" t="inlineStr">
        <is>
          <t>虚构演示数据</t>
        </is>
      </c>
    </row>
    <row r="104" ht="21" customHeight="1">
      <c r="A104" s="10" t="inlineStr">
        <is>
          <t>GYS-0100</t>
        </is>
      </c>
      <c r="B104" s="10" t="inlineStr">
        <is>
          <t>白沟健康用品供应链0100有限公司（演示）</t>
        </is>
      </c>
      <c r="C104" s="10" t="inlineStr">
        <is>
          <t>健康用品</t>
        </is>
      </c>
      <c r="D104" s="10" t="inlineStr">
        <is>
          <t>热敷眼罩</t>
        </is>
      </c>
      <c r="E104" s="10" t="inlineStr">
        <is>
          <t>河北白沟</t>
        </is>
      </c>
      <c r="F104" s="10" t="inlineStr">
        <is>
          <t>中国制造网</t>
        </is>
      </c>
      <c r="G104" s="10" t="inlineStr">
        <is>
          <t>陈经理</t>
        </is>
      </c>
      <c r="H104" s="10" t="inlineStr">
        <is>
          <t>000-0000-0100</t>
        </is>
      </c>
      <c r="I104" s="10" t="inlineStr">
        <is>
          <t>DEMO_GYS_0100</t>
        </is>
      </c>
      <c r="J104" s="11" t="n">
        <v>34.8</v>
      </c>
      <c r="K104" s="11" t="n">
        <v>40.8</v>
      </c>
      <c r="L104" s="12" t="n">
        <v>100</v>
      </c>
      <c r="M104" s="10" t="inlineStr">
        <is>
          <t>否</t>
        </is>
      </c>
      <c r="N104" s="10" t="inlineStr">
        <is>
          <t>是</t>
        </is>
      </c>
      <c r="O104" s="10" t="inlineStr">
        <is>
          <t>supplier0100@example.com</t>
        </is>
      </c>
      <c r="P104" s="10" t="inlineStr">
        <is>
          <t>https://example.com/supplier/0100</t>
        </is>
      </c>
      <c r="Q104" s="10">
        <f>IF(R104&gt;=85,"A",IF(R104&gt;=70,"B","C"))</f>
        <v/>
      </c>
      <c r="R104" s="13">
        <f>MIN(100,50+IF(M104="是",10,0)+IF(N104="是",10,0)+IF(L104&lt;=100,10,IF(L104&lt;=300,5,0))+IF(J104&lt;=20,10,IF(J104&lt;=50,5,0))+IF(K104-J104&lt;=20,5,0)+IF(F104="企业官网",5,0))</f>
        <v/>
      </c>
      <c r="S104" s="10">
        <f>IF(Q104="A","价格与起订量有优势，建议优先询盘",IF(Q104="B","条件较均衡，可作为备选","起订量或价格需要进一步确认"))</f>
        <v/>
      </c>
      <c r="T104" s="10" t="inlineStr">
        <is>
          <t>未联系</t>
        </is>
      </c>
      <c r="U104" s="10" t="inlineStr">
        <is>
          <t>虚构演示数据</t>
        </is>
      </c>
    </row>
    <row r="105" ht="21" customHeight="1">
      <c r="A105" s="10" t="inlineStr">
        <is>
          <t>GYS-0101</t>
        </is>
      </c>
      <c r="B105" s="10" t="inlineStr">
        <is>
          <t>义乌服饰内衣供应链0101有限公司（演示）</t>
        </is>
      </c>
      <c r="C105" s="10" t="inlineStr">
        <is>
          <t>服饰内衣</t>
        </is>
      </c>
      <c r="D105" s="10" t="inlineStr">
        <is>
          <t>防滑袜</t>
        </is>
      </c>
      <c r="E105" s="10" t="inlineStr">
        <is>
          <t>浙江义乌</t>
        </is>
      </c>
      <c r="F105" s="10" t="inlineStr">
        <is>
          <t>企业官网</t>
        </is>
      </c>
      <c r="G105" s="10" t="inlineStr">
        <is>
          <t>林经理</t>
        </is>
      </c>
      <c r="H105" s="10" t="inlineStr">
        <is>
          <t>000-0000-0101</t>
        </is>
      </c>
      <c r="I105" s="10" t="inlineStr">
        <is>
          <t>DEMO_GYS_0101</t>
        </is>
      </c>
      <c r="J105" s="11" t="n">
        <v>36.5</v>
      </c>
      <c r="K105" s="11" t="n">
        <v>43.6</v>
      </c>
      <c r="L105" s="12" t="n">
        <v>50</v>
      </c>
      <c r="M105" s="10" t="inlineStr">
        <is>
          <t>是</t>
        </is>
      </c>
      <c r="N105" s="10" t="inlineStr">
        <is>
          <t>是</t>
        </is>
      </c>
      <c r="O105" s="10" t="inlineStr">
        <is>
          <t>supplier0101@example.com</t>
        </is>
      </c>
      <c r="P105" s="10" t="inlineStr">
        <is>
          <t>https://example.com/supplier/0101</t>
        </is>
      </c>
      <c r="Q105" s="10">
        <f>IF(R105&gt;=85,"A",IF(R105&gt;=70,"B","C"))</f>
        <v/>
      </c>
      <c r="R105" s="13">
        <f>MIN(100,50+IF(M105="是",10,0)+IF(N105="是",10,0)+IF(L105&lt;=100,10,IF(L105&lt;=300,5,0))+IF(J105&lt;=20,10,IF(J105&lt;=50,5,0))+IF(K105-J105&lt;=20,5,0)+IF(F105="企业官网",5,0))</f>
        <v/>
      </c>
      <c r="S105" s="10">
        <f>IF(Q105="A","价格与起订量有优势，建议优先询盘",IF(Q105="B","条件较均衡，可作为备选","起订量或价格需要进一步确认"))</f>
        <v/>
      </c>
      <c r="T105" s="10" t="inlineStr">
        <is>
          <t>未联系</t>
        </is>
      </c>
      <c r="U105" s="10" t="inlineStr">
        <is>
          <t>虚构演示数据</t>
        </is>
      </c>
    </row>
    <row r="106" ht="21" customHeight="1">
      <c r="A106" s="10" t="inlineStr">
        <is>
          <t>GYS-0102</t>
        </is>
      </c>
      <c r="B106" s="10" t="inlineStr">
        <is>
          <t>台州家居日用供应链0102有限公司（演示）</t>
        </is>
      </c>
      <c r="C106" s="10" t="inlineStr">
        <is>
          <t>家居日用</t>
        </is>
      </c>
      <c r="D106" s="10" t="inlineStr">
        <is>
          <t>折叠收纳箱</t>
        </is>
      </c>
      <c r="E106" s="10" t="inlineStr">
        <is>
          <t>浙江台州</t>
        </is>
      </c>
      <c r="F106" s="10" t="inlineStr">
        <is>
          <t>义乌购</t>
        </is>
      </c>
      <c r="G106" s="10" t="inlineStr">
        <is>
          <t>王经理</t>
        </is>
      </c>
      <c r="H106" s="10" t="inlineStr">
        <is>
          <t>000-0000-0102</t>
        </is>
      </c>
      <c r="I106" s="10" t="inlineStr">
        <is>
          <t>DEMO_GYS_0102</t>
        </is>
      </c>
      <c r="J106" s="11" t="n">
        <v>38.2</v>
      </c>
      <c r="K106" s="11" t="n">
        <v>46.4</v>
      </c>
      <c r="L106" s="12" t="n">
        <v>20</v>
      </c>
      <c r="M106" s="10" t="inlineStr">
        <is>
          <t>是</t>
        </is>
      </c>
      <c r="N106" s="10" t="inlineStr">
        <is>
          <t>否</t>
        </is>
      </c>
      <c r="O106" s="10" t="inlineStr">
        <is>
          <t>supplier0102@example.com</t>
        </is>
      </c>
      <c r="P106" s="10" t="inlineStr">
        <is>
          <t>https://example.com/supplier/0102</t>
        </is>
      </c>
      <c r="Q106" s="10">
        <f>IF(R106&gt;=85,"A",IF(R106&gt;=70,"B","C"))</f>
        <v/>
      </c>
      <c r="R106" s="13">
        <f>MIN(100,50+IF(M106="是",10,0)+IF(N106="是",10,0)+IF(L106&lt;=100,10,IF(L106&lt;=300,5,0))+IF(J106&lt;=20,10,IF(J106&lt;=50,5,0))+IF(K106-J106&lt;=20,5,0)+IF(F106="企业官网",5,0))</f>
        <v/>
      </c>
      <c r="S106" s="10">
        <f>IF(Q106="A","价格与起订量有优势，建议优先询盘",IF(Q106="B","条件较均衡，可作为备选","起订量或价格需要进一步确认"))</f>
        <v/>
      </c>
      <c r="T106" s="10" t="inlineStr">
        <is>
          <t>未联系</t>
        </is>
      </c>
      <c r="U106" s="10" t="inlineStr">
        <is>
          <t>虚构演示数据</t>
        </is>
      </c>
    </row>
    <row r="107" ht="21" customHeight="1">
      <c r="A107" s="10" t="inlineStr">
        <is>
          <t>GYS-0103</t>
        </is>
      </c>
      <c r="B107" s="10" t="inlineStr">
        <is>
          <t>东莞个护清洁供应链0103有限公司（演示）</t>
        </is>
      </c>
      <c r="C107" s="10" t="inlineStr">
        <is>
          <t>个护清洁</t>
        </is>
      </c>
      <c r="D107" s="10" t="inlineStr">
        <is>
          <t>便携洗脸巾</t>
        </is>
      </c>
      <c r="E107" s="10" t="inlineStr">
        <is>
          <t>广东东莞</t>
        </is>
      </c>
      <c r="F107" s="10" t="inlineStr">
        <is>
          <t>慧聪网</t>
        </is>
      </c>
      <c r="G107" s="10" t="inlineStr">
        <is>
          <t>李经理</t>
        </is>
      </c>
      <c r="H107" s="10" t="inlineStr">
        <is>
          <t>000-0000-0103</t>
        </is>
      </c>
      <c r="I107" s="10" t="inlineStr">
        <is>
          <t>DEMO_GYS_0103</t>
        </is>
      </c>
      <c r="J107" s="11" t="n">
        <v>39.9</v>
      </c>
      <c r="K107" s="11" t="n">
        <v>49.2</v>
      </c>
      <c r="L107" s="12" t="n">
        <v>500</v>
      </c>
      <c r="M107" s="10" t="inlineStr">
        <is>
          <t>是</t>
        </is>
      </c>
      <c r="N107" s="10" t="inlineStr">
        <is>
          <t>是</t>
        </is>
      </c>
      <c r="O107" s="10" t="inlineStr">
        <is>
          <t>supplier0103@example.com</t>
        </is>
      </c>
      <c r="P107" s="10" t="inlineStr">
        <is>
          <t>https://example.com/supplier/0103</t>
        </is>
      </c>
      <c r="Q107" s="10">
        <f>IF(R107&gt;=85,"A",IF(R107&gt;=70,"B","C"))</f>
        <v/>
      </c>
      <c r="R107" s="13">
        <f>MIN(100,50+IF(M107="是",10,0)+IF(N107="是",10,0)+IF(L107&lt;=100,10,IF(L107&lt;=300,5,0))+IF(J107&lt;=20,10,IF(J107&lt;=50,5,0))+IF(K107-J107&lt;=20,5,0)+IF(F107="企业官网",5,0))</f>
        <v/>
      </c>
      <c r="S107" s="10">
        <f>IF(Q107="A","价格与起订量有优势，建议优先询盘",IF(Q107="B","条件较均衡，可作为备选","起订量或价格需要进一步确认"))</f>
        <v/>
      </c>
      <c r="T107" s="10" t="inlineStr">
        <is>
          <t>未联系</t>
        </is>
      </c>
      <c r="U107" s="10" t="inlineStr">
        <is>
          <t>虚构演示数据</t>
        </is>
      </c>
    </row>
    <row r="108" ht="21" customHeight="1">
      <c r="A108" s="10" t="inlineStr">
        <is>
          <t>GYS-0104</t>
        </is>
      </c>
      <c r="B108" s="10" t="inlineStr">
        <is>
          <t>厦门厨房用品供应链0104有限公司（演示）</t>
        </is>
      </c>
      <c r="C108" s="10" t="inlineStr">
        <is>
          <t>厨房用品</t>
        </is>
      </c>
      <c r="D108" s="10" t="inlineStr">
        <is>
          <t>硅胶保鲜盒</t>
        </is>
      </c>
      <c r="E108" s="10" t="inlineStr">
        <is>
          <t>福建厦门</t>
        </is>
      </c>
      <c r="F108" s="10" t="inlineStr">
        <is>
          <t>1688</t>
        </is>
      </c>
      <c r="G108" s="10" t="inlineStr">
        <is>
          <t>张经理</t>
        </is>
      </c>
      <c r="H108" s="10" t="inlineStr">
        <is>
          <t>000-0000-0104</t>
        </is>
      </c>
      <c r="I108" s="10" t="inlineStr">
        <is>
          <t>DEMO_GYS_0104</t>
        </is>
      </c>
      <c r="J108" s="11" t="n">
        <v>41.6</v>
      </c>
      <c r="K108" s="11" t="n">
        <v>52</v>
      </c>
      <c r="L108" s="12" t="n">
        <v>300</v>
      </c>
      <c r="M108" s="10" t="inlineStr">
        <is>
          <t>否</t>
        </is>
      </c>
      <c r="N108" s="10" t="inlineStr">
        <is>
          <t>是</t>
        </is>
      </c>
      <c r="O108" s="10" t="inlineStr">
        <is>
          <t>supplier0104@example.com</t>
        </is>
      </c>
      <c r="P108" s="10" t="inlineStr">
        <is>
          <t>https://example.com/supplier/0104</t>
        </is>
      </c>
      <c r="Q108" s="10">
        <f>IF(R108&gt;=85,"A",IF(R108&gt;=70,"B","C"))</f>
        <v/>
      </c>
      <c r="R108" s="13">
        <f>MIN(100,50+IF(M108="是",10,0)+IF(N108="是",10,0)+IF(L108&lt;=100,10,IF(L108&lt;=300,5,0))+IF(J108&lt;=20,10,IF(J108&lt;=50,5,0))+IF(K108-J108&lt;=20,5,0)+IF(F108="企业官网",5,0))</f>
        <v/>
      </c>
      <c r="S108" s="10">
        <f>IF(Q108="A","价格与起订量有优势，建议优先询盘",IF(Q108="B","条件较均衡，可作为备选","起订量或价格需要进一步确认"))</f>
        <v/>
      </c>
      <c r="T108" s="10" t="inlineStr">
        <is>
          <t>未联系</t>
        </is>
      </c>
      <c r="U108" s="10" t="inlineStr">
        <is>
          <t>虚构演示数据</t>
        </is>
      </c>
    </row>
    <row r="109" ht="21" customHeight="1">
      <c r="A109" s="10" t="inlineStr">
        <is>
          <t>GYS-0105</t>
        </is>
      </c>
      <c r="B109" s="10" t="inlineStr">
        <is>
          <t>临沂数码配件供应链0105有限公司（演示）</t>
        </is>
      </c>
      <c r="C109" s="10" t="inlineStr">
        <is>
          <t>数码配件</t>
        </is>
      </c>
      <c r="D109" s="10" t="inlineStr">
        <is>
          <t>磁吸手机支架</t>
        </is>
      </c>
      <c r="E109" s="10" t="inlineStr">
        <is>
          <t>山东临沂</t>
        </is>
      </c>
      <c r="F109" s="10" t="inlineStr">
        <is>
          <t>中国制造网</t>
        </is>
      </c>
      <c r="G109" s="10" t="inlineStr">
        <is>
          <t>刘经理</t>
        </is>
      </c>
      <c r="H109" s="10" t="inlineStr">
        <is>
          <t>000-0000-0105</t>
        </is>
      </c>
      <c r="I109" s="10" t="inlineStr">
        <is>
          <t>DEMO_GYS_0105</t>
        </is>
      </c>
      <c r="J109" s="11" t="n">
        <v>43.3</v>
      </c>
      <c r="K109" s="11" t="n">
        <v>54.8</v>
      </c>
      <c r="L109" s="12" t="n">
        <v>200</v>
      </c>
      <c r="M109" s="10" t="inlineStr">
        <is>
          <t>是</t>
        </is>
      </c>
      <c r="N109" s="10" t="inlineStr">
        <is>
          <t>否</t>
        </is>
      </c>
      <c r="O109" s="10" t="inlineStr">
        <is>
          <t>supplier0105@example.com</t>
        </is>
      </c>
      <c r="P109" s="10" t="inlineStr">
        <is>
          <t>https://example.com/supplier/0105</t>
        </is>
      </c>
      <c r="Q109" s="10">
        <f>IF(R109&gt;=85,"A",IF(R109&gt;=70,"B","C"))</f>
        <v/>
      </c>
      <c r="R109" s="13">
        <f>MIN(100,50+IF(M109="是",10,0)+IF(N109="是",10,0)+IF(L109&lt;=100,10,IF(L109&lt;=300,5,0))+IF(J109&lt;=20,10,IF(J109&lt;=50,5,0))+IF(K109-J109&lt;=20,5,0)+IF(F109="企业官网",5,0))</f>
        <v/>
      </c>
      <c r="S109" s="10">
        <f>IF(Q109="A","价格与起订量有优势，建议优先询盘",IF(Q109="B","条件较均衡，可作为备选","起订量或价格需要进一步确认"))</f>
        <v/>
      </c>
      <c r="T109" s="10" t="inlineStr">
        <is>
          <t>未联系</t>
        </is>
      </c>
      <c r="U109" s="10" t="inlineStr">
        <is>
          <t>虚构演示数据</t>
        </is>
      </c>
    </row>
    <row r="110" ht="21" customHeight="1">
      <c r="A110" s="10" t="inlineStr">
        <is>
          <t>GYS-0106</t>
        </is>
      </c>
      <c r="B110" s="10" t="inlineStr">
        <is>
          <t>南昌宠物用品供应链0106有限公司（演示）</t>
        </is>
      </c>
      <c r="C110" s="10" t="inlineStr">
        <is>
          <t>宠物用品</t>
        </is>
      </c>
      <c r="D110" s="10" t="inlineStr">
        <is>
          <t>宠物清洁手套</t>
        </is>
      </c>
      <c r="E110" s="10" t="inlineStr">
        <is>
          <t>江西南昌</t>
        </is>
      </c>
      <c r="F110" s="10" t="inlineStr">
        <is>
          <t>企业官网</t>
        </is>
      </c>
      <c r="G110" s="10" t="inlineStr">
        <is>
          <t>黄经理</t>
        </is>
      </c>
      <c r="H110" s="10" t="inlineStr">
        <is>
          <t>000-0000-0106</t>
        </is>
      </c>
      <c r="I110" s="10" t="inlineStr">
        <is>
          <t>DEMO_GYS_0106</t>
        </is>
      </c>
      <c r="J110" s="11" t="n">
        <v>45</v>
      </c>
      <c r="K110" s="11" t="n">
        <v>57.6</v>
      </c>
      <c r="L110" s="12" t="n">
        <v>100</v>
      </c>
      <c r="M110" s="10" t="inlineStr">
        <is>
          <t>是</t>
        </is>
      </c>
      <c r="N110" s="10" t="inlineStr">
        <is>
          <t>是</t>
        </is>
      </c>
      <c r="O110" s="10" t="inlineStr">
        <is>
          <t>supplier0106@example.com</t>
        </is>
      </c>
      <c r="P110" s="10" t="inlineStr">
        <is>
          <t>https://example.com/supplier/0106</t>
        </is>
      </c>
      <c r="Q110" s="10">
        <f>IF(R110&gt;=85,"A",IF(R110&gt;=70,"B","C"))</f>
        <v/>
      </c>
      <c r="R110" s="13">
        <f>MIN(100,50+IF(M110="是",10,0)+IF(N110="是",10,0)+IF(L110&lt;=100,10,IF(L110&lt;=300,5,0))+IF(J110&lt;=20,10,IF(J110&lt;=50,5,0))+IF(K110-J110&lt;=20,5,0)+IF(F110="企业官网",5,0))</f>
        <v/>
      </c>
      <c r="S110" s="10">
        <f>IF(Q110="A","价格与起订量有优势，建议优先询盘",IF(Q110="B","条件较均衡，可作为备选","起订量或价格需要进一步确认"))</f>
        <v/>
      </c>
      <c r="T110" s="10" t="inlineStr">
        <is>
          <t>未联系</t>
        </is>
      </c>
      <c r="U110" s="10" t="inlineStr">
        <is>
          <t>虚构演示数据</t>
        </is>
      </c>
    </row>
    <row r="111" ht="21" customHeight="1">
      <c r="A111" s="10" t="inlineStr">
        <is>
          <t>GYS-0107</t>
        </is>
      </c>
      <c r="B111" s="10" t="inlineStr">
        <is>
          <t>温州母婴用品供应链0107有限公司（演示）</t>
        </is>
      </c>
      <c r="C111" s="10" t="inlineStr">
        <is>
          <t>母婴用品</t>
        </is>
      </c>
      <c r="D111" s="10" t="inlineStr">
        <is>
          <t>婴儿防撞条</t>
        </is>
      </c>
      <c r="E111" s="10" t="inlineStr">
        <is>
          <t>浙江温州</t>
        </is>
      </c>
      <c r="F111" s="10" t="inlineStr">
        <is>
          <t>义乌购</t>
        </is>
      </c>
      <c r="G111" s="10" t="inlineStr">
        <is>
          <t>赵经理</t>
        </is>
      </c>
      <c r="H111" s="10" t="inlineStr">
        <is>
          <t>000-0000-0107</t>
        </is>
      </c>
      <c r="I111" s="10" t="inlineStr">
        <is>
          <t>DEMO_GYS_0107</t>
        </is>
      </c>
      <c r="J111" s="11" t="n">
        <v>46.7</v>
      </c>
      <c r="K111" s="11" t="n">
        <v>60.4</v>
      </c>
      <c r="L111" s="12" t="n">
        <v>50</v>
      </c>
      <c r="M111" s="10" t="inlineStr">
        <is>
          <t>是</t>
        </is>
      </c>
      <c r="N111" s="10" t="inlineStr">
        <is>
          <t>是</t>
        </is>
      </c>
      <c r="O111" s="10" t="inlineStr">
        <is>
          <t>supplier0107@example.com</t>
        </is>
      </c>
      <c r="P111" s="10" t="inlineStr">
        <is>
          <t>https://example.com/supplier/0107</t>
        </is>
      </c>
      <c r="Q111" s="10">
        <f>IF(R111&gt;=85,"A",IF(R111&gt;=70,"B","C"))</f>
        <v/>
      </c>
      <c r="R111" s="13">
        <f>MIN(100,50+IF(M111="是",10,0)+IF(N111="是",10,0)+IF(L111&lt;=100,10,IF(L111&lt;=300,5,0))+IF(J111&lt;=20,10,IF(J111&lt;=50,5,0))+IF(K111-J111&lt;=20,5,0)+IF(F111="企业官网",5,0))</f>
        <v/>
      </c>
      <c r="S111" s="10">
        <f>IF(Q111="A","价格与起订量有优势，建议优先询盘",IF(Q111="B","条件较均衡，可作为备选","起订量或价格需要进一步确认"))</f>
        <v/>
      </c>
      <c r="T111" s="10" t="inlineStr">
        <is>
          <t>未联系</t>
        </is>
      </c>
      <c r="U111" s="10" t="inlineStr">
        <is>
          <t>虚构演示数据</t>
        </is>
      </c>
    </row>
    <row r="112" ht="21" customHeight="1">
      <c r="A112" s="10" t="inlineStr">
        <is>
          <t>GYS-0108</t>
        </is>
      </c>
      <c r="B112" s="10" t="inlineStr">
        <is>
          <t>广州运动户外供应链0108有限公司（演示）</t>
        </is>
      </c>
      <c r="C112" s="10" t="inlineStr">
        <is>
          <t>运动户外</t>
        </is>
      </c>
      <c r="D112" s="10" t="inlineStr">
        <is>
          <t>弹力训练带</t>
        </is>
      </c>
      <c r="E112" s="10" t="inlineStr">
        <is>
          <t>广东广州</t>
        </is>
      </c>
      <c r="F112" s="10" t="inlineStr">
        <is>
          <t>慧聪网</t>
        </is>
      </c>
      <c r="G112" s="10" t="inlineStr">
        <is>
          <t>周经理</t>
        </is>
      </c>
      <c r="H112" s="10" t="inlineStr">
        <is>
          <t>000-0000-0108</t>
        </is>
      </c>
      <c r="I112" s="10" t="inlineStr">
        <is>
          <t>DEMO_GYS_0108</t>
        </is>
      </c>
      <c r="J112" s="11" t="n">
        <v>48.4</v>
      </c>
      <c r="K112" s="11" t="n">
        <v>63.2</v>
      </c>
      <c r="L112" s="12" t="n">
        <v>20</v>
      </c>
      <c r="M112" s="10" t="inlineStr">
        <is>
          <t>否</t>
        </is>
      </c>
      <c r="N112" s="10" t="inlineStr">
        <is>
          <t>否</t>
        </is>
      </c>
      <c r="O112" s="10" t="inlineStr">
        <is>
          <t>supplier0108@example.com</t>
        </is>
      </c>
      <c r="P112" s="10" t="inlineStr">
        <is>
          <t>https://example.com/supplier/0108</t>
        </is>
      </c>
      <c r="Q112" s="10">
        <f>IF(R112&gt;=85,"A",IF(R112&gt;=70,"B","C"))</f>
        <v/>
      </c>
      <c r="R112" s="13">
        <f>MIN(100,50+IF(M112="是",10,0)+IF(N112="是",10,0)+IF(L112&lt;=100,10,IF(L112&lt;=300,5,0))+IF(J112&lt;=20,10,IF(J112&lt;=50,5,0))+IF(K112-J112&lt;=20,5,0)+IF(F112="企业官网",5,0))</f>
        <v/>
      </c>
      <c r="S112" s="10">
        <f>IF(Q112="A","价格与起订量有优势，建议优先询盘",IF(Q112="B","条件较均衡，可作为备选","起订量或价格需要进一步确认"))</f>
        <v/>
      </c>
      <c r="T112" s="10" t="inlineStr">
        <is>
          <t>未联系</t>
        </is>
      </c>
      <c r="U112" s="10" t="inlineStr">
        <is>
          <t>虚构演示数据</t>
        </is>
      </c>
    </row>
    <row r="113" ht="21" customHeight="1">
      <c r="A113" s="10" t="inlineStr">
        <is>
          <t>GYS-0109</t>
        </is>
      </c>
      <c r="B113" s="10" t="inlineStr">
        <is>
          <t>泉州办公文具供应链0109有限公司（演示）</t>
        </is>
      </c>
      <c r="C113" s="10" t="inlineStr">
        <is>
          <t>办公文具</t>
        </is>
      </c>
      <c r="D113" s="10" t="inlineStr">
        <is>
          <t>桌面收纳架</t>
        </is>
      </c>
      <c r="E113" s="10" t="inlineStr">
        <is>
          <t>福建泉州</t>
        </is>
      </c>
      <c r="F113" s="10" t="inlineStr">
        <is>
          <t>1688</t>
        </is>
      </c>
      <c r="G113" s="10" t="inlineStr">
        <is>
          <t>吴经理</t>
        </is>
      </c>
      <c r="H113" s="10" t="inlineStr">
        <is>
          <t>000-0000-0109</t>
        </is>
      </c>
      <c r="I113" s="10" t="inlineStr">
        <is>
          <t>DEMO_GYS_0109</t>
        </is>
      </c>
      <c r="J113" s="11" t="n">
        <v>4.1</v>
      </c>
      <c r="K113" s="11" t="n">
        <v>20</v>
      </c>
      <c r="L113" s="12" t="n">
        <v>500</v>
      </c>
      <c r="M113" s="10" t="inlineStr">
        <is>
          <t>是</t>
        </is>
      </c>
      <c r="N113" s="10" t="inlineStr">
        <is>
          <t>是</t>
        </is>
      </c>
      <c r="O113" s="10" t="inlineStr">
        <is>
          <t>supplier0109@example.com</t>
        </is>
      </c>
      <c r="P113" s="10" t="inlineStr">
        <is>
          <t>https://example.com/supplier/0109</t>
        </is>
      </c>
      <c r="Q113" s="10">
        <f>IF(R113&gt;=85,"A",IF(R113&gt;=70,"B","C"))</f>
        <v/>
      </c>
      <c r="R113" s="13">
        <f>MIN(100,50+IF(M113="是",10,0)+IF(N113="是",10,0)+IF(L113&lt;=100,10,IF(L113&lt;=300,5,0))+IF(J113&lt;=20,10,IF(J113&lt;=50,5,0))+IF(K113-J113&lt;=20,5,0)+IF(F113="企业官网",5,0))</f>
        <v/>
      </c>
      <c r="S113" s="10">
        <f>IF(Q113="A","价格与起订量有优势，建议优先询盘",IF(Q113="B","条件较均衡，可作为备选","起订量或价格需要进一步确认"))</f>
        <v/>
      </c>
      <c r="T113" s="10" t="inlineStr">
        <is>
          <t>未联系</t>
        </is>
      </c>
      <c r="U113" s="10" t="inlineStr">
        <is>
          <t>虚构演示数据</t>
        </is>
      </c>
    </row>
    <row r="114" ht="21" customHeight="1">
      <c r="A114" s="10" t="inlineStr">
        <is>
          <t>GYS-0110</t>
        </is>
      </c>
      <c r="B114" s="10" t="inlineStr">
        <is>
          <t>南通汽车用品供应链0110有限公司（演示）</t>
        </is>
      </c>
      <c r="C114" s="10" t="inlineStr">
        <is>
          <t>汽车用品</t>
        </is>
      </c>
      <c r="D114" s="10" t="inlineStr">
        <is>
          <t>车载香薰</t>
        </is>
      </c>
      <c r="E114" s="10" t="inlineStr">
        <is>
          <t>江苏南通</t>
        </is>
      </c>
      <c r="F114" s="10" t="inlineStr">
        <is>
          <t>中国制造网</t>
        </is>
      </c>
      <c r="G114" s="10" t="inlineStr">
        <is>
          <t>陈经理</t>
        </is>
      </c>
      <c r="H114" s="10" t="inlineStr">
        <is>
          <t>000-0000-0110</t>
        </is>
      </c>
      <c r="I114" s="10" t="inlineStr">
        <is>
          <t>DEMO_GYS_0110</t>
        </is>
      </c>
      <c r="J114" s="11" t="n">
        <v>5.8</v>
      </c>
      <c r="K114" s="11" t="n">
        <v>22.8</v>
      </c>
      <c r="L114" s="12" t="n">
        <v>300</v>
      </c>
      <c r="M114" s="10" t="inlineStr">
        <is>
          <t>是</t>
        </is>
      </c>
      <c r="N114" s="10" t="inlineStr">
        <is>
          <t>是</t>
        </is>
      </c>
      <c r="O114" s="10" t="inlineStr">
        <is>
          <t>supplier0110@example.com</t>
        </is>
      </c>
      <c r="P114" s="10" t="inlineStr">
        <is>
          <t>https://example.com/supplier/0110</t>
        </is>
      </c>
      <c r="Q114" s="10">
        <f>IF(R114&gt;=85,"A",IF(R114&gt;=70,"B","C"))</f>
        <v/>
      </c>
      <c r="R114" s="13">
        <f>MIN(100,50+IF(M114="是",10,0)+IF(N114="是",10,0)+IF(L114&lt;=100,10,IF(L114&lt;=300,5,0))+IF(J114&lt;=20,10,IF(J114&lt;=50,5,0))+IF(K114-J114&lt;=20,5,0)+IF(F114="企业官网",5,0))</f>
        <v/>
      </c>
      <c r="S114" s="10">
        <f>IF(Q114="A","价格与起订量有优势，建议优先询盘",IF(Q114="B","条件较均衡，可作为备选","起订量或价格需要进一步确认"))</f>
        <v/>
      </c>
      <c r="T114" s="10" t="inlineStr">
        <is>
          <t>未联系</t>
        </is>
      </c>
      <c r="U114" s="10" t="inlineStr">
        <is>
          <t>虚构演示数据</t>
        </is>
      </c>
    </row>
    <row r="115" ht="21" customHeight="1">
      <c r="A115" s="10" t="inlineStr">
        <is>
          <t>GYS-0111</t>
        </is>
      </c>
      <c r="B115" s="10" t="inlineStr">
        <is>
          <t>郑州美容工具供应链0111有限公司（演示）</t>
        </is>
      </c>
      <c r="C115" s="10" t="inlineStr">
        <is>
          <t>美容工具</t>
        </is>
      </c>
      <c r="D115" s="10" t="inlineStr">
        <is>
          <t>便携化妆镜</t>
        </is>
      </c>
      <c r="E115" s="10" t="inlineStr">
        <is>
          <t>河南郑州</t>
        </is>
      </c>
      <c r="F115" s="10" t="inlineStr">
        <is>
          <t>企业官网</t>
        </is>
      </c>
      <c r="G115" s="10" t="inlineStr">
        <is>
          <t>林经理</t>
        </is>
      </c>
      <c r="H115" s="10" t="inlineStr">
        <is>
          <t>000-0000-0111</t>
        </is>
      </c>
      <c r="I115" s="10" t="inlineStr">
        <is>
          <t>DEMO_GYS_0111</t>
        </is>
      </c>
      <c r="J115" s="11" t="n">
        <v>7.5</v>
      </c>
      <c r="K115" s="11" t="n">
        <v>25.6</v>
      </c>
      <c r="L115" s="12" t="n">
        <v>200</v>
      </c>
      <c r="M115" s="10" t="inlineStr">
        <is>
          <t>是</t>
        </is>
      </c>
      <c r="N115" s="10" t="inlineStr">
        <is>
          <t>否</t>
        </is>
      </c>
      <c r="O115" s="10" t="inlineStr">
        <is>
          <t>supplier0111@example.com</t>
        </is>
      </c>
      <c r="P115" s="10" t="inlineStr">
        <is>
          <t>https://example.com/supplier/0111</t>
        </is>
      </c>
      <c r="Q115" s="10">
        <f>IF(R115&gt;=85,"A",IF(R115&gt;=70,"B","C"))</f>
        <v/>
      </c>
      <c r="R115" s="13">
        <f>MIN(100,50+IF(M115="是",10,0)+IF(N115="是",10,0)+IF(L115&lt;=100,10,IF(L115&lt;=300,5,0))+IF(J115&lt;=20,10,IF(J115&lt;=50,5,0))+IF(K115-J115&lt;=20,5,0)+IF(F115="企业官网",5,0))</f>
        <v/>
      </c>
      <c r="S115" s="10">
        <f>IF(Q115="A","价格与起订量有优势，建议优先询盘",IF(Q115="B","条件较均衡，可作为备选","起订量或价格需要进一步确认"))</f>
        <v/>
      </c>
      <c r="T115" s="10" t="inlineStr">
        <is>
          <t>未联系</t>
        </is>
      </c>
      <c r="U115" s="10" t="inlineStr">
        <is>
          <t>虚构演示数据</t>
        </is>
      </c>
    </row>
    <row r="116" ht="21" customHeight="1">
      <c r="A116" s="10" t="inlineStr">
        <is>
          <t>GYS-0112</t>
        </is>
      </c>
      <c r="B116" s="10" t="inlineStr">
        <is>
          <t>宁波旅行用品供应链0112有限公司（演示）</t>
        </is>
      </c>
      <c r="C116" s="10" t="inlineStr">
        <is>
          <t>旅行用品</t>
        </is>
      </c>
      <c r="D116" s="10" t="inlineStr">
        <is>
          <t>压缩收纳袋</t>
        </is>
      </c>
      <c r="E116" s="10" t="inlineStr">
        <is>
          <t>浙江宁波</t>
        </is>
      </c>
      <c r="F116" s="10" t="inlineStr">
        <is>
          <t>义乌购</t>
        </is>
      </c>
      <c r="G116" s="10" t="inlineStr">
        <is>
          <t>王经理</t>
        </is>
      </c>
      <c r="H116" s="10" t="inlineStr">
        <is>
          <t>000-0000-0112</t>
        </is>
      </c>
      <c r="I116" s="10" t="inlineStr">
        <is>
          <t>DEMO_GYS_0112</t>
        </is>
      </c>
      <c r="J116" s="11" t="n">
        <v>9.199999999999999</v>
      </c>
      <c r="K116" s="11" t="n">
        <v>28.4</v>
      </c>
      <c r="L116" s="12" t="n">
        <v>100</v>
      </c>
      <c r="M116" s="10" t="inlineStr">
        <is>
          <t>否</t>
        </is>
      </c>
      <c r="N116" s="10" t="inlineStr">
        <is>
          <t>是</t>
        </is>
      </c>
      <c r="O116" s="10" t="inlineStr">
        <is>
          <t>supplier0112@example.com</t>
        </is>
      </c>
      <c r="P116" s="10" t="inlineStr">
        <is>
          <t>https://example.com/supplier/0112</t>
        </is>
      </c>
      <c r="Q116" s="10">
        <f>IF(R116&gt;=85,"A",IF(R116&gt;=70,"B","C"))</f>
        <v/>
      </c>
      <c r="R116" s="13">
        <f>MIN(100,50+IF(M116="是",10,0)+IF(N116="是",10,0)+IF(L116&lt;=100,10,IF(L116&lt;=300,5,0))+IF(J116&lt;=20,10,IF(J116&lt;=50,5,0))+IF(K116-J116&lt;=20,5,0)+IF(F116="企业官网",5,0))</f>
        <v/>
      </c>
      <c r="S116" s="10">
        <f>IF(Q116="A","价格与起订量有优势，建议优先询盘",IF(Q116="B","条件较均衡，可作为备选","起订量或价格需要进一步确认"))</f>
        <v/>
      </c>
      <c r="T116" s="10" t="inlineStr">
        <is>
          <t>未联系</t>
        </is>
      </c>
      <c r="U116" s="10" t="inlineStr">
        <is>
          <t>虚构演示数据</t>
        </is>
      </c>
    </row>
    <row r="117" ht="21" customHeight="1">
      <c r="A117" s="10" t="inlineStr">
        <is>
          <t>GYS-0113</t>
        </is>
      </c>
      <c r="B117" s="10" t="inlineStr">
        <is>
          <t>深圳清洁工具供应链0113有限公司（演示）</t>
        </is>
      </c>
      <c r="C117" s="10" t="inlineStr">
        <is>
          <t>清洁工具</t>
        </is>
      </c>
      <c r="D117" s="10" t="inlineStr">
        <is>
          <t>免手洗拖把</t>
        </is>
      </c>
      <c r="E117" s="10" t="inlineStr">
        <is>
          <t>广东深圳</t>
        </is>
      </c>
      <c r="F117" s="10" t="inlineStr">
        <is>
          <t>慧聪网</t>
        </is>
      </c>
      <c r="G117" s="10" t="inlineStr">
        <is>
          <t>李经理</t>
        </is>
      </c>
      <c r="H117" s="10" t="inlineStr">
        <is>
          <t>000-0000-0113</t>
        </is>
      </c>
      <c r="I117" s="10" t="inlineStr">
        <is>
          <t>DEMO_GYS_0113</t>
        </is>
      </c>
      <c r="J117" s="11" t="n">
        <v>10.9</v>
      </c>
      <c r="K117" s="11" t="n">
        <v>31.2</v>
      </c>
      <c r="L117" s="12" t="n">
        <v>50</v>
      </c>
      <c r="M117" s="10" t="inlineStr">
        <is>
          <t>是</t>
        </is>
      </c>
      <c r="N117" s="10" t="inlineStr">
        <is>
          <t>是</t>
        </is>
      </c>
      <c r="O117" s="10" t="inlineStr">
        <is>
          <t>supplier0113@example.com</t>
        </is>
      </c>
      <c r="P117" s="10" t="inlineStr">
        <is>
          <t>https://example.com/supplier/0113</t>
        </is>
      </c>
      <c r="Q117" s="10">
        <f>IF(R117&gt;=85,"A",IF(R117&gt;=70,"B","C"))</f>
        <v/>
      </c>
      <c r="R117" s="13">
        <f>MIN(100,50+IF(M117="是",10,0)+IF(N117="是",10,0)+IF(L117&lt;=100,10,IF(L117&lt;=300,5,0))+IF(J117&lt;=20,10,IF(J117&lt;=50,5,0))+IF(K117-J117&lt;=20,5,0)+IF(F117="企业官网",5,0))</f>
        <v/>
      </c>
      <c r="S117" s="10">
        <f>IF(Q117="A","价格与起订量有优势，建议优先询盘",IF(Q117="B","条件较均衡，可作为备选","起订量或价格需要进一步确认"))</f>
        <v/>
      </c>
      <c r="T117" s="10" t="inlineStr">
        <is>
          <t>未联系</t>
        </is>
      </c>
      <c r="U117" s="10" t="inlineStr">
        <is>
          <t>虚构演示数据</t>
        </is>
      </c>
    </row>
    <row r="118" ht="21" customHeight="1">
      <c r="A118" s="10" t="inlineStr">
        <is>
          <t>GYS-0114</t>
        </is>
      </c>
      <c r="B118" s="10" t="inlineStr">
        <is>
          <t>佛山小家电供应链0114有限公司（演示）</t>
        </is>
      </c>
      <c r="C118" s="10" t="inlineStr">
        <is>
          <t>小家电</t>
        </is>
      </c>
      <c r="D118" s="10" t="inlineStr">
        <is>
          <t>迷你加湿器</t>
        </is>
      </c>
      <c r="E118" s="10" t="inlineStr">
        <is>
          <t>广东佛山</t>
        </is>
      </c>
      <c r="F118" s="10" t="inlineStr">
        <is>
          <t>1688</t>
        </is>
      </c>
      <c r="G118" s="10" t="inlineStr">
        <is>
          <t>张经理</t>
        </is>
      </c>
      <c r="H118" s="10" t="inlineStr">
        <is>
          <t>000-0000-0114</t>
        </is>
      </c>
      <c r="I118" s="10" t="inlineStr">
        <is>
          <t>DEMO_GYS_0114</t>
        </is>
      </c>
      <c r="J118" s="11" t="n">
        <v>12.6</v>
      </c>
      <c r="K118" s="11" t="n">
        <v>34</v>
      </c>
      <c r="L118" s="12" t="n">
        <v>20</v>
      </c>
      <c r="M118" s="10" t="inlineStr">
        <is>
          <t>是</t>
        </is>
      </c>
      <c r="N118" s="10" t="inlineStr">
        <is>
          <t>否</t>
        </is>
      </c>
      <c r="O118" s="10" t="inlineStr">
        <is>
          <t>supplier0114@example.com</t>
        </is>
      </c>
      <c r="P118" s="10" t="inlineStr">
        <is>
          <t>https://example.com/supplier/0114</t>
        </is>
      </c>
      <c r="Q118" s="10">
        <f>IF(R118&gt;=85,"A",IF(R118&gt;=70,"B","C"))</f>
        <v/>
      </c>
      <c r="R118" s="13">
        <f>MIN(100,50+IF(M118="是",10,0)+IF(N118="是",10,0)+IF(L118&lt;=100,10,IF(L118&lt;=300,5,0))+IF(J118&lt;=20,10,IF(J118&lt;=50,5,0))+IF(K118-J118&lt;=20,5,0)+IF(F118="企业官网",5,0))</f>
        <v/>
      </c>
      <c r="S118" s="10">
        <f>IF(Q118="A","价格与起订量有优势，建议优先询盘",IF(Q118="B","条件较均衡，可作为备选","起订量或价格需要进一步确认"))</f>
        <v/>
      </c>
      <c r="T118" s="10" t="inlineStr">
        <is>
          <t>未联系</t>
        </is>
      </c>
      <c r="U118" s="10" t="inlineStr">
        <is>
          <t>虚构演示数据</t>
        </is>
      </c>
    </row>
    <row r="119" ht="21" customHeight="1">
      <c r="A119" s="10" t="inlineStr">
        <is>
          <t>GYS-0115</t>
        </is>
      </c>
      <c r="B119" s="10" t="inlineStr">
        <is>
          <t>苏州礼品包装供应链0115有限公司（演示）</t>
        </is>
      </c>
      <c r="C119" s="10" t="inlineStr">
        <is>
          <t>礼品包装</t>
        </is>
      </c>
      <c r="D119" s="10" t="inlineStr">
        <is>
          <t>节日礼盒</t>
        </is>
      </c>
      <c r="E119" s="10" t="inlineStr">
        <is>
          <t>江苏苏州</t>
        </is>
      </c>
      <c r="F119" s="10" t="inlineStr">
        <is>
          <t>中国制造网</t>
        </is>
      </c>
      <c r="G119" s="10" t="inlineStr">
        <is>
          <t>刘经理</t>
        </is>
      </c>
      <c r="H119" s="10" t="inlineStr">
        <is>
          <t>000-0000-0115</t>
        </is>
      </c>
      <c r="I119" s="10" t="inlineStr">
        <is>
          <t>DEMO_GYS_0115</t>
        </is>
      </c>
      <c r="J119" s="11" t="n">
        <v>14.3</v>
      </c>
      <c r="K119" s="11" t="n">
        <v>18.8</v>
      </c>
      <c r="L119" s="12" t="n">
        <v>500</v>
      </c>
      <c r="M119" s="10" t="inlineStr">
        <is>
          <t>是</t>
        </is>
      </c>
      <c r="N119" s="10" t="inlineStr">
        <is>
          <t>是</t>
        </is>
      </c>
      <c r="O119" s="10" t="inlineStr">
        <is>
          <t>supplier0115@example.com</t>
        </is>
      </c>
      <c r="P119" s="10" t="inlineStr">
        <is>
          <t>https://example.com/supplier/0115</t>
        </is>
      </c>
      <c r="Q119" s="10">
        <f>IF(R119&gt;=85,"A",IF(R119&gt;=70,"B","C"))</f>
        <v/>
      </c>
      <c r="R119" s="13">
        <f>MIN(100,50+IF(M119="是",10,0)+IF(N119="是",10,0)+IF(L119&lt;=100,10,IF(L119&lt;=300,5,0))+IF(J119&lt;=20,10,IF(J119&lt;=50,5,0))+IF(K119-J119&lt;=20,5,0)+IF(F119="企业官网",5,0))</f>
        <v/>
      </c>
      <c r="S119" s="10">
        <f>IF(Q119="A","价格与起订量有优势，建议优先询盘",IF(Q119="B","条件较均衡，可作为备选","起订量或价格需要进一步确认"))</f>
        <v/>
      </c>
      <c r="T119" s="10" t="inlineStr">
        <is>
          <t>未联系</t>
        </is>
      </c>
      <c r="U119" s="10" t="inlineStr">
        <is>
          <t>虚构演示数据</t>
        </is>
      </c>
    </row>
    <row r="120" ht="21" customHeight="1">
      <c r="A120" s="10" t="inlineStr">
        <is>
          <t>GYS-0116</t>
        </is>
      </c>
      <c r="B120" s="10" t="inlineStr">
        <is>
          <t>白沟五金工具供应链0116有限公司（演示）</t>
        </is>
      </c>
      <c r="C120" s="10" t="inlineStr">
        <is>
          <t>五金工具</t>
        </is>
      </c>
      <c r="D120" s="10" t="inlineStr">
        <is>
          <t>多功能螺丝刀</t>
        </is>
      </c>
      <c r="E120" s="10" t="inlineStr">
        <is>
          <t>河北白沟</t>
        </is>
      </c>
      <c r="F120" s="10" t="inlineStr">
        <is>
          <t>企业官网</t>
        </is>
      </c>
      <c r="G120" s="10" t="inlineStr">
        <is>
          <t>黄经理</t>
        </is>
      </c>
      <c r="H120" s="10" t="inlineStr">
        <is>
          <t>000-0000-0116</t>
        </is>
      </c>
      <c r="I120" s="10" t="inlineStr">
        <is>
          <t>DEMO_GYS_0116</t>
        </is>
      </c>
      <c r="J120" s="11" t="n">
        <v>16</v>
      </c>
      <c r="K120" s="11" t="n">
        <v>21.6</v>
      </c>
      <c r="L120" s="12" t="n">
        <v>300</v>
      </c>
      <c r="M120" s="10" t="inlineStr">
        <is>
          <t>否</t>
        </is>
      </c>
      <c r="N120" s="10" t="inlineStr">
        <is>
          <t>是</t>
        </is>
      </c>
      <c r="O120" s="10" t="inlineStr">
        <is>
          <t>supplier0116@example.com</t>
        </is>
      </c>
      <c r="P120" s="10" t="inlineStr">
        <is>
          <t>https://example.com/supplier/0116</t>
        </is>
      </c>
      <c r="Q120" s="10">
        <f>IF(R120&gt;=85,"A",IF(R120&gt;=70,"B","C"))</f>
        <v/>
      </c>
      <c r="R120" s="13">
        <f>MIN(100,50+IF(M120="是",10,0)+IF(N120="是",10,0)+IF(L120&lt;=100,10,IF(L120&lt;=300,5,0))+IF(J120&lt;=20,10,IF(J120&lt;=50,5,0))+IF(K120-J120&lt;=20,5,0)+IF(F120="企业官网",5,0))</f>
        <v/>
      </c>
      <c r="S120" s="10">
        <f>IF(Q120="A","价格与起订量有优势，建议优先询盘",IF(Q120="B","条件较均衡，可作为备选","起订量或价格需要进一步确认"))</f>
        <v/>
      </c>
      <c r="T120" s="10" t="inlineStr">
        <is>
          <t>未联系</t>
        </is>
      </c>
      <c r="U120" s="10" t="inlineStr">
        <is>
          <t>虚构演示数据</t>
        </is>
      </c>
    </row>
    <row r="121" ht="21" customHeight="1">
      <c r="A121" s="10" t="inlineStr">
        <is>
          <t>GYS-0117</t>
        </is>
      </c>
      <c r="B121" s="10" t="inlineStr">
        <is>
          <t>义乌鞋靴配件供应链0117有限公司（演示）</t>
        </is>
      </c>
      <c r="C121" s="10" t="inlineStr">
        <is>
          <t>鞋靴配件</t>
        </is>
      </c>
      <c r="D121" s="10" t="inlineStr">
        <is>
          <t>防磨脚贴</t>
        </is>
      </c>
      <c r="E121" s="10" t="inlineStr">
        <is>
          <t>浙江义乌</t>
        </is>
      </c>
      <c r="F121" s="10" t="inlineStr">
        <is>
          <t>义乌购</t>
        </is>
      </c>
      <c r="G121" s="10" t="inlineStr">
        <is>
          <t>赵经理</t>
        </is>
      </c>
      <c r="H121" s="10" t="inlineStr">
        <is>
          <t>000-0000-0117</t>
        </is>
      </c>
      <c r="I121" s="10" t="inlineStr">
        <is>
          <t>DEMO_GYS_0117</t>
        </is>
      </c>
      <c r="J121" s="11" t="n">
        <v>17.7</v>
      </c>
      <c r="K121" s="11" t="n">
        <v>24.4</v>
      </c>
      <c r="L121" s="12" t="n">
        <v>200</v>
      </c>
      <c r="M121" s="10" t="inlineStr">
        <is>
          <t>是</t>
        </is>
      </c>
      <c r="N121" s="10" t="inlineStr">
        <is>
          <t>否</t>
        </is>
      </c>
      <c r="O121" s="10" t="inlineStr">
        <is>
          <t>supplier0117@example.com</t>
        </is>
      </c>
      <c r="P121" s="10" t="inlineStr">
        <is>
          <t>https://example.com/supplier/0117</t>
        </is>
      </c>
      <c r="Q121" s="10">
        <f>IF(R121&gt;=85,"A",IF(R121&gt;=70,"B","C"))</f>
        <v/>
      </c>
      <c r="R121" s="13">
        <f>MIN(100,50+IF(M121="是",10,0)+IF(N121="是",10,0)+IF(L121&lt;=100,10,IF(L121&lt;=300,5,0))+IF(J121&lt;=20,10,IF(J121&lt;=50,5,0))+IF(K121-J121&lt;=20,5,0)+IF(F121="企业官网",5,0))</f>
        <v/>
      </c>
      <c r="S121" s="10">
        <f>IF(Q121="A","价格与起订量有优势，建议优先询盘",IF(Q121="B","条件较均衡，可作为备选","起订量或价格需要进一步确认"))</f>
        <v/>
      </c>
      <c r="T121" s="10" t="inlineStr">
        <is>
          <t>未联系</t>
        </is>
      </c>
      <c r="U121" s="10" t="inlineStr">
        <is>
          <t>虚构演示数据</t>
        </is>
      </c>
    </row>
    <row r="122" ht="21" customHeight="1">
      <c r="A122" s="10" t="inlineStr">
        <is>
          <t>GYS-0118</t>
        </is>
      </c>
      <c r="B122" s="10" t="inlineStr">
        <is>
          <t>台州食品包装供应链0118有限公司（演示）</t>
        </is>
      </c>
      <c r="C122" s="10" t="inlineStr">
        <is>
          <t>食品包装</t>
        </is>
      </c>
      <c r="D122" s="10" t="inlineStr">
        <is>
          <t>密封包装袋</t>
        </is>
      </c>
      <c r="E122" s="10" t="inlineStr">
        <is>
          <t>浙江台州</t>
        </is>
      </c>
      <c r="F122" s="10" t="inlineStr">
        <is>
          <t>慧聪网</t>
        </is>
      </c>
      <c r="G122" s="10" t="inlineStr">
        <is>
          <t>周经理</t>
        </is>
      </c>
      <c r="H122" s="10" t="inlineStr">
        <is>
          <t>000-0000-0118</t>
        </is>
      </c>
      <c r="I122" s="10" t="inlineStr">
        <is>
          <t>DEMO_GYS_0118</t>
        </is>
      </c>
      <c r="J122" s="11" t="n">
        <v>19.4</v>
      </c>
      <c r="K122" s="11" t="n">
        <v>27.2</v>
      </c>
      <c r="L122" s="12" t="n">
        <v>100</v>
      </c>
      <c r="M122" s="10" t="inlineStr">
        <is>
          <t>是</t>
        </is>
      </c>
      <c r="N122" s="10" t="inlineStr">
        <is>
          <t>是</t>
        </is>
      </c>
      <c r="O122" s="10" t="inlineStr">
        <is>
          <t>supplier0118@example.com</t>
        </is>
      </c>
      <c r="P122" s="10" t="inlineStr">
        <is>
          <t>https://example.com/supplier/0118</t>
        </is>
      </c>
      <c r="Q122" s="10">
        <f>IF(R122&gt;=85,"A",IF(R122&gt;=70,"B","C"))</f>
        <v/>
      </c>
      <c r="R122" s="13">
        <f>MIN(100,50+IF(M122="是",10,0)+IF(N122="是",10,0)+IF(L122&lt;=100,10,IF(L122&lt;=300,5,0))+IF(J122&lt;=20,10,IF(J122&lt;=50,5,0))+IF(K122-J122&lt;=20,5,0)+IF(F122="企业官网",5,0))</f>
        <v/>
      </c>
      <c r="S122" s="10">
        <f>IF(Q122="A","价格与起订量有优势，建议优先询盘",IF(Q122="B","条件较均衡，可作为备选","起订量或价格需要进一步确认"))</f>
        <v/>
      </c>
      <c r="T122" s="10" t="inlineStr">
        <is>
          <t>未联系</t>
        </is>
      </c>
      <c r="U122" s="10" t="inlineStr">
        <is>
          <t>虚构演示数据</t>
        </is>
      </c>
    </row>
    <row r="123" ht="21" customHeight="1">
      <c r="A123" s="10" t="inlineStr">
        <is>
          <t>GYS-0119</t>
        </is>
      </c>
      <c r="B123" s="10" t="inlineStr">
        <is>
          <t>东莞户外照明供应链0119有限公司（演示）</t>
        </is>
      </c>
      <c r="C123" s="10" t="inlineStr">
        <is>
          <t>户外照明</t>
        </is>
      </c>
      <c r="D123" s="10" t="inlineStr">
        <is>
          <t>便携露营灯</t>
        </is>
      </c>
      <c r="E123" s="10" t="inlineStr">
        <is>
          <t>广东东莞</t>
        </is>
      </c>
      <c r="F123" s="10" t="inlineStr">
        <is>
          <t>1688</t>
        </is>
      </c>
      <c r="G123" s="10" t="inlineStr">
        <is>
          <t>吴经理</t>
        </is>
      </c>
      <c r="H123" s="10" t="inlineStr">
        <is>
          <t>000-0000-0119</t>
        </is>
      </c>
      <c r="I123" s="10" t="inlineStr">
        <is>
          <t>DEMO_GYS_0119</t>
        </is>
      </c>
      <c r="J123" s="11" t="n">
        <v>21.1</v>
      </c>
      <c r="K123" s="11" t="n">
        <v>30</v>
      </c>
      <c r="L123" s="12" t="n">
        <v>50</v>
      </c>
      <c r="M123" s="10" t="inlineStr">
        <is>
          <t>是</t>
        </is>
      </c>
      <c r="N123" s="10" t="inlineStr">
        <is>
          <t>是</t>
        </is>
      </c>
      <c r="O123" s="10" t="inlineStr">
        <is>
          <t>supplier0119@example.com</t>
        </is>
      </c>
      <c r="P123" s="10" t="inlineStr">
        <is>
          <t>https://example.com/supplier/0119</t>
        </is>
      </c>
      <c r="Q123" s="10">
        <f>IF(R123&gt;=85,"A",IF(R123&gt;=70,"B","C"))</f>
        <v/>
      </c>
      <c r="R123" s="13">
        <f>MIN(100,50+IF(M123="是",10,0)+IF(N123="是",10,0)+IF(L123&lt;=100,10,IF(L123&lt;=300,5,0))+IF(J123&lt;=20,10,IF(J123&lt;=50,5,0))+IF(K123-J123&lt;=20,5,0)+IF(F123="企业官网",5,0))</f>
        <v/>
      </c>
      <c r="S123" s="10">
        <f>IF(Q123="A","价格与起订量有优势，建议优先询盘",IF(Q123="B","条件较均衡，可作为备选","起订量或价格需要进一步确认"))</f>
        <v/>
      </c>
      <c r="T123" s="10" t="inlineStr">
        <is>
          <t>未联系</t>
        </is>
      </c>
      <c r="U123" s="10" t="inlineStr">
        <is>
          <t>虚构演示数据</t>
        </is>
      </c>
    </row>
    <row r="124" ht="21" customHeight="1">
      <c r="A124" s="10" t="inlineStr">
        <is>
          <t>GYS-0120</t>
        </is>
      </c>
      <c r="B124" s="10" t="inlineStr">
        <is>
          <t>厦门健康用品供应链0120有限公司（演示）</t>
        </is>
      </c>
      <c r="C124" s="10" t="inlineStr">
        <is>
          <t>健康用品</t>
        </is>
      </c>
      <c r="D124" s="10" t="inlineStr">
        <is>
          <t>热敷眼罩</t>
        </is>
      </c>
      <c r="E124" s="10" t="inlineStr">
        <is>
          <t>福建厦门</t>
        </is>
      </c>
      <c r="F124" s="10" t="inlineStr">
        <is>
          <t>中国制造网</t>
        </is>
      </c>
      <c r="G124" s="10" t="inlineStr">
        <is>
          <t>陈经理</t>
        </is>
      </c>
      <c r="H124" s="10" t="inlineStr">
        <is>
          <t>000-0000-0120</t>
        </is>
      </c>
      <c r="I124" s="10" t="inlineStr">
        <is>
          <t>DEMO_GYS_0120</t>
        </is>
      </c>
      <c r="J124" s="11" t="n">
        <v>22.8</v>
      </c>
      <c r="K124" s="11" t="n">
        <v>32.8</v>
      </c>
      <c r="L124" s="12" t="n">
        <v>20</v>
      </c>
      <c r="M124" s="10" t="inlineStr">
        <is>
          <t>否</t>
        </is>
      </c>
      <c r="N124" s="10" t="inlineStr">
        <is>
          <t>否</t>
        </is>
      </c>
      <c r="O124" s="10" t="inlineStr">
        <is>
          <t>supplier0120@example.com</t>
        </is>
      </c>
      <c r="P124" s="10" t="inlineStr">
        <is>
          <t>https://example.com/supplier/0120</t>
        </is>
      </c>
      <c r="Q124" s="10">
        <f>IF(R124&gt;=85,"A",IF(R124&gt;=70,"B","C"))</f>
        <v/>
      </c>
      <c r="R124" s="13">
        <f>MIN(100,50+IF(M124="是",10,0)+IF(N124="是",10,0)+IF(L124&lt;=100,10,IF(L124&lt;=300,5,0))+IF(J124&lt;=20,10,IF(J124&lt;=50,5,0))+IF(K124-J124&lt;=20,5,0)+IF(F124="企业官网",5,0))</f>
        <v/>
      </c>
      <c r="S124" s="10">
        <f>IF(Q124="A","价格与起订量有优势，建议优先询盘",IF(Q124="B","条件较均衡，可作为备选","起订量或价格需要进一步确认"))</f>
        <v/>
      </c>
      <c r="T124" s="10" t="inlineStr">
        <is>
          <t>未联系</t>
        </is>
      </c>
      <c r="U124" s="10" t="inlineStr">
        <is>
          <t>虚构演示数据</t>
        </is>
      </c>
    </row>
    <row r="125" ht="21" customHeight="1">
      <c r="A125" s="10" t="inlineStr">
        <is>
          <t>GYS-0121</t>
        </is>
      </c>
      <c r="B125" s="10" t="inlineStr">
        <is>
          <t>临沂服饰内衣供应链0121有限公司（演示）</t>
        </is>
      </c>
      <c r="C125" s="10" t="inlineStr">
        <is>
          <t>服饰内衣</t>
        </is>
      </c>
      <c r="D125" s="10" t="inlineStr">
        <is>
          <t>防滑袜</t>
        </is>
      </c>
      <c r="E125" s="10" t="inlineStr">
        <is>
          <t>山东临沂</t>
        </is>
      </c>
      <c r="F125" s="10" t="inlineStr">
        <is>
          <t>企业官网</t>
        </is>
      </c>
      <c r="G125" s="10" t="inlineStr">
        <is>
          <t>林经理</t>
        </is>
      </c>
      <c r="H125" s="10" t="inlineStr">
        <is>
          <t>000-0000-0121</t>
        </is>
      </c>
      <c r="I125" s="10" t="inlineStr">
        <is>
          <t>DEMO_GYS_0121</t>
        </is>
      </c>
      <c r="J125" s="11" t="n">
        <v>24.5</v>
      </c>
      <c r="K125" s="11" t="n">
        <v>35.6</v>
      </c>
      <c r="L125" s="12" t="n">
        <v>500</v>
      </c>
      <c r="M125" s="10" t="inlineStr">
        <is>
          <t>是</t>
        </is>
      </c>
      <c r="N125" s="10" t="inlineStr">
        <is>
          <t>是</t>
        </is>
      </c>
      <c r="O125" s="10" t="inlineStr">
        <is>
          <t>supplier0121@example.com</t>
        </is>
      </c>
      <c r="P125" s="10" t="inlineStr">
        <is>
          <t>https://example.com/supplier/0121</t>
        </is>
      </c>
      <c r="Q125" s="10">
        <f>IF(R125&gt;=85,"A",IF(R125&gt;=70,"B","C"))</f>
        <v/>
      </c>
      <c r="R125" s="13">
        <f>MIN(100,50+IF(M125="是",10,0)+IF(N125="是",10,0)+IF(L125&lt;=100,10,IF(L125&lt;=300,5,0))+IF(J125&lt;=20,10,IF(J125&lt;=50,5,0))+IF(K125-J125&lt;=20,5,0)+IF(F125="企业官网",5,0))</f>
        <v/>
      </c>
      <c r="S125" s="10">
        <f>IF(Q125="A","价格与起订量有优势，建议优先询盘",IF(Q125="B","条件较均衡，可作为备选","起订量或价格需要进一步确认"))</f>
        <v/>
      </c>
      <c r="T125" s="10" t="inlineStr">
        <is>
          <t>未联系</t>
        </is>
      </c>
      <c r="U125" s="10" t="inlineStr">
        <is>
          <t>虚构演示数据</t>
        </is>
      </c>
    </row>
    <row r="126" ht="21" customHeight="1">
      <c r="A126" s="10" t="inlineStr">
        <is>
          <t>GYS-0122</t>
        </is>
      </c>
      <c r="B126" s="10" t="inlineStr">
        <is>
          <t>南昌家居日用供应链0122有限公司（演示）</t>
        </is>
      </c>
      <c r="C126" s="10" t="inlineStr">
        <is>
          <t>家居日用</t>
        </is>
      </c>
      <c r="D126" s="10" t="inlineStr">
        <is>
          <t>折叠收纳箱</t>
        </is>
      </c>
      <c r="E126" s="10" t="inlineStr">
        <is>
          <t>江西南昌</t>
        </is>
      </c>
      <c r="F126" s="10" t="inlineStr">
        <is>
          <t>义乌购</t>
        </is>
      </c>
      <c r="G126" s="10" t="inlineStr">
        <is>
          <t>王经理</t>
        </is>
      </c>
      <c r="H126" s="10" t="inlineStr">
        <is>
          <t>000-0000-0122</t>
        </is>
      </c>
      <c r="I126" s="10" t="inlineStr">
        <is>
          <t>DEMO_GYS_0122</t>
        </is>
      </c>
      <c r="J126" s="11" t="n">
        <v>26.2</v>
      </c>
      <c r="K126" s="11" t="n">
        <v>38.4</v>
      </c>
      <c r="L126" s="12" t="n">
        <v>300</v>
      </c>
      <c r="M126" s="10" t="inlineStr">
        <is>
          <t>是</t>
        </is>
      </c>
      <c r="N126" s="10" t="inlineStr">
        <is>
          <t>是</t>
        </is>
      </c>
      <c r="O126" s="10" t="inlineStr">
        <is>
          <t>supplier0122@example.com</t>
        </is>
      </c>
      <c r="P126" s="10" t="inlineStr">
        <is>
          <t>https://example.com/supplier/0122</t>
        </is>
      </c>
      <c r="Q126" s="10">
        <f>IF(R126&gt;=85,"A",IF(R126&gt;=70,"B","C"))</f>
        <v/>
      </c>
      <c r="R126" s="13">
        <f>MIN(100,50+IF(M126="是",10,0)+IF(N126="是",10,0)+IF(L126&lt;=100,10,IF(L126&lt;=300,5,0))+IF(J126&lt;=20,10,IF(J126&lt;=50,5,0))+IF(K126-J126&lt;=20,5,0)+IF(F126="企业官网",5,0))</f>
        <v/>
      </c>
      <c r="S126" s="10">
        <f>IF(Q126="A","价格与起订量有优势，建议优先询盘",IF(Q126="B","条件较均衡，可作为备选","起订量或价格需要进一步确认"))</f>
        <v/>
      </c>
      <c r="T126" s="10" t="inlineStr">
        <is>
          <t>未联系</t>
        </is>
      </c>
      <c r="U126" s="10" t="inlineStr">
        <is>
          <t>虚构演示数据</t>
        </is>
      </c>
    </row>
    <row r="127" ht="21" customHeight="1">
      <c r="A127" s="10" t="inlineStr">
        <is>
          <t>GYS-0123</t>
        </is>
      </c>
      <c r="B127" s="10" t="inlineStr">
        <is>
          <t>温州个护清洁供应链0123有限公司（演示）</t>
        </is>
      </c>
      <c r="C127" s="10" t="inlineStr">
        <is>
          <t>个护清洁</t>
        </is>
      </c>
      <c r="D127" s="10" t="inlineStr">
        <is>
          <t>便携洗脸巾</t>
        </is>
      </c>
      <c r="E127" s="10" t="inlineStr">
        <is>
          <t>浙江温州</t>
        </is>
      </c>
      <c r="F127" s="10" t="inlineStr">
        <is>
          <t>慧聪网</t>
        </is>
      </c>
      <c r="G127" s="10" t="inlineStr">
        <is>
          <t>李经理</t>
        </is>
      </c>
      <c r="H127" s="10" t="inlineStr">
        <is>
          <t>000-0000-0123</t>
        </is>
      </c>
      <c r="I127" s="10" t="inlineStr">
        <is>
          <t>DEMO_GYS_0123</t>
        </is>
      </c>
      <c r="J127" s="11" t="n">
        <v>27.9</v>
      </c>
      <c r="K127" s="11" t="n">
        <v>41.2</v>
      </c>
      <c r="L127" s="12" t="n">
        <v>200</v>
      </c>
      <c r="M127" s="10" t="inlineStr">
        <is>
          <t>是</t>
        </is>
      </c>
      <c r="N127" s="10" t="inlineStr">
        <is>
          <t>否</t>
        </is>
      </c>
      <c r="O127" s="10" t="inlineStr">
        <is>
          <t>supplier0123@example.com</t>
        </is>
      </c>
      <c r="P127" s="10" t="inlineStr">
        <is>
          <t>https://example.com/supplier/0123</t>
        </is>
      </c>
      <c r="Q127" s="10">
        <f>IF(R127&gt;=85,"A",IF(R127&gt;=70,"B","C"))</f>
        <v/>
      </c>
      <c r="R127" s="13">
        <f>MIN(100,50+IF(M127="是",10,0)+IF(N127="是",10,0)+IF(L127&lt;=100,10,IF(L127&lt;=300,5,0))+IF(J127&lt;=20,10,IF(J127&lt;=50,5,0))+IF(K127-J127&lt;=20,5,0)+IF(F127="企业官网",5,0))</f>
        <v/>
      </c>
      <c r="S127" s="10">
        <f>IF(Q127="A","价格与起订量有优势，建议优先询盘",IF(Q127="B","条件较均衡，可作为备选","起订量或价格需要进一步确认"))</f>
        <v/>
      </c>
      <c r="T127" s="10" t="inlineStr">
        <is>
          <t>未联系</t>
        </is>
      </c>
      <c r="U127" s="10" t="inlineStr">
        <is>
          <t>虚构演示数据</t>
        </is>
      </c>
    </row>
    <row r="128" ht="21" customHeight="1">
      <c r="A128" s="10" t="inlineStr">
        <is>
          <t>GYS-0124</t>
        </is>
      </c>
      <c r="B128" s="10" t="inlineStr">
        <is>
          <t>广州厨房用品供应链0124有限公司（演示）</t>
        </is>
      </c>
      <c r="C128" s="10" t="inlineStr">
        <is>
          <t>厨房用品</t>
        </is>
      </c>
      <c r="D128" s="10" t="inlineStr">
        <is>
          <t>硅胶保鲜盒</t>
        </is>
      </c>
      <c r="E128" s="10" t="inlineStr">
        <is>
          <t>广东广州</t>
        </is>
      </c>
      <c r="F128" s="10" t="inlineStr">
        <is>
          <t>1688</t>
        </is>
      </c>
      <c r="G128" s="10" t="inlineStr">
        <is>
          <t>张经理</t>
        </is>
      </c>
      <c r="H128" s="10" t="inlineStr">
        <is>
          <t>000-0000-0124</t>
        </is>
      </c>
      <c r="I128" s="10" t="inlineStr">
        <is>
          <t>DEMO_GYS_0124</t>
        </is>
      </c>
      <c r="J128" s="11" t="n">
        <v>29.6</v>
      </c>
      <c r="K128" s="11" t="n">
        <v>44</v>
      </c>
      <c r="L128" s="12" t="n">
        <v>100</v>
      </c>
      <c r="M128" s="10" t="inlineStr">
        <is>
          <t>否</t>
        </is>
      </c>
      <c r="N128" s="10" t="inlineStr">
        <is>
          <t>是</t>
        </is>
      </c>
      <c r="O128" s="10" t="inlineStr">
        <is>
          <t>supplier0124@example.com</t>
        </is>
      </c>
      <c r="P128" s="10" t="inlineStr">
        <is>
          <t>https://example.com/supplier/0124</t>
        </is>
      </c>
      <c r="Q128" s="10">
        <f>IF(R128&gt;=85,"A",IF(R128&gt;=70,"B","C"))</f>
        <v/>
      </c>
      <c r="R128" s="13">
        <f>MIN(100,50+IF(M128="是",10,0)+IF(N128="是",10,0)+IF(L128&lt;=100,10,IF(L128&lt;=300,5,0))+IF(J128&lt;=20,10,IF(J128&lt;=50,5,0))+IF(K128-J128&lt;=20,5,0)+IF(F128="企业官网",5,0))</f>
        <v/>
      </c>
      <c r="S128" s="10">
        <f>IF(Q128="A","价格与起订量有优势，建议优先询盘",IF(Q128="B","条件较均衡，可作为备选","起订量或价格需要进一步确认"))</f>
        <v/>
      </c>
      <c r="T128" s="10" t="inlineStr">
        <is>
          <t>未联系</t>
        </is>
      </c>
      <c r="U128" s="10" t="inlineStr">
        <is>
          <t>虚构演示数据</t>
        </is>
      </c>
    </row>
    <row r="129" ht="21" customHeight="1">
      <c r="A129" s="10" t="inlineStr">
        <is>
          <t>GYS-0125</t>
        </is>
      </c>
      <c r="B129" s="10" t="inlineStr">
        <is>
          <t>泉州数码配件供应链0125有限公司（演示）</t>
        </is>
      </c>
      <c r="C129" s="10" t="inlineStr">
        <is>
          <t>数码配件</t>
        </is>
      </c>
      <c r="D129" s="10" t="inlineStr">
        <is>
          <t>磁吸手机支架</t>
        </is>
      </c>
      <c r="E129" s="10" t="inlineStr">
        <is>
          <t>福建泉州</t>
        </is>
      </c>
      <c r="F129" s="10" t="inlineStr">
        <is>
          <t>中国制造网</t>
        </is>
      </c>
      <c r="G129" s="10" t="inlineStr">
        <is>
          <t>刘经理</t>
        </is>
      </c>
      <c r="H129" s="10" t="inlineStr">
        <is>
          <t>000-0000-0125</t>
        </is>
      </c>
      <c r="I129" s="10" t="inlineStr">
        <is>
          <t>DEMO_GYS_0125</t>
        </is>
      </c>
      <c r="J129" s="11" t="n">
        <v>31.3</v>
      </c>
      <c r="K129" s="11" t="n">
        <v>46.8</v>
      </c>
      <c r="L129" s="12" t="n">
        <v>50</v>
      </c>
      <c r="M129" s="10" t="inlineStr">
        <is>
          <t>是</t>
        </is>
      </c>
      <c r="N129" s="10" t="inlineStr">
        <is>
          <t>是</t>
        </is>
      </c>
      <c r="O129" s="10" t="inlineStr">
        <is>
          <t>supplier0125@example.com</t>
        </is>
      </c>
      <c r="P129" s="10" t="inlineStr">
        <is>
          <t>https://example.com/supplier/0125</t>
        </is>
      </c>
      <c r="Q129" s="10">
        <f>IF(R129&gt;=85,"A",IF(R129&gt;=70,"B","C"))</f>
        <v/>
      </c>
      <c r="R129" s="13">
        <f>MIN(100,50+IF(M129="是",10,0)+IF(N129="是",10,0)+IF(L129&lt;=100,10,IF(L129&lt;=300,5,0))+IF(J129&lt;=20,10,IF(J129&lt;=50,5,0))+IF(K129-J129&lt;=20,5,0)+IF(F129="企业官网",5,0))</f>
        <v/>
      </c>
      <c r="S129" s="10">
        <f>IF(Q129="A","价格与起订量有优势，建议优先询盘",IF(Q129="B","条件较均衡，可作为备选","起订量或价格需要进一步确认"))</f>
        <v/>
      </c>
      <c r="T129" s="10" t="inlineStr">
        <is>
          <t>未联系</t>
        </is>
      </c>
      <c r="U129" s="10" t="inlineStr">
        <is>
          <t>虚构演示数据</t>
        </is>
      </c>
    </row>
    <row r="130" ht="21" customHeight="1">
      <c r="A130" s="10" t="inlineStr">
        <is>
          <t>GYS-0126</t>
        </is>
      </c>
      <c r="B130" s="10" t="inlineStr">
        <is>
          <t>南通宠物用品供应链0126有限公司（演示）</t>
        </is>
      </c>
      <c r="C130" s="10" t="inlineStr">
        <is>
          <t>宠物用品</t>
        </is>
      </c>
      <c r="D130" s="10" t="inlineStr">
        <is>
          <t>宠物清洁手套</t>
        </is>
      </c>
      <c r="E130" s="10" t="inlineStr">
        <is>
          <t>江苏南通</t>
        </is>
      </c>
      <c r="F130" s="10" t="inlineStr">
        <is>
          <t>企业官网</t>
        </is>
      </c>
      <c r="G130" s="10" t="inlineStr">
        <is>
          <t>黄经理</t>
        </is>
      </c>
      <c r="H130" s="10" t="inlineStr">
        <is>
          <t>000-0000-0126</t>
        </is>
      </c>
      <c r="I130" s="10" t="inlineStr">
        <is>
          <t>DEMO_GYS_0126</t>
        </is>
      </c>
      <c r="J130" s="11" t="n">
        <v>33</v>
      </c>
      <c r="K130" s="11" t="n">
        <v>49.6</v>
      </c>
      <c r="L130" s="12" t="n">
        <v>20</v>
      </c>
      <c r="M130" s="10" t="inlineStr">
        <is>
          <t>是</t>
        </is>
      </c>
      <c r="N130" s="10" t="inlineStr">
        <is>
          <t>否</t>
        </is>
      </c>
      <c r="O130" s="10" t="inlineStr">
        <is>
          <t>supplier0126@example.com</t>
        </is>
      </c>
      <c r="P130" s="10" t="inlineStr">
        <is>
          <t>https://example.com/supplier/0126</t>
        </is>
      </c>
      <c r="Q130" s="10">
        <f>IF(R130&gt;=85,"A",IF(R130&gt;=70,"B","C"))</f>
        <v/>
      </c>
      <c r="R130" s="13">
        <f>MIN(100,50+IF(M130="是",10,0)+IF(N130="是",10,0)+IF(L130&lt;=100,10,IF(L130&lt;=300,5,0))+IF(J130&lt;=20,10,IF(J130&lt;=50,5,0))+IF(K130-J130&lt;=20,5,0)+IF(F130="企业官网",5,0))</f>
        <v/>
      </c>
      <c r="S130" s="10">
        <f>IF(Q130="A","价格与起订量有优势，建议优先询盘",IF(Q130="B","条件较均衡，可作为备选","起订量或价格需要进一步确认"))</f>
        <v/>
      </c>
      <c r="T130" s="10" t="inlineStr">
        <is>
          <t>未联系</t>
        </is>
      </c>
      <c r="U130" s="10" t="inlineStr">
        <is>
          <t>虚构演示数据</t>
        </is>
      </c>
    </row>
    <row r="131" ht="21" customHeight="1">
      <c r="A131" s="10" t="inlineStr">
        <is>
          <t>GYS-0127</t>
        </is>
      </c>
      <c r="B131" s="10" t="inlineStr">
        <is>
          <t>郑州母婴用品供应链0127有限公司（演示）</t>
        </is>
      </c>
      <c r="C131" s="10" t="inlineStr">
        <is>
          <t>母婴用品</t>
        </is>
      </c>
      <c r="D131" s="10" t="inlineStr">
        <is>
          <t>婴儿防撞条</t>
        </is>
      </c>
      <c r="E131" s="10" t="inlineStr">
        <is>
          <t>河南郑州</t>
        </is>
      </c>
      <c r="F131" s="10" t="inlineStr">
        <is>
          <t>义乌购</t>
        </is>
      </c>
      <c r="G131" s="10" t="inlineStr">
        <is>
          <t>赵经理</t>
        </is>
      </c>
      <c r="H131" s="10" t="inlineStr">
        <is>
          <t>000-0000-0127</t>
        </is>
      </c>
      <c r="I131" s="10" t="inlineStr">
        <is>
          <t>DEMO_GYS_0127</t>
        </is>
      </c>
      <c r="J131" s="11" t="n">
        <v>34.7</v>
      </c>
      <c r="K131" s="11" t="n">
        <v>52.4</v>
      </c>
      <c r="L131" s="12" t="n">
        <v>500</v>
      </c>
      <c r="M131" s="10" t="inlineStr">
        <is>
          <t>是</t>
        </is>
      </c>
      <c r="N131" s="10" t="inlineStr">
        <is>
          <t>是</t>
        </is>
      </c>
      <c r="O131" s="10" t="inlineStr">
        <is>
          <t>supplier0127@example.com</t>
        </is>
      </c>
      <c r="P131" s="10" t="inlineStr">
        <is>
          <t>https://example.com/supplier/0127</t>
        </is>
      </c>
      <c r="Q131" s="10">
        <f>IF(R131&gt;=85,"A",IF(R131&gt;=70,"B","C"))</f>
        <v/>
      </c>
      <c r="R131" s="13">
        <f>MIN(100,50+IF(M131="是",10,0)+IF(N131="是",10,0)+IF(L131&lt;=100,10,IF(L131&lt;=300,5,0))+IF(J131&lt;=20,10,IF(J131&lt;=50,5,0))+IF(K131-J131&lt;=20,5,0)+IF(F131="企业官网",5,0))</f>
        <v/>
      </c>
      <c r="S131" s="10">
        <f>IF(Q131="A","价格与起订量有优势，建议优先询盘",IF(Q131="B","条件较均衡，可作为备选","起订量或价格需要进一步确认"))</f>
        <v/>
      </c>
      <c r="T131" s="10" t="inlineStr">
        <is>
          <t>未联系</t>
        </is>
      </c>
      <c r="U131" s="10" t="inlineStr">
        <is>
          <t>虚构演示数据</t>
        </is>
      </c>
    </row>
    <row r="132" ht="21" customHeight="1">
      <c r="A132" s="10" t="inlineStr">
        <is>
          <t>GYS-0128</t>
        </is>
      </c>
      <c r="B132" s="10" t="inlineStr">
        <is>
          <t>宁波运动户外供应链0128有限公司（演示）</t>
        </is>
      </c>
      <c r="C132" s="10" t="inlineStr">
        <is>
          <t>运动户外</t>
        </is>
      </c>
      <c r="D132" s="10" t="inlineStr">
        <is>
          <t>弹力训练带</t>
        </is>
      </c>
      <c r="E132" s="10" t="inlineStr">
        <is>
          <t>浙江宁波</t>
        </is>
      </c>
      <c r="F132" s="10" t="inlineStr">
        <is>
          <t>慧聪网</t>
        </is>
      </c>
      <c r="G132" s="10" t="inlineStr">
        <is>
          <t>周经理</t>
        </is>
      </c>
      <c r="H132" s="10" t="inlineStr">
        <is>
          <t>000-0000-0128</t>
        </is>
      </c>
      <c r="I132" s="10" t="inlineStr">
        <is>
          <t>DEMO_GYS_0128</t>
        </is>
      </c>
      <c r="J132" s="11" t="n">
        <v>36.4</v>
      </c>
      <c r="K132" s="11" t="n">
        <v>55.2</v>
      </c>
      <c r="L132" s="12" t="n">
        <v>300</v>
      </c>
      <c r="M132" s="10" t="inlineStr">
        <is>
          <t>否</t>
        </is>
      </c>
      <c r="N132" s="10" t="inlineStr">
        <is>
          <t>是</t>
        </is>
      </c>
      <c r="O132" s="10" t="inlineStr">
        <is>
          <t>supplier0128@example.com</t>
        </is>
      </c>
      <c r="P132" s="10" t="inlineStr">
        <is>
          <t>https://example.com/supplier/0128</t>
        </is>
      </c>
      <c r="Q132" s="10">
        <f>IF(R132&gt;=85,"A",IF(R132&gt;=70,"B","C"))</f>
        <v/>
      </c>
      <c r="R132" s="13">
        <f>MIN(100,50+IF(M132="是",10,0)+IF(N132="是",10,0)+IF(L132&lt;=100,10,IF(L132&lt;=300,5,0))+IF(J132&lt;=20,10,IF(J132&lt;=50,5,0))+IF(K132-J132&lt;=20,5,0)+IF(F132="企业官网",5,0))</f>
        <v/>
      </c>
      <c r="S132" s="10">
        <f>IF(Q132="A","价格与起订量有优势，建议优先询盘",IF(Q132="B","条件较均衡，可作为备选","起订量或价格需要进一步确认"))</f>
        <v/>
      </c>
      <c r="T132" s="10" t="inlineStr">
        <is>
          <t>未联系</t>
        </is>
      </c>
      <c r="U132" s="10" t="inlineStr">
        <is>
          <t>虚构演示数据</t>
        </is>
      </c>
    </row>
    <row r="133" ht="21" customHeight="1">
      <c r="A133" s="10" t="inlineStr">
        <is>
          <t>GYS-0129</t>
        </is>
      </c>
      <c r="B133" s="10" t="inlineStr">
        <is>
          <t>深圳办公文具供应链0129有限公司（演示）</t>
        </is>
      </c>
      <c r="C133" s="10" t="inlineStr">
        <is>
          <t>办公文具</t>
        </is>
      </c>
      <c r="D133" s="10" t="inlineStr">
        <is>
          <t>桌面收纳架</t>
        </is>
      </c>
      <c r="E133" s="10" t="inlineStr">
        <is>
          <t>广东深圳</t>
        </is>
      </c>
      <c r="F133" s="10" t="inlineStr">
        <is>
          <t>1688</t>
        </is>
      </c>
      <c r="G133" s="10" t="inlineStr">
        <is>
          <t>吴经理</t>
        </is>
      </c>
      <c r="H133" s="10" t="inlineStr">
        <is>
          <t>000-0000-0129</t>
        </is>
      </c>
      <c r="I133" s="10" t="inlineStr">
        <is>
          <t>DEMO_GYS_0129</t>
        </is>
      </c>
      <c r="J133" s="11" t="n">
        <v>38.1</v>
      </c>
      <c r="K133" s="11" t="n">
        <v>58</v>
      </c>
      <c r="L133" s="12" t="n">
        <v>200</v>
      </c>
      <c r="M133" s="10" t="inlineStr">
        <is>
          <t>是</t>
        </is>
      </c>
      <c r="N133" s="10" t="inlineStr">
        <is>
          <t>否</t>
        </is>
      </c>
      <c r="O133" s="10" t="inlineStr">
        <is>
          <t>supplier0129@example.com</t>
        </is>
      </c>
      <c r="P133" s="10" t="inlineStr">
        <is>
          <t>https://example.com/supplier/0129</t>
        </is>
      </c>
      <c r="Q133" s="10">
        <f>IF(R133&gt;=85,"A",IF(R133&gt;=70,"B","C"))</f>
        <v/>
      </c>
      <c r="R133" s="13">
        <f>MIN(100,50+IF(M133="是",10,0)+IF(N133="是",10,0)+IF(L133&lt;=100,10,IF(L133&lt;=300,5,0))+IF(J133&lt;=20,10,IF(J133&lt;=50,5,0))+IF(K133-J133&lt;=20,5,0)+IF(F133="企业官网",5,0))</f>
        <v/>
      </c>
      <c r="S133" s="10">
        <f>IF(Q133="A","价格与起订量有优势，建议优先询盘",IF(Q133="B","条件较均衡，可作为备选","起订量或价格需要进一步确认"))</f>
        <v/>
      </c>
      <c r="T133" s="10" t="inlineStr">
        <is>
          <t>未联系</t>
        </is>
      </c>
      <c r="U133" s="10" t="inlineStr">
        <is>
          <t>虚构演示数据</t>
        </is>
      </c>
    </row>
    <row r="134" ht="21" customHeight="1">
      <c r="A134" s="10" t="inlineStr">
        <is>
          <t>GYS-0130</t>
        </is>
      </c>
      <c r="B134" s="10" t="inlineStr">
        <is>
          <t>佛山汽车用品供应链0130有限公司（演示）</t>
        </is>
      </c>
      <c r="C134" s="10" t="inlineStr">
        <is>
          <t>汽车用品</t>
        </is>
      </c>
      <c r="D134" s="10" t="inlineStr">
        <is>
          <t>车载香薰</t>
        </is>
      </c>
      <c r="E134" s="10" t="inlineStr">
        <is>
          <t>广东佛山</t>
        </is>
      </c>
      <c r="F134" s="10" t="inlineStr">
        <is>
          <t>中国制造网</t>
        </is>
      </c>
      <c r="G134" s="10" t="inlineStr">
        <is>
          <t>陈经理</t>
        </is>
      </c>
      <c r="H134" s="10" t="inlineStr">
        <is>
          <t>000-0000-0130</t>
        </is>
      </c>
      <c r="I134" s="10" t="inlineStr">
        <is>
          <t>DEMO_GYS_0130</t>
        </is>
      </c>
      <c r="J134" s="11" t="n">
        <v>39.8</v>
      </c>
      <c r="K134" s="11" t="n">
        <v>60.8</v>
      </c>
      <c r="L134" s="12" t="n">
        <v>100</v>
      </c>
      <c r="M134" s="10" t="inlineStr">
        <is>
          <t>是</t>
        </is>
      </c>
      <c r="N134" s="10" t="inlineStr">
        <is>
          <t>是</t>
        </is>
      </c>
      <c r="O134" s="10" t="inlineStr">
        <is>
          <t>supplier0130@example.com</t>
        </is>
      </c>
      <c r="P134" s="10" t="inlineStr">
        <is>
          <t>https://example.com/supplier/0130</t>
        </is>
      </c>
      <c r="Q134" s="10">
        <f>IF(R134&gt;=85,"A",IF(R134&gt;=70,"B","C"))</f>
        <v/>
      </c>
      <c r="R134" s="13">
        <f>MIN(100,50+IF(M134="是",10,0)+IF(N134="是",10,0)+IF(L134&lt;=100,10,IF(L134&lt;=300,5,0))+IF(J134&lt;=20,10,IF(J134&lt;=50,5,0))+IF(K134-J134&lt;=20,5,0)+IF(F134="企业官网",5,0))</f>
        <v/>
      </c>
      <c r="S134" s="10">
        <f>IF(Q134="A","价格与起订量有优势，建议优先询盘",IF(Q134="B","条件较均衡，可作为备选","起订量或价格需要进一步确认"))</f>
        <v/>
      </c>
      <c r="T134" s="10" t="inlineStr">
        <is>
          <t>未联系</t>
        </is>
      </c>
      <c r="U134" s="10" t="inlineStr">
        <is>
          <t>虚构演示数据</t>
        </is>
      </c>
    </row>
    <row r="135" ht="21" customHeight="1">
      <c r="A135" s="10" t="inlineStr">
        <is>
          <t>GYS-0131</t>
        </is>
      </c>
      <c r="B135" s="10" t="inlineStr">
        <is>
          <t>苏州美容工具供应链0131有限公司（演示）</t>
        </is>
      </c>
      <c r="C135" s="10" t="inlineStr">
        <is>
          <t>美容工具</t>
        </is>
      </c>
      <c r="D135" s="10" t="inlineStr">
        <is>
          <t>便携化妆镜</t>
        </is>
      </c>
      <c r="E135" s="10" t="inlineStr">
        <is>
          <t>江苏苏州</t>
        </is>
      </c>
      <c r="F135" s="10" t="inlineStr">
        <is>
          <t>企业官网</t>
        </is>
      </c>
      <c r="G135" s="10" t="inlineStr">
        <is>
          <t>林经理</t>
        </is>
      </c>
      <c r="H135" s="10" t="inlineStr">
        <is>
          <t>000-0000-0131</t>
        </is>
      </c>
      <c r="I135" s="10" t="inlineStr">
        <is>
          <t>DEMO_GYS_0131</t>
        </is>
      </c>
      <c r="J135" s="11" t="n">
        <v>41.5</v>
      </c>
      <c r="K135" s="11" t="n">
        <v>45.6</v>
      </c>
      <c r="L135" s="12" t="n">
        <v>50</v>
      </c>
      <c r="M135" s="10" t="inlineStr">
        <is>
          <t>是</t>
        </is>
      </c>
      <c r="N135" s="10" t="inlineStr">
        <is>
          <t>是</t>
        </is>
      </c>
      <c r="O135" s="10" t="inlineStr">
        <is>
          <t>supplier0131@example.com</t>
        </is>
      </c>
      <c r="P135" s="10" t="inlineStr">
        <is>
          <t>https://example.com/supplier/0131</t>
        </is>
      </c>
      <c r="Q135" s="10">
        <f>IF(R135&gt;=85,"A",IF(R135&gt;=70,"B","C"))</f>
        <v/>
      </c>
      <c r="R135" s="13">
        <f>MIN(100,50+IF(M135="是",10,0)+IF(N135="是",10,0)+IF(L135&lt;=100,10,IF(L135&lt;=300,5,0))+IF(J135&lt;=20,10,IF(J135&lt;=50,5,0))+IF(K135-J135&lt;=20,5,0)+IF(F135="企业官网",5,0))</f>
        <v/>
      </c>
      <c r="S135" s="10">
        <f>IF(Q135="A","价格与起订量有优势，建议优先询盘",IF(Q135="B","条件较均衡，可作为备选","起订量或价格需要进一步确认"))</f>
        <v/>
      </c>
      <c r="T135" s="10" t="inlineStr">
        <is>
          <t>未联系</t>
        </is>
      </c>
      <c r="U135" s="10" t="inlineStr">
        <is>
          <t>虚构演示数据</t>
        </is>
      </c>
    </row>
    <row r="136" ht="21" customHeight="1">
      <c r="A136" s="10" t="inlineStr">
        <is>
          <t>GYS-0132</t>
        </is>
      </c>
      <c r="B136" s="10" t="inlineStr">
        <is>
          <t>白沟旅行用品供应链0132有限公司（演示）</t>
        </is>
      </c>
      <c r="C136" s="10" t="inlineStr">
        <is>
          <t>旅行用品</t>
        </is>
      </c>
      <c r="D136" s="10" t="inlineStr">
        <is>
          <t>压缩收纳袋</t>
        </is>
      </c>
      <c r="E136" s="10" t="inlineStr">
        <is>
          <t>河北白沟</t>
        </is>
      </c>
      <c r="F136" s="10" t="inlineStr">
        <is>
          <t>义乌购</t>
        </is>
      </c>
      <c r="G136" s="10" t="inlineStr">
        <is>
          <t>王经理</t>
        </is>
      </c>
      <c r="H136" s="10" t="inlineStr">
        <is>
          <t>000-0000-0132</t>
        </is>
      </c>
      <c r="I136" s="10" t="inlineStr">
        <is>
          <t>DEMO_GYS_0132</t>
        </is>
      </c>
      <c r="J136" s="11" t="n">
        <v>43.2</v>
      </c>
      <c r="K136" s="11" t="n">
        <v>48.4</v>
      </c>
      <c r="L136" s="12" t="n">
        <v>20</v>
      </c>
      <c r="M136" s="10" t="inlineStr">
        <is>
          <t>否</t>
        </is>
      </c>
      <c r="N136" s="10" t="inlineStr">
        <is>
          <t>否</t>
        </is>
      </c>
      <c r="O136" s="10" t="inlineStr">
        <is>
          <t>supplier0132@example.com</t>
        </is>
      </c>
      <c r="P136" s="10" t="inlineStr">
        <is>
          <t>https://example.com/supplier/0132</t>
        </is>
      </c>
      <c r="Q136" s="10">
        <f>IF(R136&gt;=85,"A",IF(R136&gt;=70,"B","C"))</f>
        <v/>
      </c>
      <c r="R136" s="13">
        <f>MIN(100,50+IF(M136="是",10,0)+IF(N136="是",10,0)+IF(L136&lt;=100,10,IF(L136&lt;=300,5,0))+IF(J136&lt;=20,10,IF(J136&lt;=50,5,0))+IF(K136-J136&lt;=20,5,0)+IF(F136="企业官网",5,0))</f>
        <v/>
      </c>
      <c r="S136" s="10">
        <f>IF(Q136="A","价格与起订量有优势，建议优先询盘",IF(Q136="B","条件较均衡，可作为备选","起订量或价格需要进一步确认"))</f>
        <v/>
      </c>
      <c r="T136" s="10" t="inlineStr">
        <is>
          <t>未联系</t>
        </is>
      </c>
      <c r="U136" s="10" t="inlineStr">
        <is>
          <t>虚构演示数据</t>
        </is>
      </c>
    </row>
    <row r="137" ht="21" customHeight="1">
      <c r="A137" s="10" t="inlineStr">
        <is>
          <t>GYS-0133</t>
        </is>
      </c>
      <c r="B137" s="10" t="inlineStr">
        <is>
          <t>义乌清洁工具供应链0133有限公司（演示）</t>
        </is>
      </c>
      <c r="C137" s="10" t="inlineStr">
        <is>
          <t>清洁工具</t>
        </is>
      </c>
      <c r="D137" s="10" t="inlineStr">
        <is>
          <t>免手洗拖把</t>
        </is>
      </c>
      <c r="E137" s="10" t="inlineStr">
        <is>
          <t>浙江义乌</t>
        </is>
      </c>
      <c r="F137" s="10" t="inlineStr">
        <is>
          <t>慧聪网</t>
        </is>
      </c>
      <c r="G137" s="10" t="inlineStr">
        <is>
          <t>李经理</t>
        </is>
      </c>
      <c r="H137" s="10" t="inlineStr">
        <is>
          <t>000-0000-0133</t>
        </is>
      </c>
      <c r="I137" s="10" t="inlineStr">
        <is>
          <t>DEMO_GYS_0133</t>
        </is>
      </c>
      <c r="J137" s="11" t="n">
        <v>44.9</v>
      </c>
      <c r="K137" s="11" t="n">
        <v>51.2</v>
      </c>
      <c r="L137" s="12" t="n">
        <v>500</v>
      </c>
      <c r="M137" s="10" t="inlineStr">
        <is>
          <t>是</t>
        </is>
      </c>
      <c r="N137" s="10" t="inlineStr">
        <is>
          <t>是</t>
        </is>
      </c>
      <c r="O137" s="10" t="inlineStr">
        <is>
          <t>supplier0133@example.com</t>
        </is>
      </c>
      <c r="P137" s="10" t="inlineStr">
        <is>
          <t>https://example.com/supplier/0133</t>
        </is>
      </c>
      <c r="Q137" s="10">
        <f>IF(R137&gt;=85,"A",IF(R137&gt;=70,"B","C"))</f>
        <v/>
      </c>
      <c r="R137" s="13">
        <f>MIN(100,50+IF(M137="是",10,0)+IF(N137="是",10,0)+IF(L137&lt;=100,10,IF(L137&lt;=300,5,0))+IF(J137&lt;=20,10,IF(J137&lt;=50,5,0))+IF(K137-J137&lt;=20,5,0)+IF(F137="企业官网",5,0))</f>
        <v/>
      </c>
      <c r="S137" s="10">
        <f>IF(Q137="A","价格与起订量有优势，建议优先询盘",IF(Q137="B","条件较均衡，可作为备选","起订量或价格需要进一步确认"))</f>
        <v/>
      </c>
      <c r="T137" s="10" t="inlineStr">
        <is>
          <t>未联系</t>
        </is>
      </c>
      <c r="U137" s="10" t="inlineStr">
        <is>
          <t>虚构演示数据</t>
        </is>
      </c>
    </row>
    <row r="138" ht="21" customHeight="1">
      <c r="A138" s="10" t="inlineStr">
        <is>
          <t>GYS-0134</t>
        </is>
      </c>
      <c r="B138" s="10" t="inlineStr">
        <is>
          <t>台州小家电供应链0134有限公司（演示）</t>
        </is>
      </c>
      <c r="C138" s="10" t="inlineStr">
        <is>
          <t>小家电</t>
        </is>
      </c>
      <c r="D138" s="10" t="inlineStr">
        <is>
          <t>迷你加湿器</t>
        </is>
      </c>
      <c r="E138" s="10" t="inlineStr">
        <is>
          <t>浙江台州</t>
        </is>
      </c>
      <c r="F138" s="10" t="inlineStr">
        <is>
          <t>1688</t>
        </is>
      </c>
      <c r="G138" s="10" t="inlineStr">
        <is>
          <t>张经理</t>
        </is>
      </c>
      <c r="H138" s="10" t="inlineStr">
        <is>
          <t>000-0000-0134</t>
        </is>
      </c>
      <c r="I138" s="10" t="inlineStr">
        <is>
          <t>DEMO_GYS_0134</t>
        </is>
      </c>
      <c r="J138" s="11" t="n">
        <v>46.6</v>
      </c>
      <c r="K138" s="11" t="n">
        <v>54</v>
      </c>
      <c r="L138" s="12" t="n">
        <v>300</v>
      </c>
      <c r="M138" s="10" t="inlineStr">
        <is>
          <t>是</t>
        </is>
      </c>
      <c r="N138" s="10" t="inlineStr">
        <is>
          <t>是</t>
        </is>
      </c>
      <c r="O138" s="10" t="inlineStr">
        <is>
          <t>supplier0134@example.com</t>
        </is>
      </c>
      <c r="P138" s="10" t="inlineStr">
        <is>
          <t>https://example.com/supplier/0134</t>
        </is>
      </c>
      <c r="Q138" s="10">
        <f>IF(R138&gt;=85,"A",IF(R138&gt;=70,"B","C"))</f>
        <v/>
      </c>
      <c r="R138" s="13">
        <f>MIN(100,50+IF(M138="是",10,0)+IF(N138="是",10,0)+IF(L138&lt;=100,10,IF(L138&lt;=300,5,0))+IF(J138&lt;=20,10,IF(J138&lt;=50,5,0))+IF(K138-J138&lt;=20,5,0)+IF(F138="企业官网",5,0))</f>
        <v/>
      </c>
      <c r="S138" s="10">
        <f>IF(Q138="A","价格与起订量有优势，建议优先询盘",IF(Q138="B","条件较均衡，可作为备选","起订量或价格需要进一步确认"))</f>
        <v/>
      </c>
      <c r="T138" s="10" t="inlineStr">
        <is>
          <t>未联系</t>
        </is>
      </c>
      <c r="U138" s="10" t="inlineStr">
        <is>
          <t>虚构演示数据</t>
        </is>
      </c>
    </row>
    <row r="139" ht="21" customHeight="1">
      <c r="A139" s="10" t="inlineStr">
        <is>
          <t>GYS-0135</t>
        </is>
      </c>
      <c r="B139" s="10" t="inlineStr">
        <is>
          <t>东莞礼品包装供应链0135有限公司（演示）</t>
        </is>
      </c>
      <c r="C139" s="10" t="inlineStr">
        <is>
          <t>礼品包装</t>
        </is>
      </c>
      <c r="D139" s="10" t="inlineStr">
        <is>
          <t>节日礼盒</t>
        </is>
      </c>
      <c r="E139" s="10" t="inlineStr">
        <is>
          <t>广东东莞</t>
        </is>
      </c>
      <c r="F139" s="10" t="inlineStr">
        <is>
          <t>中国制造网</t>
        </is>
      </c>
      <c r="G139" s="10" t="inlineStr">
        <is>
          <t>刘经理</t>
        </is>
      </c>
      <c r="H139" s="10" t="inlineStr">
        <is>
          <t>000-0000-0135</t>
        </is>
      </c>
      <c r="I139" s="10" t="inlineStr">
        <is>
          <t>DEMO_GYS_0135</t>
        </is>
      </c>
      <c r="J139" s="11" t="n">
        <v>48.3</v>
      </c>
      <c r="K139" s="11" t="n">
        <v>56.8</v>
      </c>
      <c r="L139" s="12" t="n">
        <v>200</v>
      </c>
      <c r="M139" s="10" t="inlineStr">
        <is>
          <t>是</t>
        </is>
      </c>
      <c r="N139" s="10" t="inlineStr">
        <is>
          <t>否</t>
        </is>
      </c>
      <c r="O139" s="10" t="inlineStr">
        <is>
          <t>supplier0135@example.com</t>
        </is>
      </c>
      <c r="P139" s="10" t="inlineStr">
        <is>
          <t>https://example.com/supplier/0135</t>
        </is>
      </c>
      <c r="Q139" s="10">
        <f>IF(R139&gt;=85,"A",IF(R139&gt;=70,"B","C"))</f>
        <v/>
      </c>
      <c r="R139" s="13">
        <f>MIN(100,50+IF(M139="是",10,0)+IF(N139="是",10,0)+IF(L139&lt;=100,10,IF(L139&lt;=300,5,0))+IF(J139&lt;=20,10,IF(J139&lt;=50,5,0))+IF(K139-J139&lt;=20,5,0)+IF(F139="企业官网",5,0))</f>
        <v/>
      </c>
      <c r="S139" s="10">
        <f>IF(Q139="A","价格与起订量有优势，建议优先询盘",IF(Q139="B","条件较均衡，可作为备选","起订量或价格需要进一步确认"))</f>
        <v/>
      </c>
      <c r="T139" s="10" t="inlineStr">
        <is>
          <t>未联系</t>
        </is>
      </c>
      <c r="U139" s="10" t="inlineStr">
        <is>
          <t>虚构演示数据</t>
        </is>
      </c>
    </row>
    <row r="140" ht="21" customHeight="1">
      <c r="A140" s="10" t="inlineStr">
        <is>
          <t>GYS-0136</t>
        </is>
      </c>
      <c r="B140" s="10" t="inlineStr">
        <is>
          <t>厦门五金工具供应链0136有限公司（演示）</t>
        </is>
      </c>
      <c r="C140" s="10" t="inlineStr">
        <is>
          <t>五金工具</t>
        </is>
      </c>
      <c r="D140" s="10" t="inlineStr">
        <is>
          <t>多功能螺丝刀</t>
        </is>
      </c>
      <c r="E140" s="10" t="inlineStr">
        <is>
          <t>福建厦门</t>
        </is>
      </c>
      <c r="F140" s="10" t="inlineStr">
        <is>
          <t>企业官网</t>
        </is>
      </c>
      <c r="G140" s="10" t="inlineStr">
        <is>
          <t>黄经理</t>
        </is>
      </c>
      <c r="H140" s="10" t="inlineStr">
        <is>
          <t>000-0000-0136</t>
        </is>
      </c>
      <c r="I140" s="10" t="inlineStr">
        <is>
          <t>DEMO_GYS_0136</t>
        </is>
      </c>
      <c r="J140" s="11" t="n">
        <v>4</v>
      </c>
      <c r="K140" s="11" t="n">
        <v>13.6</v>
      </c>
      <c r="L140" s="12" t="n">
        <v>100</v>
      </c>
      <c r="M140" s="10" t="inlineStr">
        <is>
          <t>否</t>
        </is>
      </c>
      <c r="N140" s="10" t="inlineStr">
        <is>
          <t>是</t>
        </is>
      </c>
      <c r="O140" s="10" t="inlineStr">
        <is>
          <t>supplier0136@example.com</t>
        </is>
      </c>
      <c r="P140" s="10" t="inlineStr">
        <is>
          <t>https://example.com/supplier/0136</t>
        </is>
      </c>
      <c r="Q140" s="10">
        <f>IF(R140&gt;=85,"A",IF(R140&gt;=70,"B","C"))</f>
        <v/>
      </c>
      <c r="R140" s="13">
        <f>MIN(100,50+IF(M140="是",10,0)+IF(N140="是",10,0)+IF(L140&lt;=100,10,IF(L140&lt;=300,5,0))+IF(J140&lt;=20,10,IF(J140&lt;=50,5,0))+IF(K140-J140&lt;=20,5,0)+IF(F140="企业官网",5,0))</f>
        <v/>
      </c>
      <c r="S140" s="10">
        <f>IF(Q140="A","价格与起订量有优势，建议优先询盘",IF(Q140="B","条件较均衡，可作为备选","起订量或价格需要进一步确认"))</f>
        <v/>
      </c>
      <c r="T140" s="10" t="inlineStr">
        <is>
          <t>未联系</t>
        </is>
      </c>
      <c r="U140" s="10" t="inlineStr">
        <is>
          <t>虚构演示数据</t>
        </is>
      </c>
    </row>
    <row r="141" ht="21" customHeight="1">
      <c r="A141" s="10" t="inlineStr">
        <is>
          <t>GYS-0137</t>
        </is>
      </c>
      <c r="B141" s="10" t="inlineStr">
        <is>
          <t>临沂鞋靴配件供应链0137有限公司（演示）</t>
        </is>
      </c>
      <c r="C141" s="10" t="inlineStr">
        <is>
          <t>鞋靴配件</t>
        </is>
      </c>
      <c r="D141" s="10" t="inlineStr">
        <is>
          <t>防磨脚贴</t>
        </is>
      </c>
      <c r="E141" s="10" t="inlineStr">
        <is>
          <t>山东临沂</t>
        </is>
      </c>
      <c r="F141" s="10" t="inlineStr">
        <is>
          <t>义乌购</t>
        </is>
      </c>
      <c r="G141" s="10" t="inlineStr">
        <is>
          <t>赵经理</t>
        </is>
      </c>
      <c r="H141" s="10" t="inlineStr">
        <is>
          <t>000-0000-0137</t>
        </is>
      </c>
      <c r="I141" s="10" t="inlineStr">
        <is>
          <t>DEMO_GYS_0137</t>
        </is>
      </c>
      <c r="J141" s="11" t="n">
        <v>5.7</v>
      </c>
      <c r="K141" s="11" t="n">
        <v>16.4</v>
      </c>
      <c r="L141" s="12" t="n">
        <v>50</v>
      </c>
      <c r="M141" s="10" t="inlineStr">
        <is>
          <t>是</t>
        </is>
      </c>
      <c r="N141" s="10" t="inlineStr">
        <is>
          <t>是</t>
        </is>
      </c>
      <c r="O141" s="10" t="inlineStr">
        <is>
          <t>supplier0137@example.com</t>
        </is>
      </c>
      <c r="P141" s="10" t="inlineStr">
        <is>
          <t>https://example.com/supplier/0137</t>
        </is>
      </c>
      <c r="Q141" s="10">
        <f>IF(R141&gt;=85,"A",IF(R141&gt;=70,"B","C"))</f>
        <v/>
      </c>
      <c r="R141" s="13">
        <f>MIN(100,50+IF(M141="是",10,0)+IF(N141="是",10,0)+IF(L141&lt;=100,10,IF(L141&lt;=300,5,0))+IF(J141&lt;=20,10,IF(J141&lt;=50,5,0))+IF(K141-J141&lt;=20,5,0)+IF(F141="企业官网",5,0))</f>
        <v/>
      </c>
      <c r="S141" s="10">
        <f>IF(Q141="A","价格与起订量有优势，建议优先询盘",IF(Q141="B","条件较均衡，可作为备选","起订量或价格需要进一步确认"))</f>
        <v/>
      </c>
      <c r="T141" s="10" t="inlineStr">
        <is>
          <t>未联系</t>
        </is>
      </c>
      <c r="U141" s="10" t="inlineStr">
        <is>
          <t>虚构演示数据</t>
        </is>
      </c>
    </row>
    <row r="142" ht="21" customHeight="1">
      <c r="A142" s="10" t="inlineStr">
        <is>
          <t>GYS-0138</t>
        </is>
      </c>
      <c r="B142" s="10" t="inlineStr">
        <is>
          <t>南昌食品包装供应链0138有限公司（演示）</t>
        </is>
      </c>
      <c r="C142" s="10" t="inlineStr">
        <is>
          <t>食品包装</t>
        </is>
      </c>
      <c r="D142" s="10" t="inlineStr">
        <is>
          <t>密封包装袋</t>
        </is>
      </c>
      <c r="E142" s="10" t="inlineStr">
        <is>
          <t>江西南昌</t>
        </is>
      </c>
      <c r="F142" s="10" t="inlineStr">
        <is>
          <t>慧聪网</t>
        </is>
      </c>
      <c r="G142" s="10" t="inlineStr">
        <is>
          <t>周经理</t>
        </is>
      </c>
      <c r="H142" s="10" t="inlineStr">
        <is>
          <t>000-0000-0138</t>
        </is>
      </c>
      <c r="I142" s="10" t="inlineStr">
        <is>
          <t>DEMO_GYS_0138</t>
        </is>
      </c>
      <c r="J142" s="11" t="n">
        <v>7.4</v>
      </c>
      <c r="K142" s="11" t="n">
        <v>19.2</v>
      </c>
      <c r="L142" s="12" t="n">
        <v>20</v>
      </c>
      <c r="M142" s="10" t="inlineStr">
        <is>
          <t>是</t>
        </is>
      </c>
      <c r="N142" s="10" t="inlineStr">
        <is>
          <t>否</t>
        </is>
      </c>
      <c r="O142" s="10" t="inlineStr">
        <is>
          <t>supplier0138@example.com</t>
        </is>
      </c>
      <c r="P142" s="10" t="inlineStr">
        <is>
          <t>https://example.com/supplier/0138</t>
        </is>
      </c>
      <c r="Q142" s="10">
        <f>IF(R142&gt;=85,"A",IF(R142&gt;=70,"B","C"))</f>
        <v/>
      </c>
      <c r="R142" s="13">
        <f>MIN(100,50+IF(M142="是",10,0)+IF(N142="是",10,0)+IF(L142&lt;=100,10,IF(L142&lt;=300,5,0))+IF(J142&lt;=20,10,IF(J142&lt;=50,5,0))+IF(K142-J142&lt;=20,5,0)+IF(F142="企业官网",5,0))</f>
        <v/>
      </c>
      <c r="S142" s="10">
        <f>IF(Q142="A","价格与起订量有优势，建议优先询盘",IF(Q142="B","条件较均衡，可作为备选","起订量或价格需要进一步确认"))</f>
        <v/>
      </c>
      <c r="T142" s="10" t="inlineStr">
        <is>
          <t>未联系</t>
        </is>
      </c>
      <c r="U142" s="10" t="inlineStr">
        <is>
          <t>虚构演示数据</t>
        </is>
      </c>
    </row>
    <row r="143" ht="21" customHeight="1">
      <c r="A143" s="10" t="inlineStr">
        <is>
          <t>GYS-0139</t>
        </is>
      </c>
      <c r="B143" s="10" t="inlineStr">
        <is>
          <t>温州户外照明供应链0139有限公司（演示）</t>
        </is>
      </c>
      <c r="C143" s="10" t="inlineStr">
        <is>
          <t>户外照明</t>
        </is>
      </c>
      <c r="D143" s="10" t="inlineStr">
        <is>
          <t>便携露营灯</t>
        </is>
      </c>
      <c r="E143" s="10" t="inlineStr">
        <is>
          <t>浙江温州</t>
        </is>
      </c>
      <c r="F143" s="10" t="inlineStr">
        <is>
          <t>1688</t>
        </is>
      </c>
      <c r="G143" s="10" t="inlineStr">
        <is>
          <t>吴经理</t>
        </is>
      </c>
      <c r="H143" s="10" t="inlineStr">
        <is>
          <t>000-0000-0139</t>
        </is>
      </c>
      <c r="I143" s="10" t="inlineStr">
        <is>
          <t>DEMO_GYS_0139</t>
        </is>
      </c>
      <c r="J143" s="11" t="n">
        <v>9.1</v>
      </c>
      <c r="K143" s="11" t="n">
        <v>22</v>
      </c>
      <c r="L143" s="12" t="n">
        <v>500</v>
      </c>
      <c r="M143" s="10" t="inlineStr">
        <is>
          <t>是</t>
        </is>
      </c>
      <c r="N143" s="10" t="inlineStr">
        <is>
          <t>是</t>
        </is>
      </c>
      <c r="O143" s="10" t="inlineStr">
        <is>
          <t>supplier0139@example.com</t>
        </is>
      </c>
      <c r="P143" s="10" t="inlineStr">
        <is>
          <t>https://example.com/supplier/0139</t>
        </is>
      </c>
      <c r="Q143" s="10">
        <f>IF(R143&gt;=85,"A",IF(R143&gt;=70,"B","C"))</f>
        <v/>
      </c>
      <c r="R143" s="13">
        <f>MIN(100,50+IF(M143="是",10,0)+IF(N143="是",10,0)+IF(L143&lt;=100,10,IF(L143&lt;=300,5,0))+IF(J143&lt;=20,10,IF(J143&lt;=50,5,0))+IF(K143-J143&lt;=20,5,0)+IF(F143="企业官网",5,0))</f>
        <v/>
      </c>
      <c r="S143" s="10">
        <f>IF(Q143="A","价格与起订量有优势，建议优先询盘",IF(Q143="B","条件较均衡，可作为备选","起订量或价格需要进一步确认"))</f>
        <v/>
      </c>
      <c r="T143" s="10" t="inlineStr">
        <is>
          <t>未联系</t>
        </is>
      </c>
      <c r="U143" s="10" t="inlineStr">
        <is>
          <t>虚构演示数据</t>
        </is>
      </c>
    </row>
    <row r="144" ht="21" customHeight="1">
      <c r="A144" s="10" t="inlineStr">
        <is>
          <t>GYS-0140</t>
        </is>
      </c>
      <c r="B144" s="10" t="inlineStr">
        <is>
          <t>广州健康用品供应链0140有限公司（演示）</t>
        </is>
      </c>
      <c r="C144" s="10" t="inlineStr">
        <is>
          <t>健康用品</t>
        </is>
      </c>
      <c r="D144" s="10" t="inlineStr">
        <is>
          <t>热敷眼罩</t>
        </is>
      </c>
      <c r="E144" s="10" t="inlineStr">
        <is>
          <t>广东广州</t>
        </is>
      </c>
      <c r="F144" s="10" t="inlineStr">
        <is>
          <t>中国制造网</t>
        </is>
      </c>
      <c r="G144" s="10" t="inlineStr">
        <is>
          <t>陈经理</t>
        </is>
      </c>
      <c r="H144" s="10" t="inlineStr">
        <is>
          <t>000-0000-0140</t>
        </is>
      </c>
      <c r="I144" s="10" t="inlineStr">
        <is>
          <t>DEMO_GYS_0140</t>
        </is>
      </c>
      <c r="J144" s="11" t="n">
        <v>10.8</v>
      </c>
      <c r="K144" s="11" t="n">
        <v>24.8</v>
      </c>
      <c r="L144" s="12" t="n">
        <v>300</v>
      </c>
      <c r="M144" s="10" t="inlineStr">
        <is>
          <t>否</t>
        </is>
      </c>
      <c r="N144" s="10" t="inlineStr">
        <is>
          <t>是</t>
        </is>
      </c>
      <c r="O144" s="10" t="inlineStr">
        <is>
          <t>supplier0140@example.com</t>
        </is>
      </c>
      <c r="P144" s="10" t="inlineStr">
        <is>
          <t>https://example.com/supplier/0140</t>
        </is>
      </c>
      <c r="Q144" s="10">
        <f>IF(R144&gt;=85,"A",IF(R144&gt;=70,"B","C"))</f>
        <v/>
      </c>
      <c r="R144" s="13">
        <f>MIN(100,50+IF(M144="是",10,0)+IF(N144="是",10,0)+IF(L144&lt;=100,10,IF(L144&lt;=300,5,0))+IF(J144&lt;=20,10,IF(J144&lt;=50,5,0))+IF(K144-J144&lt;=20,5,0)+IF(F144="企业官网",5,0))</f>
        <v/>
      </c>
      <c r="S144" s="10">
        <f>IF(Q144="A","价格与起订量有优势，建议优先询盘",IF(Q144="B","条件较均衡，可作为备选","起订量或价格需要进一步确认"))</f>
        <v/>
      </c>
      <c r="T144" s="10" t="inlineStr">
        <is>
          <t>未联系</t>
        </is>
      </c>
      <c r="U144" s="10" t="inlineStr">
        <is>
          <t>虚构演示数据</t>
        </is>
      </c>
    </row>
    <row r="145" ht="21" customHeight="1">
      <c r="A145" s="10" t="inlineStr">
        <is>
          <t>GYS-0141</t>
        </is>
      </c>
      <c r="B145" s="10" t="inlineStr">
        <is>
          <t>泉州服饰内衣供应链0141有限公司（演示）</t>
        </is>
      </c>
      <c r="C145" s="10" t="inlineStr">
        <is>
          <t>服饰内衣</t>
        </is>
      </c>
      <c r="D145" s="10" t="inlineStr">
        <is>
          <t>防滑袜</t>
        </is>
      </c>
      <c r="E145" s="10" t="inlineStr">
        <is>
          <t>福建泉州</t>
        </is>
      </c>
      <c r="F145" s="10" t="inlineStr">
        <is>
          <t>企业官网</t>
        </is>
      </c>
      <c r="G145" s="10" t="inlineStr">
        <is>
          <t>林经理</t>
        </is>
      </c>
      <c r="H145" s="10" t="inlineStr">
        <is>
          <t>000-0000-0141</t>
        </is>
      </c>
      <c r="I145" s="10" t="inlineStr">
        <is>
          <t>DEMO_GYS_0141</t>
        </is>
      </c>
      <c r="J145" s="11" t="n">
        <v>12.5</v>
      </c>
      <c r="K145" s="11" t="n">
        <v>27.6</v>
      </c>
      <c r="L145" s="12" t="n">
        <v>200</v>
      </c>
      <c r="M145" s="10" t="inlineStr">
        <is>
          <t>是</t>
        </is>
      </c>
      <c r="N145" s="10" t="inlineStr">
        <is>
          <t>否</t>
        </is>
      </c>
      <c r="O145" s="10" t="inlineStr">
        <is>
          <t>supplier0141@example.com</t>
        </is>
      </c>
      <c r="P145" s="10" t="inlineStr">
        <is>
          <t>https://example.com/supplier/0141</t>
        </is>
      </c>
      <c r="Q145" s="10">
        <f>IF(R145&gt;=85,"A",IF(R145&gt;=70,"B","C"))</f>
        <v/>
      </c>
      <c r="R145" s="13">
        <f>MIN(100,50+IF(M145="是",10,0)+IF(N145="是",10,0)+IF(L145&lt;=100,10,IF(L145&lt;=300,5,0))+IF(J145&lt;=20,10,IF(J145&lt;=50,5,0))+IF(K145-J145&lt;=20,5,0)+IF(F145="企业官网",5,0))</f>
        <v/>
      </c>
      <c r="S145" s="10">
        <f>IF(Q145="A","价格与起订量有优势，建议优先询盘",IF(Q145="B","条件较均衡，可作为备选","起订量或价格需要进一步确认"))</f>
        <v/>
      </c>
      <c r="T145" s="10" t="inlineStr">
        <is>
          <t>未联系</t>
        </is>
      </c>
      <c r="U145" s="10" t="inlineStr">
        <is>
          <t>虚构演示数据</t>
        </is>
      </c>
    </row>
    <row r="146" ht="21" customHeight="1">
      <c r="A146" s="10" t="inlineStr">
        <is>
          <t>GYS-0142</t>
        </is>
      </c>
      <c r="B146" s="10" t="inlineStr">
        <is>
          <t>南通家居日用供应链0142有限公司（演示）</t>
        </is>
      </c>
      <c r="C146" s="10" t="inlineStr">
        <is>
          <t>家居日用</t>
        </is>
      </c>
      <c r="D146" s="10" t="inlineStr">
        <is>
          <t>折叠收纳箱</t>
        </is>
      </c>
      <c r="E146" s="10" t="inlineStr">
        <is>
          <t>江苏南通</t>
        </is>
      </c>
      <c r="F146" s="10" t="inlineStr">
        <is>
          <t>义乌购</t>
        </is>
      </c>
      <c r="G146" s="10" t="inlineStr">
        <is>
          <t>王经理</t>
        </is>
      </c>
      <c r="H146" s="10" t="inlineStr">
        <is>
          <t>000-0000-0142</t>
        </is>
      </c>
      <c r="I146" s="10" t="inlineStr">
        <is>
          <t>DEMO_GYS_0142</t>
        </is>
      </c>
      <c r="J146" s="11" t="n">
        <v>14.2</v>
      </c>
      <c r="K146" s="11" t="n">
        <v>30.4</v>
      </c>
      <c r="L146" s="12" t="n">
        <v>100</v>
      </c>
      <c r="M146" s="10" t="inlineStr">
        <is>
          <t>是</t>
        </is>
      </c>
      <c r="N146" s="10" t="inlineStr">
        <is>
          <t>是</t>
        </is>
      </c>
      <c r="O146" s="10" t="inlineStr">
        <is>
          <t>supplier0142@example.com</t>
        </is>
      </c>
      <c r="P146" s="10" t="inlineStr">
        <is>
          <t>https://example.com/supplier/0142</t>
        </is>
      </c>
      <c r="Q146" s="10">
        <f>IF(R146&gt;=85,"A",IF(R146&gt;=70,"B","C"))</f>
        <v/>
      </c>
      <c r="R146" s="13">
        <f>MIN(100,50+IF(M146="是",10,0)+IF(N146="是",10,0)+IF(L146&lt;=100,10,IF(L146&lt;=300,5,0))+IF(J146&lt;=20,10,IF(J146&lt;=50,5,0))+IF(K146-J146&lt;=20,5,0)+IF(F146="企业官网",5,0))</f>
        <v/>
      </c>
      <c r="S146" s="10">
        <f>IF(Q146="A","价格与起订量有优势，建议优先询盘",IF(Q146="B","条件较均衡，可作为备选","起订量或价格需要进一步确认"))</f>
        <v/>
      </c>
      <c r="T146" s="10" t="inlineStr">
        <is>
          <t>未联系</t>
        </is>
      </c>
      <c r="U146" s="10" t="inlineStr">
        <is>
          <t>虚构演示数据</t>
        </is>
      </c>
    </row>
    <row r="147" ht="21" customHeight="1">
      <c r="A147" s="10" t="inlineStr">
        <is>
          <t>GYS-0143</t>
        </is>
      </c>
      <c r="B147" s="10" t="inlineStr">
        <is>
          <t>郑州个护清洁供应链0143有限公司（演示）</t>
        </is>
      </c>
      <c r="C147" s="10" t="inlineStr">
        <is>
          <t>个护清洁</t>
        </is>
      </c>
      <c r="D147" s="10" t="inlineStr">
        <is>
          <t>便携洗脸巾</t>
        </is>
      </c>
      <c r="E147" s="10" t="inlineStr">
        <is>
          <t>河南郑州</t>
        </is>
      </c>
      <c r="F147" s="10" t="inlineStr">
        <is>
          <t>慧聪网</t>
        </is>
      </c>
      <c r="G147" s="10" t="inlineStr">
        <is>
          <t>李经理</t>
        </is>
      </c>
      <c r="H147" s="10" t="inlineStr">
        <is>
          <t>000-0000-0143</t>
        </is>
      </c>
      <c r="I147" s="10" t="inlineStr">
        <is>
          <t>DEMO_GYS_0143</t>
        </is>
      </c>
      <c r="J147" s="11" t="n">
        <v>15.9</v>
      </c>
      <c r="K147" s="11" t="n">
        <v>33.2</v>
      </c>
      <c r="L147" s="12" t="n">
        <v>50</v>
      </c>
      <c r="M147" s="10" t="inlineStr">
        <is>
          <t>是</t>
        </is>
      </c>
      <c r="N147" s="10" t="inlineStr">
        <is>
          <t>是</t>
        </is>
      </c>
      <c r="O147" s="10" t="inlineStr">
        <is>
          <t>supplier0143@example.com</t>
        </is>
      </c>
      <c r="P147" s="10" t="inlineStr">
        <is>
          <t>https://example.com/supplier/0143</t>
        </is>
      </c>
      <c r="Q147" s="10">
        <f>IF(R147&gt;=85,"A",IF(R147&gt;=70,"B","C"))</f>
        <v/>
      </c>
      <c r="R147" s="13">
        <f>MIN(100,50+IF(M147="是",10,0)+IF(N147="是",10,0)+IF(L147&lt;=100,10,IF(L147&lt;=300,5,0))+IF(J147&lt;=20,10,IF(J147&lt;=50,5,0))+IF(K147-J147&lt;=20,5,0)+IF(F147="企业官网",5,0))</f>
        <v/>
      </c>
      <c r="S147" s="10">
        <f>IF(Q147="A","价格与起订量有优势，建议优先询盘",IF(Q147="B","条件较均衡，可作为备选","起订量或价格需要进一步确认"))</f>
        <v/>
      </c>
      <c r="T147" s="10" t="inlineStr">
        <is>
          <t>未联系</t>
        </is>
      </c>
      <c r="U147" s="10" t="inlineStr">
        <is>
          <t>虚构演示数据</t>
        </is>
      </c>
    </row>
    <row r="148" ht="21" customHeight="1">
      <c r="A148" s="10" t="inlineStr">
        <is>
          <t>GYS-0144</t>
        </is>
      </c>
      <c r="B148" s="10" t="inlineStr">
        <is>
          <t>宁波厨房用品供应链0144有限公司（演示）</t>
        </is>
      </c>
      <c r="C148" s="10" t="inlineStr">
        <is>
          <t>厨房用品</t>
        </is>
      </c>
      <c r="D148" s="10" t="inlineStr">
        <is>
          <t>硅胶保鲜盒</t>
        </is>
      </c>
      <c r="E148" s="10" t="inlineStr">
        <is>
          <t>浙江宁波</t>
        </is>
      </c>
      <c r="F148" s="10" t="inlineStr">
        <is>
          <t>1688</t>
        </is>
      </c>
      <c r="G148" s="10" t="inlineStr">
        <is>
          <t>张经理</t>
        </is>
      </c>
      <c r="H148" s="10" t="inlineStr">
        <is>
          <t>000-0000-0144</t>
        </is>
      </c>
      <c r="I148" s="10" t="inlineStr">
        <is>
          <t>DEMO_GYS_0144</t>
        </is>
      </c>
      <c r="J148" s="11" t="n">
        <v>17.6</v>
      </c>
      <c r="K148" s="11" t="n">
        <v>36</v>
      </c>
      <c r="L148" s="12" t="n">
        <v>20</v>
      </c>
      <c r="M148" s="10" t="inlineStr">
        <is>
          <t>否</t>
        </is>
      </c>
      <c r="N148" s="10" t="inlineStr">
        <is>
          <t>否</t>
        </is>
      </c>
      <c r="O148" s="10" t="inlineStr">
        <is>
          <t>supplier0144@example.com</t>
        </is>
      </c>
      <c r="P148" s="10" t="inlineStr">
        <is>
          <t>https://example.com/supplier/0144</t>
        </is>
      </c>
      <c r="Q148" s="10">
        <f>IF(R148&gt;=85,"A",IF(R148&gt;=70,"B","C"))</f>
        <v/>
      </c>
      <c r="R148" s="13">
        <f>MIN(100,50+IF(M148="是",10,0)+IF(N148="是",10,0)+IF(L148&lt;=100,10,IF(L148&lt;=300,5,0))+IF(J148&lt;=20,10,IF(J148&lt;=50,5,0))+IF(K148-J148&lt;=20,5,0)+IF(F148="企业官网",5,0))</f>
        <v/>
      </c>
      <c r="S148" s="10">
        <f>IF(Q148="A","价格与起订量有优势，建议优先询盘",IF(Q148="B","条件较均衡，可作为备选","起订量或价格需要进一步确认"))</f>
        <v/>
      </c>
      <c r="T148" s="10" t="inlineStr">
        <is>
          <t>未联系</t>
        </is>
      </c>
      <c r="U148" s="10" t="inlineStr">
        <is>
          <t>虚构演示数据</t>
        </is>
      </c>
    </row>
    <row r="149" ht="21" customHeight="1">
      <c r="A149" s="10" t="inlineStr">
        <is>
          <t>GYS-0145</t>
        </is>
      </c>
      <c r="B149" s="10" t="inlineStr">
        <is>
          <t>深圳数码配件供应链0145有限公司（演示）</t>
        </is>
      </c>
      <c r="C149" s="10" t="inlineStr">
        <is>
          <t>数码配件</t>
        </is>
      </c>
      <c r="D149" s="10" t="inlineStr">
        <is>
          <t>磁吸手机支架</t>
        </is>
      </c>
      <c r="E149" s="10" t="inlineStr">
        <is>
          <t>广东深圳</t>
        </is>
      </c>
      <c r="F149" s="10" t="inlineStr">
        <is>
          <t>中国制造网</t>
        </is>
      </c>
      <c r="G149" s="10" t="inlineStr">
        <is>
          <t>刘经理</t>
        </is>
      </c>
      <c r="H149" s="10" t="inlineStr">
        <is>
          <t>000-0000-0145</t>
        </is>
      </c>
      <c r="I149" s="10" t="inlineStr">
        <is>
          <t>DEMO_GYS_0145</t>
        </is>
      </c>
      <c r="J149" s="11" t="n">
        <v>19.3</v>
      </c>
      <c r="K149" s="11" t="n">
        <v>38.8</v>
      </c>
      <c r="L149" s="12" t="n">
        <v>500</v>
      </c>
      <c r="M149" s="10" t="inlineStr">
        <is>
          <t>是</t>
        </is>
      </c>
      <c r="N149" s="10" t="inlineStr">
        <is>
          <t>是</t>
        </is>
      </c>
      <c r="O149" s="10" t="inlineStr">
        <is>
          <t>supplier0145@example.com</t>
        </is>
      </c>
      <c r="P149" s="10" t="inlineStr">
        <is>
          <t>https://example.com/supplier/0145</t>
        </is>
      </c>
      <c r="Q149" s="10">
        <f>IF(R149&gt;=85,"A",IF(R149&gt;=70,"B","C"))</f>
        <v/>
      </c>
      <c r="R149" s="13">
        <f>MIN(100,50+IF(M149="是",10,0)+IF(N149="是",10,0)+IF(L149&lt;=100,10,IF(L149&lt;=300,5,0))+IF(J149&lt;=20,10,IF(J149&lt;=50,5,0))+IF(K149-J149&lt;=20,5,0)+IF(F149="企业官网",5,0))</f>
        <v/>
      </c>
      <c r="S149" s="10">
        <f>IF(Q149="A","价格与起订量有优势，建议优先询盘",IF(Q149="B","条件较均衡，可作为备选","起订量或价格需要进一步确认"))</f>
        <v/>
      </c>
      <c r="T149" s="10" t="inlineStr">
        <is>
          <t>未联系</t>
        </is>
      </c>
      <c r="U149" s="10" t="inlineStr">
        <is>
          <t>虚构演示数据</t>
        </is>
      </c>
    </row>
    <row r="150" ht="21" customHeight="1">
      <c r="A150" s="10" t="inlineStr">
        <is>
          <t>GYS-0146</t>
        </is>
      </c>
      <c r="B150" s="10" t="inlineStr">
        <is>
          <t>佛山宠物用品供应链0146有限公司（演示）</t>
        </is>
      </c>
      <c r="C150" s="10" t="inlineStr">
        <is>
          <t>宠物用品</t>
        </is>
      </c>
      <c r="D150" s="10" t="inlineStr">
        <is>
          <t>宠物清洁手套</t>
        </is>
      </c>
      <c r="E150" s="10" t="inlineStr">
        <is>
          <t>广东佛山</t>
        </is>
      </c>
      <c r="F150" s="10" t="inlineStr">
        <is>
          <t>企业官网</t>
        </is>
      </c>
      <c r="G150" s="10" t="inlineStr">
        <is>
          <t>黄经理</t>
        </is>
      </c>
      <c r="H150" s="10" t="inlineStr">
        <is>
          <t>000-0000-0146</t>
        </is>
      </c>
      <c r="I150" s="10" t="inlineStr">
        <is>
          <t>DEMO_GYS_0146</t>
        </is>
      </c>
      <c r="J150" s="11" t="n">
        <v>21</v>
      </c>
      <c r="K150" s="11" t="n">
        <v>41.6</v>
      </c>
      <c r="L150" s="12" t="n">
        <v>300</v>
      </c>
      <c r="M150" s="10" t="inlineStr">
        <is>
          <t>是</t>
        </is>
      </c>
      <c r="N150" s="10" t="inlineStr">
        <is>
          <t>是</t>
        </is>
      </c>
      <c r="O150" s="10" t="inlineStr">
        <is>
          <t>supplier0146@example.com</t>
        </is>
      </c>
      <c r="P150" s="10" t="inlineStr">
        <is>
          <t>https://example.com/supplier/0146</t>
        </is>
      </c>
      <c r="Q150" s="10">
        <f>IF(R150&gt;=85,"A",IF(R150&gt;=70,"B","C"))</f>
        <v/>
      </c>
      <c r="R150" s="13">
        <f>MIN(100,50+IF(M150="是",10,0)+IF(N150="是",10,0)+IF(L150&lt;=100,10,IF(L150&lt;=300,5,0))+IF(J150&lt;=20,10,IF(J150&lt;=50,5,0))+IF(K150-J150&lt;=20,5,0)+IF(F150="企业官网",5,0))</f>
        <v/>
      </c>
      <c r="S150" s="10">
        <f>IF(Q150="A","价格与起订量有优势，建议优先询盘",IF(Q150="B","条件较均衡，可作为备选","起订量或价格需要进一步确认"))</f>
        <v/>
      </c>
      <c r="T150" s="10" t="inlineStr">
        <is>
          <t>未联系</t>
        </is>
      </c>
      <c r="U150" s="10" t="inlineStr">
        <is>
          <t>虚构演示数据</t>
        </is>
      </c>
    </row>
    <row r="151" ht="21" customHeight="1">
      <c r="A151" s="10" t="inlineStr">
        <is>
          <t>GYS-0147</t>
        </is>
      </c>
      <c r="B151" s="10" t="inlineStr">
        <is>
          <t>苏州母婴用品供应链0147有限公司（演示）</t>
        </is>
      </c>
      <c r="C151" s="10" t="inlineStr">
        <is>
          <t>母婴用品</t>
        </is>
      </c>
      <c r="D151" s="10" t="inlineStr">
        <is>
          <t>婴儿防撞条</t>
        </is>
      </c>
      <c r="E151" s="10" t="inlineStr">
        <is>
          <t>江苏苏州</t>
        </is>
      </c>
      <c r="F151" s="10" t="inlineStr">
        <is>
          <t>义乌购</t>
        </is>
      </c>
      <c r="G151" s="10" t="inlineStr">
        <is>
          <t>赵经理</t>
        </is>
      </c>
      <c r="H151" s="10" t="inlineStr">
        <is>
          <t>000-0000-0147</t>
        </is>
      </c>
      <c r="I151" s="10" t="inlineStr">
        <is>
          <t>DEMO_GYS_0147</t>
        </is>
      </c>
      <c r="J151" s="11" t="n">
        <v>22.7</v>
      </c>
      <c r="K151" s="11" t="n">
        <v>44.4</v>
      </c>
      <c r="L151" s="12" t="n">
        <v>200</v>
      </c>
      <c r="M151" s="10" t="inlineStr">
        <is>
          <t>是</t>
        </is>
      </c>
      <c r="N151" s="10" t="inlineStr">
        <is>
          <t>否</t>
        </is>
      </c>
      <c r="O151" s="10" t="inlineStr">
        <is>
          <t>supplier0147@example.com</t>
        </is>
      </c>
      <c r="P151" s="10" t="inlineStr">
        <is>
          <t>https://example.com/supplier/0147</t>
        </is>
      </c>
      <c r="Q151" s="10">
        <f>IF(R151&gt;=85,"A",IF(R151&gt;=70,"B","C"))</f>
        <v/>
      </c>
      <c r="R151" s="13">
        <f>MIN(100,50+IF(M151="是",10,0)+IF(N151="是",10,0)+IF(L151&lt;=100,10,IF(L151&lt;=300,5,0))+IF(J151&lt;=20,10,IF(J151&lt;=50,5,0))+IF(K151-J151&lt;=20,5,0)+IF(F151="企业官网",5,0))</f>
        <v/>
      </c>
      <c r="S151" s="10">
        <f>IF(Q151="A","价格与起订量有优势，建议优先询盘",IF(Q151="B","条件较均衡，可作为备选","起订量或价格需要进一步确认"))</f>
        <v/>
      </c>
      <c r="T151" s="10" t="inlineStr">
        <is>
          <t>未联系</t>
        </is>
      </c>
      <c r="U151" s="10" t="inlineStr">
        <is>
          <t>虚构演示数据</t>
        </is>
      </c>
    </row>
    <row r="152" ht="21" customHeight="1">
      <c r="A152" s="10" t="inlineStr">
        <is>
          <t>GYS-0148</t>
        </is>
      </c>
      <c r="B152" s="10" t="inlineStr">
        <is>
          <t>白沟运动户外供应链0148有限公司（演示）</t>
        </is>
      </c>
      <c r="C152" s="10" t="inlineStr">
        <is>
          <t>运动户外</t>
        </is>
      </c>
      <c r="D152" s="10" t="inlineStr">
        <is>
          <t>弹力训练带</t>
        </is>
      </c>
      <c r="E152" s="10" t="inlineStr">
        <is>
          <t>河北白沟</t>
        </is>
      </c>
      <c r="F152" s="10" t="inlineStr">
        <is>
          <t>慧聪网</t>
        </is>
      </c>
      <c r="G152" s="10" t="inlineStr">
        <is>
          <t>周经理</t>
        </is>
      </c>
      <c r="H152" s="10" t="inlineStr">
        <is>
          <t>000-0000-0148</t>
        </is>
      </c>
      <c r="I152" s="10" t="inlineStr">
        <is>
          <t>DEMO_GYS_0148</t>
        </is>
      </c>
      <c r="J152" s="11" t="n">
        <v>24.4</v>
      </c>
      <c r="K152" s="11" t="n">
        <v>29.2</v>
      </c>
      <c r="L152" s="12" t="n">
        <v>100</v>
      </c>
      <c r="M152" s="10" t="inlineStr">
        <is>
          <t>否</t>
        </is>
      </c>
      <c r="N152" s="10" t="inlineStr">
        <is>
          <t>是</t>
        </is>
      </c>
      <c r="O152" s="10" t="inlineStr">
        <is>
          <t>supplier0148@example.com</t>
        </is>
      </c>
      <c r="P152" s="10" t="inlineStr">
        <is>
          <t>https://example.com/supplier/0148</t>
        </is>
      </c>
      <c r="Q152" s="10">
        <f>IF(R152&gt;=85,"A",IF(R152&gt;=70,"B","C"))</f>
        <v/>
      </c>
      <c r="R152" s="13">
        <f>MIN(100,50+IF(M152="是",10,0)+IF(N152="是",10,0)+IF(L152&lt;=100,10,IF(L152&lt;=300,5,0))+IF(J152&lt;=20,10,IF(J152&lt;=50,5,0))+IF(K152-J152&lt;=20,5,0)+IF(F152="企业官网",5,0))</f>
        <v/>
      </c>
      <c r="S152" s="10">
        <f>IF(Q152="A","价格与起订量有优势，建议优先询盘",IF(Q152="B","条件较均衡，可作为备选","起订量或价格需要进一步确认"))</f>
        <v/>
      </c>
      <c r="T152" s="10" t="inlineStr">
        <is>
          <t>未联系</t>
        </is>
      </c>
      <c r="U152" s="10" t="inlineStr">
        <is>
          <t>虚构演示数据</t>
        </is>
      </c>
    </row>
    <row r="153" ht="21" customHeight="1">
      <c r="A153" s="10" t="inlineStr">
        <is>
          <t>GYS-0149</t>
        </is>
      </c>
      <c r="B153" s="10" t="inlineStr">
        <is>
          <t>义乌办公文具供应链0149有限公司（演示）</t>
        </is>
      </c>
      <c r="C153" s="10" t="inlineStr">
        <is>
          <t>办公文具</t>
        </is>
      </c>
      <c r="D153" s="10" t="inlineStr">
        <is>
          <t>桌面收纳架</t>
        </is>
      </c>
      <c r="E153" s="10" t="inlineStr">
        <is>
          <t>浙江义乌</t>
        </is>
      </c>
      <c r="F153" s="10" t="inlineStr">
        <is>
          <t>1688</t>
        </is>
      </c>
      <c r="G153" s="10" t="inlineStr">
        <is>
          <t>吴经理</t>
        </is>
      </c>
      <c r="H153" s="10" t="inlineStr">
        <is>
          <t>000-0000-0149</t>
        </is>
      </c>
      <c r="I153" s="10" t="inlineStr">
        <is>
          <t>DEMO_GYS_0149</t>
        </is>
      </c>
      <c r="J153" s="11" t="n">
        <v>26.1</v>
      </c>
      <c r="K153" s="11" t="n">
        <v>32</v>
      </c>
      <c r="L153" s="12" t="n">
        <v>50</v>
      </c>
      <c r="M153" s="10" t="inlineStr">
        <is>
          <t>是</t>
        </is>
      </c>
      <c r="N153" s="10" t="inlineStr">
        <is>
          <t>是</t>
        </is>
      </c>
      <c r="O153" s="10" t="inlineStr">
        <is>
          <t>supplier0149@example.com</t>
        </is>
      </c>
      <c r="P153" s="10" t="inlineStr">
        <is>
          <t>https://example.com/supplier/0149</t>
        </is>
      </c>
      <c r="Q153" s="10">
        <f>IF(R153&gt;=85,"A",IF(R153&gt;=70,"B","C"))</f>
        <v/>
      </c>
      <c r="R153" s="13">
        <f>MIN(100,50+IF(M153="是",10,0)+IF(N153="是",10,0)+IF(L153&lt;=100,10,IF(L153&lt;=300,5,0))+IF(J153&lt;=20,10,IF(J153&lt;=50,5,0))+IF(K153-J153&lt;=20,5,0)+IF(F153="企业官网",5,0))</f>
        <v/>
      </c>
      <c r="S153" s="10">
        <f>IF(Q153="A","价格与起订量有优势，建议优先询盘",IF(Q153="B","条件较均衡，可作为备选","起订量或价格需要进一步确认"))</f>
        <v/>
      </c>
      <c r="T153" s="10" t="inlineStr">
        <is>
          <t>未联系</t>
        </is>
      </c>
      <c r="U153" s="10" t="inlineStr">
        <is>
          <t>虚构演示数据</t>
        </is>
      </c>
    </row>
    <row r="154" ht="21" customHeight="1">
      <c r="A154" s="10" t="inlineStr">
        <is>
          <t>GYS-0150</t>
        </is>
      </c>
      <c r="B154" s="10" t="inlineStr">
        <is>
          <t>台州汽车用品供应链0150有限公司（演示）</t>
        </is>
      </c>
      <c r="C154" s="10" t="inlineStr">
        <is>
          <t>汽车用品</t>
        </is>
      </c>
      <c r="D154" s="10" t="inlineStr">
        <is>
          <t>车载香薰</t>
        </is>
      </c>
      <c r="E154" s="10" t="inlineStr">
        <is>
          <t>浙江台州</t>
        </is>
      </c>
      <c r="F154" s="10" t="inlineStr">
        <is>
          <t>中国制造网</t>
        </is>
      </c>
      <c r="G154" s="10" t="inlineStr">
        <is>
          <t>陈经理</t>
        </is>
      </c>
      <c r="H154" s="10" t="inlineStr">
        <is>
          <t>000-0000-0150</t>
        </is>
      </c>
      <c r="I154" s="10" t="inlineStr">
        <is>
          <t>DEMO_GYS_0150</t>
        </is>
      </c>
      <c r="J154" s="11" t="n">
        <v>27.8</v>
      </c>
      <c r="K154" s="11" t="n">
        <v>34.8</v>
      </c>
      <c r="L154" s="12" t="n">
        <v>20</v>
      </c>
      <c r="M154" s="10" t="inlineStr">
        <is>
          <t>是</t>
        </is>
      </c>
      <c r="N154" s="10" t="inlineStr">
        <is>
          <t>否</t>
        </is>
      </c>
      <c r="O154" s="10" t="inlineStr">
        <is>
          <t>supplier0150@example.com</t>
        </is>
      </c>
      <c r="P154" s="10" t="inlineStr">
        <is>
          <t>https://example.com/supplier/0150</t>
        </is>
      </c>
      <c r="Q154" s="10">
        <f>IF(R154&gt;=85,"A",IF(R154&gt;=70,"B","C"))</f>
        <v/>
      </c>
      <c r="R154" s="13">
        <f>MIN(100,50+IF(M154="是",10,0)+IF(N154="是",10,0)+IF(L154&lt;=100,10,IF(L154&lt;=300,5,0))+IF(J154&lt;=20,10,IF(J154&lt;=50,5,0))+IF(K154-J154&lt;=20,5,0)+IF(F154="企业官网",5,0))</f>
        <v/>
      </c>
      <c r="S154" s="10">
        <f>IF(Q154="A","价格与起订量有优势，建议优先询盘",IF(Q154="B","条件较均衡，可作为备选","起订量或价格需要进一步确认"))</f>
        <v/>
      </c>
      <c r="T154" s="10" t="inlineStr">
        <is>
          <t>未联系</t>
        </is>
      </c>
      <c r="U154" s="10" t="inlineStr">
        <is>
          <t>虚构演示数据</t>
        </is>
      </c>
    </row>
    <row r="155" ht="21" customHeight="1">
      <c r="A155" s="10" t="inlineStr">
        <is>
          <t>GYS-0151</t>
        </is>
      </c>
      <c r="B155" s="10" t="inlineStr">
        <is>
          <t>东莞美容工具供应链0151有限公司（演示）</t>
        </is>
      </c>
      <c r="C155" s="10" t="inlineStr">
        <is>
          <t>美容工具</t>
        </is>
      </c>
      <c r="D155" s="10" t="inlineStr">
        <is>
          <t>便携化妆镜</t>
        </is>
      </c>
      <c r="E155" s="10" t="inlineStr">
        <is>
          <t>广东东莞</t>
        </is>
      </c>
      <c r="F155" s="10" t="inlineStr">
        <is>
          <t>企业官网</t>
        </is>
      </c>
      <c r="G155" s="10" t="inlineStr">
        <is>
          <t>林经理</t>
        </is>
      </c>
      <c r="H155" s="10" t="inlineStr">
        <is>
          <t>000-0000-0151</t>
        </is>
      </c>
      <c r="I155" s="10" t="inlineStr">
        <is>
          <t>DEMO_GYS_0151</t>
        </is>
      </c>
      <c r="J155" s="11" t="n">
        <v>29.5</v>
      </c>
      <c r="K155" s="11" t="n">
        <v>37.6</v>
      </c>
      <c r="L155" s="12" t="n">
        <v>500</v>
      </c>
      <c r="M155" s="10" t="inlineStr">
        <is>
          <t>是</t>
        </is>
      </c>
      <c r="N155" s="10" t="inlineStr">
        <is>
          <t>是</t>
        </is>
      </c>
      <c r="O155" s="10" t="inlineStr">
        <is>
          <t>supplier0151@example.com</t>
        </is>
      </c>
      <c r="P155" s="10" t="inlineStr">
        <is>
          <t>https://example.com/supplier/0151</t>
        </is>
      </c>
      <c r="Q155" s="10">
        <f>IF(R155&gt;=85,"A",IF(R155&gt;=70,"B","C"))</f>
        <v/>
      </c>
      <c r="R155" s="13">
        <f>MIN(100,50+IF(M155="是",10,0)+IF(N155="是",10,0)+IF(L155&lt;=100,10,IF(L155&lt;=300,5,0))+IF(J155&lt;=20,10,IF(J155&lt;=50,5,0))+IF(K155-J155&lt;=20,5,0)+IF(F155="企业官网",5,0))</f>
        <v/>
      </c>
      <c r="S155" s="10">
        <f>IF(Q155="A","价格与起订量有优势，建议优先询盘",IF(Q155="B","条件较均衡，可作为备选","起订量或价格需要进一步确认"))</f>
        <v/>
      </c>
      <c r="T155" s="10" t="inlineStr">
        <is>
          <t>未联系</t>
        </is>
      </c>
      <c r="U155" s="10" t="inlineStr">
        <is>
          <t>虚构演示数据</t>
        </is>
      </c>
    </row>
    <row r="156" ht="21" customHeight="1">
      <c r="A156" s="10" t="inlineStr">
        <is>
          <t>GYS-0152</t>
        </is>
      </c>
      <c r="B156" s="10" t="inlineStr">
        <is>
          <t>厦门旅行用品供应链0152有限公司（演示）</t>
        </is>
      </c>
      <c r="C156" s="10" t="inlineStr">
        <is>
          <t>旅行用品</t>
        </is>
      </c>
      <c r="D156" s="10" t="inlineStr">
        <is>
          <t>压缩收纳袋</t>
        </is>
      </c>
      <c r="E156" s="10" t="inlineStr">
        <is>
          <t>福建厦门</t>
        </is>
      </c>
      <c r="F156" s="10" t="inlineStr">
        <is>
          <t>义乌购</t>
        </is>
      </c>
      <c r="G156" s="10" t="inlineStr">
        <is>
          <t>王经理</t>
        </is>
      </c>
      <c r="H156" s="10" t="inlineStr">
        <is>
          <t>000-0000-0152</t>
        </is>
      </c>
      <c r="I156" s="10" t="inlineStr">
        <is>
          <t>DEMO_GYS_0152</t>
        </is>
      </c>
      <c r="J156" s="11" t="n">
        <v>31.2</v>
      </c>
      <c r="K156" s="11" t="n">
        <v>40.4</v>
      </c>
      <c r="L156" s="12" t="n">
        <v>300</v>
      </c>
      <c r="M156" s="10" t="inlineStr">
        <is>
          <t>否</t>
        </is>
      </c>
      <c r="N156" s="10" t="inlineStr">
        <is>
          <t>是</t>
        </is>
      </c>
      <c r="O156" s="10" t="inlineStr">
        <is>
          <t>supplier0152@example.com</t>
        </is>
      </c>
      <c r="P156" s="10" t="inlineStr">
        <is>
          <t>https://example.com/supplier/0152</t>
        </is>
      </c>
      <c r="Q156" s="10">
        <f>IF(R156&gt;=85,"A",IF(R156&gt;=70,"B","C"))</f>
        <v/>
      </c>
      <c r="R156" s="13">
        <f>MIN(100,50+IF(M156="是",10,0)+IF(N156="是",10,0)+IF(L156&lt;=100,10,IF(L156&lt;=300,5,0))+IF(J156&lt;=20,10,IF(J156&lt;=50,5,0))+IF(K156-J156&lt;=20,5,0)+IF(F156="企业官网",5,0))</f>
        <v/>
      </c>
      <c r="S156" s="10">
        <f>IF(Q156="A","价格与起订量有优势，建议优先询盘",IF(Q156="B","条件较均衡，可作为备选","起订量或价格需要进一步确认"))</f>
        <v/>
      </c>
      <c r="T156" s="10" t="inlineStr">
        <is>
          <t>未联系</t>
        </is>
      </c>
      <c r="U156" s="10" t="inlineStr">
        <is>
          <t>虚构演示数据</t>
        </is>
      </c>
    </row>
    <row r="157" ht="21" customHeight="1">
      <c r="A157" s="10" t="inlineStr">
        <is>
          <t>GYS-0153</t>
        </is>
      </c>
      <c r="B157" s="10" t="inlineStr">
        <is>
          <t>临沂清洁工具供应链0153有限公司（演示）</t>
        </is>
      </c>
      <c r="C157" s="10" t="inlineStr">
        <is>
          <t>清洁工具</t>
        </is>
      </c>
      <c r="D157" s="10" t="inlineStr">
        <is>
          <t>免手洗拖把</t>
        </is>
      </c>
      <c r="E157" s="10" t="inlineStr">
        <is>
          <t>山东临沂</t>
        </is>
      </c>
      <c r="F157" s="10" t="inlineStr">
        <is>
          <t>慧聪网</t>
        </is>
      </c>
      <c r="G157" s="10" t="inlineStr">
        <is>
          <t>李经理</t>
        </is>
      </c>
      <c r="H157" s="10" t="inlineStr">
        <is>
          <t>000-0000-0153</t>
        </is>
      </c>
      <c r="I157" s="10" t="inlineStr">
        <is>
          <t>DEMO_GYS_0153</t>
        </is>
      </c>
      <c r="J157" s="11" t="n">
        <v>32.9</v>
      </c>
      <c r="K157" s="11" t="n">
        <v>43.2</v>
      </c>
      <c r="L157" s="12" t="n">
        <v>200</v>
      </c>
      <c r="M157" s="10" t="inlineStr">
        <is>
          <t>是</t>
        </is>
      </c>
      <c r="N157" s="10" t="inlineStr">
        <is>
          <t>否</t>
        </is>
      </c>
      <c r="O157" s="10" t="inlineStr">
        <is>
          <t>supplier0153@example.com</t>
        </is>
      </c>
      <c r="P157" s="10" t="inlineStr">
        <is>
          <t>https://example.com/supplier/0153</t>
        </is>
      </c>
      <c r="Q157" s="10">
        <f>IF(R157&gt;=85,"A",IF(R157&gt;=70,"B","C"))</f>
        <v/>
      </c>
      <c r="R157" s="13">
        <f>MIN(100,50+IF(M157="是",10,0)+IF(N157="是",10,0)+IF(L157&lt;=100,10,IF(L157&lt;=300,5,0))+IF(J157&lt;=20,10,IF(J157&lt;=50,5,0))+IF(K157-J157&lt;=20,5,0)+IF(F157="企业官网",5,0))</f>
        <v/>
      </c>
      <c r="S157" s="10">
        <f>IF(Q157="A","价格与起订量有优势，建议优先询盘",IF(Q157="B","条件较均衡，可作为备选","起订量或价格需要进一步确认"))</f>
        <v/>
      </c>
      <c r="T157" s="10" t="inlineStr">
        <is>
          <t>未联系</t>
        </is>
      </c>
      <c r="U157" s="10" t="inlineStr">
        <is>
          <t>虚构演示数据</t>
        </is>
      </c>
    </row>
    <row r="158" ht="21" customHeight="1">
      <c r="A158" s="10" t="inlineStr">
        <is>
          <t>GYS-0154</t>
        </is>
      </c>
      <c r="B158" s="10" t="inlineStr">
        <is>
          <t>南昌小家电供应链0154有限公司（演示）</t>
        </is>
      </c>
      <c r="C158" s="10" t="inlineStr">
        <is>
          <t>小家电</t>
        </is>
      </c>
      <c r="D158" s="10" t="inlineStr">
        <is>
          <t>迷你加湿器</t>
        </is>
      </c>
      <c r="E158" s="10" t="inlineStr">
        <is>
          <t>江西南昌</t>
        </is>
      </c>
      <c r="F158" s="10" t="inlineStr">
        <is>
          <t>1688</t>
        </is>
      </c>
      <c r="G158" s="10" t="inlineStr">
        <is>
          <t>张经理</t>
        </is>
      </c>
      <c r="H158" s="10" t="inlineStr">
        <is>
          <t>000-0000-0154</t>
        </is>
      </c>
      <c r="I158" s="10" t="inlineStr">
        <is>
          <t>DEMO_GYS_0154</t>
        </is>
      </c>
      <c r="J158" s="11" t="n">
        <v>34.6</v>
      </c>
      <c r="K158" s="11" t="n">
        <v>46</v>
      </c>
      <c r="L158" s="12" t="n">
        <v>100</v>
      </c>
      <c r="M158" s="10" t="inlineStr">
        <is>
          <t>是</t>
        </is>
      </c>
      <c r="N158" s="10" t="inlineStr">
        <is>
          <t>是</t>
        </is>
      </c>
      <c r="O158" s="10" t="inlineStr">
        <is>
          <t>supplier0154@example.com</t>
        </is>
      </c>
      <c r="P158" s="10" t="inlineStr">
        <is>
          <t>https://example.com/supplier/0154</t>
        </is>
      </c>
      <c r="Q158" s="10">
        <f>IF(R158&gt;=85,"A",IF(R158&gt;=70,"B","C"))</f>
        <v/>
      </c>
      <c r="R158" s="13">
        <f>MIN(100,50+IF(M158="是",10,0)+IF(N158="是",10,0)+IF(L158&lt;=100,10,IF(L158&lt;=300,5,0))+IF(J158&lt;=20,10,IF(J158&lt;=50,5,0))+IF(K158-J158&lt;=20,5,0)+IF(F158="企业官网",5,0))</f>
        <v/>
      </c>
      <c r="S158" s="10">
        <f>IF(Q158="A","价格与起订量有优势，建议优先询盘",IF(Q158="B","条件较均衡，可作为备选","起订量或价格需要进一步确认"))</f>
        <v/>
      </c>
      <c r="T158" s="10" t="inlineStr">
        <is>
          <t>未联系</t>
        </is>
      </c>
      <c r="U158" s="10" t="inlineStr">
        <is>
          <t>虚构演示数据</t>
        </is>
      </c>
    </row>
    <row r="159" ht="21" customHeight="1">
      <c r="A159" s="10" t="inlineStr">
        <is>
          <t>GYS-0155</t>
        </is>
      </c>
      <c r="B159" s="10" t="inlineStr">
        <is>
          <t>温州礼品包装供应链0155有限公司（演示）</t>
        </is>
      </c>
      <c r="C159" s="10" t="inlineStr">
        <is>
          <t>礼品包装</t>
        </is>
      </c>
      <c r="D159" s="10" t="inlineStr">
        <is>
          <t>节日礼盒</t>
        </is>
      </c>
      <c r="E159" s="10" t="inlineStr">
        <is>
          <t>浙江温州</t>
        </is>
      </c>
      <c r="F159" s="10" t="inlineStr">
        <is>
          <t>中国制造网</t>
        </is>
      </c>
      <c r="G159" s="10" t="inlineStr">
        <is>
          <t>刘经理</t>
        </is>
      </c>
      <c r="H159" s="10" t="inlineStr">
        <is>
          <t>000-0000-0155</t>
        </is>
      </c>
      <c r="I159" s="10" t="inlineStr">
        <is>
          <t>DEMO_GYS_0155</t>
        </is>
      </c>
      <c r="J159" s="11" t="n">
        <v>36.3</v>
      </c>
      <c r="K159" s="11" t="n">
        <v>48.8</v>
      </c>
      <c r="L159" s="12" t="n">
        <v>50</v>
      </c>
      <c r="M159" s="10" t="inlineStr">
        <is>
          <t>是</t>
        </is>
      </c>
      <c r="N159" s="10" t="inlineStr">
        <is>
          <t>是</t>
        </is>
      </c>
      <c r="O159" s="10" t="inlineStr">
        <is>
          <t>supplier0155@example.com</t>
        </is>
      </c>
      <c r="P159" s="10" t="inlineStr">
        <is>
          <t>https://example.com/supplier/0155</t>
        </is>
      </c>
      <c r="Q159" s="10">
        <f>IF(R159&gt;=85,"A",IF(R159&gt;=70,"B","C"))</f>
        <v/>
      </c>
      <c r="R159" s="13">
        <f>MIN(100,50+IF(M159="是",10,0)+IF(N159="是",10,0)+IF(L159&lt;=100,10,IF(L159&lt;=300,5,0))+IF(J159&lt;=20,10,IF(J159&lt;=50,5,0))+IF(K159-J159&lt;=20,5,0)+IF(F159="企业官网",5,0))</f>
        <v/>
      </c>
      <c r="S159" s="10">
        <f>IF(Q159="A","价格与起订量有优势，建议优先询盘",IF(Q159="B","条件较均衡，可作为备选","起订量或价格需要进一步确认"))</f>
        <v/>
      </c>
      <c r="T159" s="10" t="inlineStr">
        <is>
          <t>未联系</t>
        </is>
      </c>
      <c r="U159" s="10" t="inlineStr">
        <is>
          <t>虚构演示数据</t>
        </is>
      </c>
    </row>
    <row r="160" ht="21" customHeight="1">
      <c r="A160" s="10" t="inlineStr">
        <is>
          <t>GYS-0156</t>
        </is>
      </c>
      <c r="B160" s="10" t="inlineStr">
        <is>
          <t>广州五金工具供应链0156有限公司（演示）</t>
        </is>
      </c>
      <c r="C160" s="10" t="inlineStr">
        <is>
          <t>五金工具</t>
        </is>
      </c>
      <c r="D160" s="10" t="inlineStr">
        <is>
          <t>多功能螺丝刀</t>
        </is>
      </c>
      <c r="E160" s="10" t="inlineStr">
        <is>
          <t>广东广州</t>
        </is>
      </c>
      <c r="F160" s="10" t="inlineStr">
        <is>
          <t>企业官网</t>
        </is>
      </c>
      <c r="G160" s="10" t="inlineStr">
        <is>
          <t>黄经理</t>
        </is>
      </c>
      <c r="H160" s="10" t="inlineStr">
        <is>
          <t>000-0000-0156</t>
        </is>
      </c>
      <c r="I160" s="10" t="inlineStr">
        <is>
          <t>DEMO_GYS_0156</t>
        </is>
      </c>
      <c r="J160" s="11" t="n">
        <v>38</v>
      </c>
      <c r="K160" s="11" t="n">
        <v>51.6</v>
      </c>
      <c r="L160" s="12" t="n">
        <v>20</v>
      </c>
      <c r="M160" s="10" t="inlineStr">
        <is>
          <t>否</t>
        </is>
      </c>
      <c r="N160" s="10" t="inlineStr">
        <is>
          <t>否</t>
        </is>
      </c>
      <c r="O160" s="10" t="inlineStr">
        <is>
          <t>supplier0156@example.com</t>
        </is>
      </c>
      <c r="P160" s="10" t="inlineStr">
        <is>
          <t>https://example.com/supplier/0156</t>
        </is>
      </c>
      <c r="Q160" s="10">
        <f>IF(R160&gt;=85,"A",IF(R160&gt;=70,"B","C"))</f>
        <v/>
      </c>
      <c r="R160" s="13">
        <f>MIN(100,50+IF(M160="是",10,0)+IF(N160="是",10,0)+IF(L160&lt;=100,10,IF(L160&lt;=300,5,0))+IF(J160&lt;=20,10,IF(J160&lt;=50,5,0))+IF(K160-J160&lt;=20,5,0)+IF(F160="企业官网",5,0))</f>
        <v/>
      </c>
      <c r="S160" s="10">
        <f>IF(Q160="A","价格与起订量有优势，建议优先询盘",IF(Q160="B","条件较均衡，可作为备选","起订量或价格需要进一步确认"))</f>
        <v/>
      </c>
      <c r="T160" s="10" t="inlineStr">
        <is>
          <t>未联系</t>
        </is>
      </c>
      <c r="U160" s="10" t="inlineStr">
        <is>
          <t>虚构演示数据</t>
        </is>
      </c>
    </row>
    <row r="161" ht="21" customHeight="1">
      <c r="A161" s="10" t="inlineStr">
        <is>
          <t>GYS-0157</t>
        </is>
      </c>
      <c r="B161" s="10" t="inlineStr">
        <is>
          <t>泉州鞋靴配件供应链0157有限公司（演示）</t>
        </is>
      </c>
      <c r="C161" s="10" t="inlineStr">
        <is>
          <t>鞋靴配件</t>
        </is>
      </c>
      <c r="D161" s="10" t="inlineStr">
        <is>
          <t>防磨脚贴</t>
        </is>
      </c>
      <c r="E161" s="10" t="inlineStr">
        <is>
          <t>福建泉州</t>
        </is>
      </c>
      <c r="F161" s="10" t="inlineStr">
        <is>
          <t>义乌购</t>
        </is>
      </c>
      <c r="G161" s="10" t="inlineStr">
        <is>
          <t>赵经理</t>
        </is>
      </c>
      <c r="H161" s="10" t="inlineStr">
        <is>
          <t>000-0000-0157</t>
        </is>
      </c>
      <c r="I161" s="10" t="inlineStr">
        <is>
          <t>DEMO_GYS_0157</t>
        </is>
      </c>
      <c r="J161" s="11" t="n">
        <v>39.7</v>
      </c>
      <c r="K161" s="11" t="n">
        <v>54.4</v>
      </c>
      <c r="L161" s="12" t="n">
        <v>500</v>
      </c>
      <c r="M161" s="10" t="inlineStr">
        <is>
          <t>是</t>
        </is>
      </c>
      <c r="N161" s="10" t="inlineStr">
        <is>
          <t>是</t>
        </is>
      </c>
      <c r="O161" s="10" t="inlineStr">
        <is>
          <t>supplier0157@example.com</t>
        </is>
      </c>
      <c r="P161" s="10" t="inlineStr">
        <is>
          <t>https://example.com/supplier/0157</t>
        </is>
      </c>
      <c r="Q161" s="10">
        <f>IF(R161&gt;=85,"A",IF(R161&gt;=70,"B","C"))</f>
        <v/>
      </c>
      <c r="R161" s="13">
        <f>MIN(100,50+IF(M161="是",10,0)+IF(N161="是",10,0)+IF(L161&lt;=100,10,IF(L161&lt;=300,5,0))+IF(J161&lt;=20,10,IF(J161&lt;=50,5,0))+IF(K161-J161&lt;=20,5,0)+IF(F161="企业官网",5,0))</f>
        <v/>
      </c>
      <c r="S161" s="10">
        <f>IF(Q161="A","价格与起订量有优势，建议优先询盘",IF(Q161="B","条件较均衡，可作为备选","起订量或价格需要进一步确认"))</f>
        <v/>
      </c>
      <c r="T161" s="10" t="inlineStr">
        <is>
          <t>未联系</t>
        </is>
      </c>
      <c r="U161" s="10" t="inlineStr">
        <is>
          <t>虚构演示数据</t>
        </is>
      </c>
    </row>
    <row r="162" ht="21" customHeight="1">
      <c r="A162" s="10" t="inlineStr">
        <is>
          <t>GYS-0158</t>
        </is>
      </c>
      <c r="B162" s="10" t="inlineStr">
        <is>
          <t>南通食品包装供应链0158有限公司（演示）</t>
        </is>
      </c>
      <c r="C162" s="10" t="inlineStr">
        <is>
          <t>食品包装</t>
        </is>
      </c>
      <c r="D162" s="10" t="inlineStr">
        <is>
          <t>密封包装袋</t>
        </is>
      </c>
      <c r="E162" s="10" t="inlineStr">
        <is>
          <t>江苏南通</t>
        </is>
      </c>
      <c r="F162" s="10" t="inlineStr">
        <is>
          <t>慧聪网</t>
        </is>
      </c>
      <c r="G162" s="10" t="inlineStr">
        <is>
          <t>周经理</t>
        </is>
      </c>
      <c r="H162" s="10" t="inlineStr">
        <is>
          <t>000-0000-0158</t>
        </is>
      </c>
      <c r="I162" s="10" t="inlineStr">
        <is>
          <t>DEMO_GYS_0158</t>
        </is>
      </c>
      <c r="J162" s="11" t="n">
        <v>41.4</v>
      </c>
      <c r="K162" s="11" t="n">
        <v>57.2</v>
      </c>
      <c r="L162" s="12" t="n">
        <v>300</v>
      </c>
      <c r="M162" s="10" t="inlineStr">
        <is>
          <t>是</t>
        </is>
      </c>
      <c r="N162" s="10" t="inlineStr">
        <is>
          <t>是</t>
        </is>
      </c>
      <c r="O162" s="10" t="inlineStr">
        <is>
          <t>supplier0158@example.com</t>
        </is>
      </c>
      <c r="P162" s="10" t="inlineStr">
        <is>
          <t>https://example.com/supplier/0158</t>
        </is>
      </c>
      <c r="Q162" s="10">
        <f>IF(R162&gt;=85,"A",IF(R162&gt;=70,"B","C"))</f>
        <v/>
      </c>
      <c r="R162" s="13">
        <f>MIN(100,50+IF(M162="是",10,0)+IF(N162="是",10,0)+IF(L162&lt;=100,10,IF(L162&lt;=300,5,0))+IF(J162&lt;=20,10,IF(J162&lt;=50,5,0))+IF(K162-J162&lt;=20,5,0)+IF(F162="企业官网",5,0))</f>
        <v/>
      </c>
      <c r="S162" s="10">
        <f>IF(Q162="A","价格与起订量有优势，建议优先询盘",IF(Q162="B","条件较均衡，可作为备选","起订量或价格需要进一步确认"))</f>
        <v/>
      </c>
      <c r="T162" s="10" t="inlineStr">
        <is>
          <t>未联系</t>
        </is>
      </c>
      <c r="U162" s="10" t="inlineStr">
        <is>
          <t>虚构演示数据</t>
        </is>
      </c>
    </row>
    <row r="163" ht="21" customHeight="1">
      <c r="A163" s="10" t="inlineStr">
        <is>
          <t>GYS-0159</t>
        </is>
      </c>
      <c r="B163" s="10" t="inlineStr">
        <is>
          <t>郑州户外照明供应链0159有限公司（演示）</t>
        </is>
      </c>
      <c r="C163" s="10" t="inlineStr">
        <is>
          <t>户外照明</t>
        </is>
      </c>
      <c r="D163" s="10" t="inlineStr">
        <is>
          <t>便携露营灯</t>
        </is>
      </c>
      <c r="E163" s="10" t="inlineStr">
        <is>
          <t>河南郑州</t>
        </is>
      </c>
      <c r="F163" s="10" t="inlineStr">
        <is>
          <t>1688</t>
        </is>
      </c>
      <c r="G163" s="10" t="inlineStr">
        <is>
          <t>吴经理</t>
        </is>
      </c>
      <c r="H163" s="10" t="inlineStr">
        <is>
          <t>000-0000-0159</t>
        </is>
      </c>
      <c r="I163" s="10" t="inlineStr">
        <is>
          <t>DEMO_GYS_0159</t>
        </is>
      </c>
      <c r="J163" s="11" t="n">
        <v>43.1</v>
      </c>
      <c r="K163" s="11" t="n">
        <v>60</v>
      </c>
      <c r="L163" s="12" t="n">
        <v>200</v>
      </c>
      <c r="M163" s="10" t="inlineStr">
        <is>
          <t>是</t>
        </is>
      </c>
      <c r="N163" s="10" t="inlineStr">
        <is>
          <t>否</t>
        </is>
      </c>
      <c r="O163" s="10" t="inlineStr">
        <is>
          <t>supplier0159@example.com</t>
        </is>
      </c>
      <c r="P163" s="10" t="inlineStr">
        <is>
          <t>https://example.com/supplier/0159</t>
        </is>
      </c>
      <c r="Q163" s="10">
        <f>IF(R163&gt;=85,"A",IF(R163&gt;=70,"B","C"))</f>
        <v/>
      </c>
      <c r="R163" s="13">
        <f>MIN(100,50+IF(M163="是",10,0)+IF(N163="是",10,0)+IF(L163&lt;=100,10,IF(L163&lt;=300,5,0))+IF(J163&lt;=20,10,IF(J163&lt;=50,5,0))+IF(K163-J163&lt;=20,5,0)+IF(F163="企业官网",5,0))</f>
        <v/>
      </c>
      <c r="S163" s="10">
        <f>IF(Q163="A","价格与起订量有优势，建议优先询盘",IF(Q163="B","条件较均衡，可作为备选","起订量或价格需要进一步确认"))</f>
        <v/>
      </c>
      <c r="T163" s="10" t="inlineStr">
        <is>
          <t>未联系</t>
        </is>
      </c>
      <c r="U163" s="10" t="inlineStr">
        <is>
          <t>虚构演示数据</t>
        </is>
      </c>
    </row>
    <row r="164" ht="21" customHeight="1">
      <c r="A164" s="10" t="inlineStr">
        <is>
          <t>GYS-0160</t>
        </is>
      </c>
      <c r="B164" s="10" t="inlineStr">
        <is>
          <t>宁波健康用品供应链0160有限公司（演示）</t>
        </is>
      </c>
      <c r="C164" s="10" t="inlineStr">
        <is>
          <t>健康用品</t>
        </is>
      </c>
      <c r="D164" s="10" t="inlineStr">
        <is>
          <t>热敷眼罩</t>
        </is>
      </c>
      <c r="E164" s="10" t="inlineStr">
        <is>
          <t>浙江宁波</t>
        </is>
      </c>
      <c r="F164" s="10" t="inlineStr">
        <is>
          <t>中国制造网</t>
        </is>
      </c>
      <c r="G164" s="10" t="inlineStr">
        <is>
          <t>陈经理</t>
        </is>
      </c>
      <c r="H164" s="10" t="inlineStr">
        <is>
          <t>000-0000-0160</t>
        </is>
      </c>
      <c r="I164" s="10" t="inlineStr">
        <is>
          <t>DEMO_GYS_0160</t>
        </is>
      </c>
      <c r="J164" s="11" t="n">
        <v>44.8</v>
      </c>
      <c r="K164" s="11" t="n">
        <v>62.8</v>
      </c>
      <c r="L164" s="12" t="n">
        <v>100</v>
      </c>
      <c r="M164" s="10" t="inlineStr">
        <is>
          <t>否</t>
        </is>
      </c>
      <c r="N164" s="10" t="inlineStr">
        <is>
          <t>是</t>
        </is>
      </c>
      <c r="O164" s="10" t="inlineStr">
        <is>
          <t>supplier0160@example.com</t>
        </is>
      </c>
      <c r="P164" s="10" t="inlineStr">
        <is>
          <t>https://example.com/supplier/0160</t>
        </is>
      </c>
      <c r="Q164" s="10">
        <f>IF(R164&gt;=85,"A",IF(R164&gt;=70,"B","C"))</f>
        <v/>
      </c>
      <c r="R164" s="13">
        <f>MIN(100,50+IF(M164="是",10,0)+IF(N164="是",10,0)+IF(L164&lt;=100,10,IF(L164&lt;=300,5,0))+IF(J164&lt;=20,10,IF(J164&lt;=50,5,0))+IF(K164-J164&lt;=20,5,0)+IF(F164="企业官网",5,0))</f>
        <v/>
      </c>
      <c r="S164" s="10">
        <f>IF(Q164="A","价格与起订量有优势，建议优先询盘",IF(Q164="B","条件较均衡，可作为备选","起订量或价格需要进一步确认"))</f>
        <v/>
      </c>
      <c r="T164" s="10" t="inlineStr">
        <is>
          <t>未联系</t>
        </is>
      </c>
      <c r="U164" s="10" t="inlineStr">
        <is>
          <t>虚构演示数据</t>
        </is>
      </c>
    </row>
    <row r="165" ht="21" customHeight="1">
      <c r="A165" s="10" t="inlineStr">
        <is>
          <t>GYS-0161</t>
        </is>
      </c>
      <c r="B165" s="10" t="inlineStr">
        <is>
          <t>深圳服饰内衣供应链0161有限公司（演示）</t>
        </is>
      </c>
      <c r="C165" s="10" t="inlineStr">
        <is>
          <t>服饰内衣</t>
        </is>
      </c>
      <c r="D165" s="10" t="inlineStr">
        <is>
          <t>防滑袜</t>
        </is>
      </c>
      <c r="E165" s="10" t="inlineStr">
        <is>
          <t>广东深圳</t>
        </is>
      </c>
      <c r="F165" s="10" t="inlineStr">
        <is>
          <t>企业官网</t>
        </is>
      </c>
      <c r="G165" s="10" t="inlineStr">
        <is>
          <t>林经理</t>
        </is>
      </c>
      <c r="H165" s="10" t="inlineStr">
        <is>
          <t>000-0000-0161</t>
        </is>
      </c>
      <c r="I165" s="10" t="inlineStr">
        <is>
          <t>DEMO_GYS_0161</t>
        </is>
      </c>
      <c r="J165" s="11" t="n">
        <v>46.5</v>
      </c>
      <c r="K165" s="11" t="n">
        <v>65.59999999999999</v>
      </c>
      <c r="L165" s="12" t="n">
        <v>50</v>
      </c>
      <c r="M165" s="10" t="inlineStr">
        <is>
          <t>是</t>
        </is>
      </c>
      <c r="N165" s="10" t="inlineStr">
        <is>
          <t>是</t>
        </is>
      </c>
      <c r="O165" s="10" t="inlineStr">
        <is>
          <t>supplier0161@example.com</t>
        </is>
      </c>
      <c r="P165" s="10" t="inlineStr">
        <is>
          <t>https://example.com/supplier/0161</t>
        </is>
      </c>
      <c r="Q165" s="10">
        <f>IF(R165&gt;=85,"A",IF(R165&gt;=70,"B","C"))</f>
        <v/>
      </c>
      <c r="R165" s="13">
        <f>MIN(100,50+IF(M165="是",10,0)+IF(N165="是",10,0)+IF(L165&lt;=100,10,IF(L165&lt;=300,5,0))+IF(J165&lt;=20,10,IF(J165&lt;=50,5,0))+IF(K165-J165&lt;=20,5,0)+IF(F165="企业官网",5,0))</f>
        <v/>
      </c>
      <c r="S165" s="10">
        <f>IF(Q165="A","价格与起订量有优势，建议优先询盘",IF(Q165="B","条件较均衡，可作为备选","起订量或价格需要进一步确认"))</f>
        <v/>
      </c>
      <c r="T165" s="10" t="inlineStr">
        <is>
          <t>未联系</t>
        </is>
      </c>
      <c r="U165" s="10" t="inlineStr">
        <is>
          <t>虚构演示数据</t>
        </is>
      </c>
    </row>
    <row r="166" ht="21" customHeight="1">
      <c r="A166" s="10" t="inlineStr">
        <is>
          <t>GYS-0162</t>
        </is>
      </c>
      <c r="B166" s="10" t="inlineStr">
        <is>
          <t>佛山家居日用供应链0162有限公司（演示）</t>
        </is>
      </c>
      <c r="C166" s="10" t="inlineStr">
        <is>
          <t>家居日用</t>
        </is>
      </c>
      <c r="D166" s="10" t="inlineStr">
        <is>
          <t>折叠收纳箱</t>
        </is>
      </c>
      <c r="E166" s="10" t="inlineStr">
        <is>
          <t>广东佛山</t>
        </is>
      </c>
      <c r="F166" s="10" t="inlineStr">
        <is>
          <t>义乌购</t>
        </is>
      </c>
      <c r="G166" s="10" t="inlineStr">
        <is>
          <t>王经理</t>
        </is>
      </c>
      <c r="H166" s="10" t="inlineStr">
        <is>
          <t>000-0000-0162</t>
        </is>
      </c>
      <c r="I166" s="10" t="inlineStr">
        <is>
          <t>DEMO_GYS_0162</t>
        </is>
      </c>
      <c r="J166" s="11" t="n">
        <v>48.2</v>
      </c>
      <c r="K166" s="11" t="n">
        <v>68.40000000000001</v>
      </c>
      <c r="L166" s="12" t="n">
        <v>20</v>
      </c>
      <c r="M166" s="10" t="inlineStr">
        <is>
          <t>是</t>
        </is>
      </c>
      <c r="N166" s="10" t="inlineStr">
        <is>
          <t>否</t>
        </is>
      </c>
      <c r="O166" s="10" t="inlineStr">
        <is>
          <t>supplier0162@example.com</t>
        </is>
      </c>
      <c r="P166" s="10" t="inlineStr">
        <is>
          <t>https://example.com/supplier/0162</t>
        </is>
      </c>
      <c r="Q166" s="10">
        <f>IF(R166&gt;=85,"A",IF(R166&gt;=70,"B","C"))</f>
        <v/>
      </c>
      <c r="R166" s="13">
        <f>MIN(100,50+IF(M166="是",10,0)+IF(N166="是",10,0)+IF(L166&lt;=100,10,IF(L166&lt;=300,5,0))+IF(J166&lt;=20,10,IF(J166&lt;=50,5,0))+IF(K166-J166&lt;=20,5,0)+IF(F166="企业官网",5,0))</f>
        <v/>
      </c>
      <c r="S166" s="10">
        <f>IF(Q166="A","价格与起订量有优势，建议优先询盘",IF(Q166="B","条件较均衡，可作为备选","起订量或价格需要进一步确认"))</f>
        <v/>
      </c>
      <c r="T166" s="10" t="inlineStr">
        <is>
          <t>未联系</t>
        </is>
      </c>
      <c r="U166" s="10" t="inlineStr">
        <is>
          <t>虚构演示数据</t>
        </is>
      </c>
    </row>
    <row r="167" ht="21" customHeight="1">
      <c r="A167" s="10" t="inlineStr">
        <is>
          <t>GYS-0163</t>
        </is>
      </c>
      <c r="B167" s="10" t="inlineStr">
        <is>
          <t>苏州个护清洁供应链0163有限公司（演示）</t>
        </is>
      </c>
      <c r="C167" s="10" t="inlineStr">
        <is>
          <t>个护清洁</t>
        </is>
      </c>
      <c r="D167" s="10" t="inlineStr">
        <is>
          <t>便携洗脸巾</t>
        </is>
      </c>
      <c r="E167" s="10" t="inlineStr">
        <is>
          <t>江苏苏州</t>
        </is>
      </c>
      <c r="F167" s="10" t="inlineStr">
        <is>
          <t>慧聪网</t>
        </is>
      </c>
      <c r="G167" s="10" t="inlineStr">
        <is>
          <t>李经理</t>
        </is>
      </c>
      <c r="H167" s="10" t="inlineStr">
        <is>
          <t>000-0000-0163</t>
        </is>
      </c>
      <c r="I167" s="10" t="inlineStr">
        <is>
          <t>DEMO_GYS_0163</t>
        </is>
      </c>
      <c r="J167" s="11" t="n">
        <v>3.9</v>
      </c>
      <c r="K167" s="11" t="n">
        <v>25.2</v>
      </c>
      <c r="L167" s="12" t="n">
        <v>500</v>
      </c>
      <c r="M167" s="10" t="inlineStr">
        <is>
          <t>是</t>
        </is>
      </c>
      <c r="N167" s="10" t="inlineStr">
        <is>
          <t>是</t>
        </is>
      </c>
      <c r="O167" s="10" t="inlineStr">
        <is>
          <t>supplier0163@example.com</t>
        </is>
      </c>
      <c r="P167" s="10" t="inlineStr">
        <is>
          <t>https://example.com/supplier/0163</t>
        </is>
      </c>
      <c r="Q167" s="10">
        <f>IF(R167&gt;=85,"A",IF(R167&gt;=70,"B","C"))</f>
        <v/>
      </c>
      <c r="R167" s="13">
        <f>MIN(100,50+IF(M167="是",10,0)+IF(N167="是",10,0)+IF(L167&lt;=100,10,IF(L167&lt;=300,5,0))+IF(J167&lt;=20,10,IF(J167&lt;=50,5,0))+IF(K167-J167&lt;=20,5,0)+IF(F167="企业官网",5,0))</f>
        <v/>
      </c>
      <c r="S167" s="10">
        <f>IF(Q167="A","价格与起订量有优势，建议优先询盘",IF(Q167="B","条件较均衡，可作为备选","起订量或价格需要进一步确认"))</f>
        <v/>
      </c>
      <c r="T167" s="10" t="inlineStr">
        <is>
          <t>未联系</t>
        </is>
      </c>
      <c r="U167" s="10" t="inlineStr">
        <is>
          <t>虚构演示数据</t>
        </is>
      </c>
    </row>
    <row r="168" ht="21" customHeight="1">
      <c r="A168" s="10" t="inlineStr">
        <is>
          <t>GYS-0164</t>
        </is>
      </c>
      <c r="B168" s="10" t="inlineStr">
        <is>
          <t>白沟厨房用品供应链0164有限公司（演示）</t>
        </is>
      </c>
      <c r="C168" s="10" t="inlineStr">
        <is>
          <t>厨房用品</t>
        </is>
      </c>
      <c r="D168" s="10" t="inlineStr">
        <is>
          <t>硅胶保鲜盒</t>
        </is>
      </c>
      <c r="E168" s="10" t="inlineStr">
        <is>
          <t>河北白沟</t>
        </is>
      </c>
      <c r="F168" s="10" t="inlineStr">
        <is>
          <t>1688</t>
        </is>
      </c>
      <c r="G168" s="10" t="inlineStr">
        <is>
          <t>张经理</t>
        </is>
      </c>
      <c r="H168" s="10" t="inlineStr">
        <is>
          <t>000-0000-0164</t>
        </is>
      </c>
      <c r="I168" s="10" t="inlineStr">
        <is>
          <t>DEMO_GYS_0164</t>
        </is>
      </c>
      <c r="J168" s="11" t="n">
        <v>5.6</v>
      </c>
      <c r="K168" s="11" t="n">
        <v>10</v>
      </c>
      <c r="L168" s="12" t="n">
        <v>300</v>
      </c>
      <c r="M168" s="10" t="inlineStr">
        <is>
          <t>否</t>
        </is>
      </c>
      <c r="N168" s="10" t="inlineStr">
        <is>
          <t>是</t>
        </is>
      </c>
      <c r="O168" s="10" t="inlineStr">
        <is>
          <t>supplier0164@example.com</t>
        </is>
      </c>
      <c r="P168" s="10" t="inlineStr">
        <is>
          <t>https://example.com/supplier/0164</t>
        </is>
      </c>
      <c r="Q168" s="10">
        <f>IF(R168&gt;=85,"A",IF(R168&gt;=70,"B","C"))</f>
        <v/>
      </c>
      <c r="R168" s="13">
        <f>MIN(100,50+IF(M168="是",10,0)+IF(N168="是",10,0)+IF(L168&lt;=100,10,IF(L168&lt;=300,5,0))+IF(J168&lt;=20,10,IF(J168&lt;=50,5,0))+IF(K168-J168&lt;=20,5,0)+IF(F168="企业官网",5,0))</f>
        <v/>
      </c>
      <c r="S168" s="10">
        <f>IF(Q168="A","价格与起订量有优势，建议优先询盘",IF(Q168="B","条件较均衡，可作为备选","起订量或价格需要进一步确认"))</f>
        <v/>
      </c>
      <c r="T168" s="10" t="inlineStr">
        <is>
          <t>未联系</t>
        </is>
      </c>
      <c r="U168" s="10" t="inlineStr">
        <is>
          <t>虚构演示数据</t>
        </is>
      </c>
    </row>
    <row r="169" ht="21" customHeight="1">
      <c r="A169" s="10" t="inlineStr">
        <is>
          <t>GYS-0165</t>
        </is>
      </c>
      <c r="B169" s="10" t="inlineStr">
        <is>
          <t>义乌数码配件供应链0165有限公司（演示）</t>
        </is>
      </c>
      <c r="C169" s="10" t="inlineStr">
        <is>
          <t>数码配件</t>
        </is>
      </c>
      <c r="D169" s="10" t="inlineStr">
        <is>
          <t>磁吸手机支架</t>
        </is>
      </c>
      <c r="E169" s="10" t="inlineStr">
        <is>
          <t>浙江义乌</t>
        </is>
      </c>
      <c r="F169" s="10" t="inlineStr">
        <is>
          <t>中国制造网</t>
        </is>
      </c>
      <c r="G169" s="10" t="inlineStr">
        <is>
          <t>刘经理</t>
        </is>
      </c>
      <c r="H169" s="10" t="inlineStr">
        <is>
          <t>000-0000-0165</t>
        </is>
      </c>
      <c r="I169" s="10" t="inlineStr">
        <is>
          <t>DEMO_GYS_0165</t>
        </is>
      </c>
      <c r="J169" s="11" t="n">
        <v>7.3</v>
      </c>
      <c r="K169" s="11" t="n">
        <v>12.8</v>
      </c>
      <c r="L169" s="12" t="n">
        <v>200</v>
      </c>
      <c r="M169" s="10" t="inlineStr">
        <is>
          <t>是</t>
        </is>
      </c>
      <c r="N169" s="10" t="inlineStr">
        <is>
          <t>否</t>
        </is>
      </c>
      <c r="O169" s="10" t="inlineStr">
        <is>
          <t>supplier0165@example.com</t>
        </is>
      </c>
      <c r="P169" s="10" t="inlineStr">
        <is>
          <t>https://example.com/supplier/0165</t>
        </is>
      </c>
      <c r="Q169" s="10">
        <f>IF(R169&gt;=85,"A",IF(R169&gt;=70,"B","C"))</f>
        <v/>
      </c>
      <c r="R169" s="13">
        <f>MIN(100,50+IF(M169="是",10,0)+IF(N169="是",10,0)+IF(L169&lt;=100,10,IF(L169&lt;=300,5,0))+IF(J169&lt;=20,10,IF(J169&lt;=50,5,0))+IF(K169-J169&lt;=20,5,0)+IF(F169="企业官网",5,0))</f>
        <v/>
      </c>
      <c r="S169" s="10">
        <f>IF(Q169="A","价格与起订量有优势，建议优先询盘",IF(Q169="B","条件较均衡，可作为备选","起订量或价格需要进一步确认"))</f>
        <v/>
      </c>
      <c r="T169" s="10" t="inlineStr">
        <is>
          <t>未联系</t>
        </is>
      </c>
      <c r="U169" s="10" t="inlineStr">
        <is>
          <t>虚构演示数据</t>
        </is>
      </c>
    </row>
    <row r="170" ht="21" customHeight="1">
      <c r="A170" s="10" t="inlineStr">
        <is>
          <t>GYS-0166</t>
        </is>
      </c>
      <c r="B170" s="10" t="inlineStr">
        <is>
          <t>台州宠物用品供应链0166有限公司（演示）</t>
        </is>
      </c>
      <c r="C170" s="10" t="inlineStr">
        <is>
          <t>宠物用品</t>
        </is>
      </c>
      <c r="D170" s="10" t="inlineStr">
        <is>
          <t>宠物清洁手套</t>
        </is>
      </c>
      <c r="E170" s="10" t="inlineStr">
        <is>
          <t>浙江台州</t>
        </is>
      </c>
      <c r="F170" s="10" t="inlineStr">
        <is>
          <t>企业官网</t>
        </is>
      </c>
      <c r="G170" s="10" t="inlineStr">
        <is>
          <t>黄经理</t>
        </is>
      </c>
      <c r="H170" s="10" t="inlineStr">
        <is>
          <t>000-0000-0166</t>
        </is>
      </c>
      <c r="I170" s="10" t="inlineStr">
        <is>
          <t>DEMO_GYS_0166</t>
        </is>
      </c>
      <c r="J170" s="11" t="n">
        <v>9</v>
      </c>
      <c r="K170" s="11" t="n">
        <v>15.6</v>
      </c>
      <c r="L170" s="12" t="n">
        <v>100</v>
      </c>
      <c r="M170" s="10" t="inlineStr">
        <is>
          <t>是</t>
        </is>
      </c>
      <c r="N170" s="10" t="inlineStr">
        <is>
          <t>是</t>
        </is>
      </c>
      <c r="O170" s="10" t="inlineStr">
        <is>
          <t>supplier0166@example.com</t>
        </is>
      </c>
      <c r="P170" s="10" t="inlineStr">
        <is>
          <t>https://example.com/supplier/0166</t>
        </is>
      </c>
      <c r="Q170" s="10">
        <f>IF(R170&gt;=85,"A",IF(R170&gt;=70,"B","C"))</f>
        <v/>
      </c>
      <c r="R170" s="13">
        <f>MIN(100,50+IF(M170="是",10,0)+IF(N170="是",10,0)+IF(L170&lt;=100,10,IF(L170&lt;=300,5,0))+IF(J170&lt;=20,10,IF(J170&lt;=50,5,0))+IF(K170-J170&lt;=20,5,0)+IF(F170="企业官网",5,0))</f>
        <v/>
      </c>
      <c r="S170" s="10">
        <f>IF(Q170="A","价格与起订量有优势，建议优先询盘",IF(Q170="B","条件较均衡，可作为备选","起订量或价格需要进一步确认"))</f>
        <v/>
      </c>
      <c r="T170" s="10" t="inlineStr">
        <is>
          <t>未联系</t>
        </is>
      </c>
      <c r="U170" s="10" t="inlineStr">
        <is>
          <t>虚构演示数据</t>
        </is>
      </c>
    </row>
    <row r="171" ht="21" customHeight="1">
      <c r="A171" s="10" t="inlineStr">
        <is>
          <t>GYS-0167</t>
        </is>
      </c>
      <c r="B171" s="10" t="inlineStr">
        <is>
          <t>东莞母婴用品供应链0167有限公司（演示）</t>
        </is>
      </c>
      <c r="C171" s="10" t="inlineStr">
        <is>
          <t>母婴用品</t>
        </is>
      </c>
      <c r="D171" s="10" t="inlineStr">
        <is>
          <t>婴儿防撞条</t>
        </is>
      </c>
      <c r="E171" s="10" t="inlineStr">
        <is>
          <t>广东东莞</t>
        </is>
      </c>
      <c r="F171" s="10" t="inlineStr">
        <is>
          <t>义乌购</t>
        </is>
      </c>
      <c r="G171" s="10" t="inlineStr">
        <is>
          <t>赵经理</t>
        </is>
      </c>
      <c r="H171" s="10" t="inlineStr">
        <is>
          <t>000-0000-0167</t>
        </is>
      </c>
      <c r="I171" s="10" t="inlineStr">
        <is>
          <t>DEMO_GYS_0167</t>
        </is>
      </c>
      <c r="J171" s="11" t="n">
        <v>10.7</v>
      </c>
      <c r="K171" s="11" t="n">
        <v>18.4</v>
      </c>
      <c r="L171" s="12" t="n">
        <v>50</v>
      </c>
      <c r="M171" s="10" t="inlineStr">
        <is>
          <t>是</t>
        </is>
      </c>
      <c r="N171" s="10" t="inlineStr">
        <is>
          <t>是</t>
        </is>
      </c>
      <c r="O171" s="10" t="inlineStr">
        <is>
          <t>supplier0167@example.com</t>
        </is>
      </c>
      <c r="P171" s="10" t="inlineStr">
        <is>
          <t>https://example.com/supplier/0167</t>
        </is>
      </c>
      <c r="Q171" s="10">
        <f>IF(R171&gt;=85,"A",IF(R171&gt;=70,"B","C"))</f>
        <v/>
      </c>
      <c r="R171" s="13">
        <f>MIN(100,50+IF(M171="是",10,0)+IF(N171="是",10,0)+IF(L171&lt;=100,10,IF(L171&lt;=300,5,0))+IF(J171&lt;=20,10,IF(J171&lt;=50,5,0))+IF(K171-J171&lt;=20,5,0)+IF(F171="企业官网",5,0))</f>
        <v/>
      </c>
      <c r="S171" s="10">
        <f>IF(Q171="A","价格与起订量有优势，建议优先询盘",IF(Q171="B","条件较均衡，可作为备选","起订量或价格需要进一步确认"))</f>
        <v/>
      </c>
      <c r="T171" s="10" t="inlineStr">
        <is>
          <t>未联系</t>
        </is>
      </c>
      <c r="U171" s="10" t="inlineStr">
        <is>
          <t>虚构演示数据</t>
        </is>
      </c>
    </row>
    <row r="172" ht="21" customHeight="1">
      <c r="A172" s="10" t="inlineStr">
        <is>
          <t>GYS-0168</t>
        </is>
      </c>
      <c r="B172" s="10" t="inlineStr">
        <is>
          <t>厦门运动户外供应链0168有限公司（演示）</t>
        </is>
      </c>
      <c r="C172" s="10" t="inlineStr">
        <is>
          <t>运动户外</t>
        </is>
      </c>
      <c r="D172" s="10" t="inlineStr">
        <is>
          <t>弹力训练带</t>
        </is>
      </c>
      <c r="E172" s="10" t="inlineStr">
        <is>
          <t>福建厦门</t>
        </is>
      </c>
      <c r="F172" s="10" t="inlineStr">
        <is>
          <t>慧聪网</t>
        </is>
      </c>
      <c r="G172" s="10" t="inlineStr">
        <is>
          <t>周经理</t>
        </is>
      </c>
      <c r="H172" s="10" t="inlineStr">
        <is>
          <t>000-0000-0168</t>
        </is>
      </c>
      <c r="I172" s="10" t="inlineStr">
        <is>
          <t>DEMO_GYS_0168</t>
        </is>
      </c>
      <c r="J172" s="11" t="n">
        <v>12.4</v>
      </c>
      <c r="K172" s="11" t="n">
        <v>21.2</v>
      </c>
      <c r="L172" s="12" t="n">
        <v>20</v>
      </c>
      <c r="M172" s="10" t="inlineStr">
        <is>
          <t>否</t>
        </is>
      </c>
      <c r="N172" s="10" t="inlineStr">
        <is>
          <t>否</t>
        </is>
      </c>
      <c r="O172" s="10" t="inlineStr">
        <is>
          <t>supplier0168@example.com</t>
        </is>
      </c>
      <c r="P172" s="10" t="inlineStr">
        <is>
          <t>https://example.com/supplier/0168</t>
        </is>
      </c>
      <c r="Q172" s="10">
        <f>IF(R172&gt;=85,"A",IF(R172&gt;=70,"B","C"))</f>
        <v/>
      </c>
      <c r="R172" s="13">
        <f>MIN(100,50+IF(M172="是",10,0)+IF(N172="是",10,0)+IF(L172&lt;=100,10,IF(L172&lt;=300,5,0))+IF(J172&lt;=20,10,IF(J172&lt;=50,5,0))+IF(K172-J172&lt;=20,5,0)+IF(F172="企业官网",5,0))</f>
        <v/>
      </c>
      <c r="S172" s="10">
        <f>IF(Q172="A","价格与起订量有优势，建议优先询盘",IF(Q172="B","条件较均衡，可作为备选","起订量或价格需要进一步确认"))</f>
        <v/>
      </c>
      <c r="T172" s="10" t="inlineStr">
        <is>
          <t>未联系</t>
        </is>
      </c>
      <c r="U172" s="10" t="inlineStr">
        <is>
          <t>虚构演示数据</t>
        </is>
      </c>
    </row>
    <row r="173" ht="21" customHeight="1">
      <c r="A173" s="10" t="inlineStr">
        <is>
          <t>GYS-0169</t>
        </is>
      </c>
      <c r="B173" s="10" t="inlineStr">
        <is>
          <t>临沂办公文具供应链0169有限公司（演示）</t>
        </is>
      </c>
      <c r="C173" s="10" t="inlineStr">
        <is>
          <t>办公文具</t>
        </is>
      </c>
      <c r="D173" s="10" t="inlineStr">
        <is>
          <t>桌面收纳架</t>
        </is>
      </c>
      <c r="E173" s="10" t="inlineStr">
        <is>
          <t>山东临沂</t>
        </is>
      </c>
      <c r="F173" s="10" t="inlineStr">
        <is>
          <t>1688</t>
        </is>
      </c>
      <c r="G173" s="10" t="inlineStr">
        <is>
          <t>吴经理</t>
        </is>
      </c>
      <c r="H173" s="10" t="inlineStr">
        <is>
          <t>000-0000-0169</t>
        </is>
      </c>
      <c r="I173" s="10" t="inlineStr">
        <is>
          <t>DEMO_GYS_0169</t>
        </is>
      </c>
      <c r="J173" s="11" t="n">
        <v>14.1</v>
      </c>
      <c r="K173" s="11" t="n">
        <v>24</v>
      </c>
      <c r="L173" s="12" t="n">
        <v>500</v>
      </c>
      <c r="M173" s="10" t="inlineStr">
        <is>
          <t>是</t>
        </is>
      </c>
      <c r="N173" s="10" t="inlineStr">
        <is>
          <t>是</t>
        </is>
      </c>
      <c r="O173" s="10" t="inlineStr">
        <is>
          <t>supplier0169@example.com</t>
        </is>
      </c>
      <c r="P173" s="10" t="inlineStr">
        <is>
          <t>https://example.com/supplier/0169</t>
        </is>
      </c>
      <c r="Q173" s="10">
        <f>IF(R173&gt;=85,"A",IF(R173&gt;=70,"B","C"))</f>
        <v/>
      </c>
      <c r="R173" s="13">
        <f>MIN(100,50+IF(M173="是",10,0)+IF(N173="是",10,0)+IF(L173&lt;=100,10,IF(L173&lt;=300,5,0))+IF(J173&lt;=20,10,IF(J173&lt;=50,5,0))+IF(K173-J173&lt;=20,5,0)+IF(F173="企业官网",5,0))</f>
        <v/>
      </c>
      <c r="S173" s="10">
        <f>IF(Q173="A","价格与起订量有优势，建议优先询盘",IF(Q173="B","条件较均衡，可作为备选","起订量或价格需要进一步确认"))</f>
        <v/>
      </c>
      <c r="T173" s="10" t="inlineStr">
        <is>
          <t>未联系</t>
        </is>
      </c>
      <c r="U173" s="10" t="inlineStr">
        <is>
          <t>虚构演示数据</t>
        </is>
      </c>
    </row>
    <row r="174" ht="21" customHeight="1">
      <c r="A174" s="10" t="inlineStr">
        <is>
          <t>GYS-0170</t>
        </is>
      </c>
      <c r="B174" s="10" t="inlineStr">
        <is>
          <t>南昌汽车用品供应链0170有限公司（演示）</t>
        </is>
      </c>
      <c r="C174" s="10" t="inlineStr">
        <is>
          <t>汽车用品</t>
        </is>
      </c>
      <c r="D174" s="10" t="inlineStr">
        <is>
          <t>车载香薰</t>
        </is>
      </c>
      <c r="E174" s="10" t="inlineStr">
        <is>
          <t>江西南昌</t>
        </is>
      </c>
      <c r="F174" s="10" t="inlineStr">
        <is>
          <t>中国制造网</t>
        </is>
      </c>
      <c r="G174" s="10" t="inlineStr">
        <is>
          <t>陈经理</t>
        </is>
      </c>
      <c r="H174" s="10" t="inlineStr">
        <is>
          <t>000-0000-0170</t>
        </is>
      </c>
      <c r="I174" s="10" t="inlineStr">
        <is>
          <t>DEMO_GYS_0170</t>
        </is>
      </c>
      <c r="J174" s="11" t="n">
        <v>15.8</v>
      </c>
      <c r="K174" s="11" t="n">
        <v>26.8</v>
      </c>
      <c r="L174" s="12" t="n">
        <v>300</v>
      </c>
      <c r="M174" s="10" t="inlineStr">
        <is>
          <t>是</t>
        </is>
      </c>
      <c r="N174" s="10" t="inlineStr">
        <is>
          <t>是</t>
        </is>
      </c>
      <c r="O174" s="10" t="inlineStr">
        <is>
          <t>supplier0170@example.com</t>
        </is>
      </c>
      <c r="P174" s="10" t="inlineStr">
        <is>
          <t>https://example.com/supplier/0170</t>
        </is>
      </c>
      <c r="Q174" s="10">
        <f>IF(R174&gt;=85,"A",IF(R174&gt;=70,"B","C"))</f>
        <v/>
      </c>
      <c r="R174" s="13">
        <f>MIN(100,50+IF(M174="是",10,0)+IF(N174="是",10,0)+IF(L174&lt;=100,10,IF(L174&lt;=300,5,0))+IF(J174&lt;=20,10,IF(J174&lt;=50,5,0))+IF(K174-J174&lt;=20,5,0)+IF(F174="企业官网",5,0))</f>
        <v/>
      </c>
      <c r="S174" s="10">
        <f>IF(Q174="A","价格与起订量有优势，建议优先询盘",IF(Q174="B","条件较均衡，可作为备选","起订量或价格需要进一步确认"))</f>
        <v/>
      </c>
      <c r="T174" s="10" t="inlineStr">
        <is>
          <t>未联系</t>
        </is>
      </c>
      <c r="U174" s="10" t="inlineStr">
        <is>
          <t>虚构演示数据</t>
        </is>
      </c>
    </row>
    <row r="175" ht="21" customHeight="1">
      <c r="A175" s="10" t="inlineStr">
        <is>
          <t>GYS-0171</t>
        </is>
      </c>
      <c r="B175" s="10" t="inlineStr">
        <is>
          <t>温州美容工具供应链0171有限公司（演示）</t>
        </is>
      </c>
      <c r="C175" s="10" t="inlineStr">
        <is>
          <t>美容工具</t>
        </is>
      </c>
      <c r="D175" s="10" t="inlineStr">
        <is>
          <t>便携化妆镜</t>
        </is>
      </c>
      <c r="E175" s="10" t="inlineStr">
        <is>
          <t>浙江温州</t>
        </is>
      </c>
      <c r="F175" s="10" t="inlineStr">
        <is>
          <t>企业官网</t>
        </is>
      </c>
      <c r="G175" s="10" t="inlineStr">
        <is>
          <t>林经理</t>
        </is>
      </c>
      <c r="H175" s="10" t="inlineStr">
        <is>
          <t>000-0000-0171</t>
        </is>
      </c>
      <c r="I175" s="10" t="inlineStr">
        <is>
          <t>DEMO_GYS_0171</t>
        </is>
      </c>
      <c r="J175" s="11" t="n">
        <v>17.5</v>
      </c>
      <c r="K175" s="11" t="n">
        <v>29.6</v>
      </c>
      <c r="L175" s="12" t="n">
        <v>200</v>
      </c>
      <c r="M175" s="10" t="inlineStr">
        <is>
          <t>是</t>
        </is>
      </c>
      <c r="N175" s="10" t="inlineStr">
        <is>
          <t>否</t>
        </is>
      </c>
      <c r="O175" s="10" t="inlineStr">
        <is>
          <t>supplier0171@example.com</t>
        </is>
      </c>
      <c r="P175" s="10" t="inlineStr">
        <is>
          <t>https://example.com/supplier/0171</t>
        </is>
      </c>
      <c r="Q175" s="10">
        <f>IF(R175&gt;=85,"A",IF(R175&gt;=70,"B","C"))</f>
        <v/>
      </c>
      <c r="R175" s="13">
        <f>MIN(100,50+IF(M175="是",10,0)+IF(N175="是",10,0)+IF(L175&lt;=100,10,IF(L175&lt;=300,5,0))+IF(J175&lt;=20,10,IF(J175&lt;=50,5,0))+IF(K175-J175&lt;=20,5,0)+IF(F175="企业官网",5,0))</f>
        <v/>
      </c>
      <c r="S175" s="10">
        <f>IF(Q175="A","价格与起订量有优势，建议优先询盘",IF(Q175="B","条件较均衡，可作为备选","起订量或价格需要进一步确认"))</f>
        <v/>
      </c>
      <c r="T175" s="10" t="inlineStr">
        <is>
          <t>未联系</t>
        </is>
      </c>
      <c r="U175" s="10" t="inlineStr">
        <is>
          <t>虚构演示数据</t>
        </is>
      </c>
    </row>
    <row r="176" ht="21" customHeight="1">
      <c r="A176" s="10" t="inlineStr">
        <is>
          <t>GYS-0172</t>
        </is>
      </c>
      <c r="B176" s="10" t="inlineStr">
        <is>
          <t>广州旅行用品供应链0172有限公司（演示）</t>
        </is>
      </c>
      <c r="C176" s="10" t="inlineStr">
        <is>
          <t>旅行用品</t>
        </is>
      </c>
      <c r="D176" s="10" t="inlineStr">
        <is>
          <t>压缩收纳袋</t>
        </is>
      </c>
      <c r="E176" s="10" t="inlineStr">
        <is>
          <t>广东广州</t>
        </is>
      </c>
      <c r="F176" s="10" t="inlineStr">
        <is>
          <t>义乌购</t>
        </is>
      </c>
      <c r="G176" s="10" t="inlineStr">
        <is>
          <t>王经理</t>
        </is>
      </c>
      <c r="H176" s="10" t="inlineStr">
        <is>
          <t>000-0000-0172</t>
        </is>
      </c>
      <c r="I176" s="10" t="inlineStr">
        <is>
          <t>DEMO_GYS_0172</t>
        </is>
      </c>
      <c r="J176" s="11" t="n">
        <v>19.2</v>
      </c>
      <c r="K176" s="11" t="n">
        <v>32.4</v>
      </c>
      <c r="L176" s="12" t="n">
        <v>100</v>
      </c>
      <c r="M176" s="10" t="inlineStr">
        <is>
          <t>否</t>
        </is>
      </c>
      <c r="N176" s="10" t="inlineStr">
        <is>
          <t>是</t>
        </is>
      </c>
      <c r="O176" s="10" t="inlineStr">
        <is>
          <t>supplier0172@example.com</t>
        </is>
      </c>
      <c r="P176" s="10" t="inlineStr">
        <is>
          <t>https://example.com/supplier/0172</t>
        </is>
      </c>
      <c r="Q176" s="10">
        <f>IF(R176&gt;=85,"A",IF(R176&gt;=70,"B","C"))</f>
        <v/>
      </c>
      <c r="R176" s="13">
        <f>MIN(100,50+IF(M176="是",10,0)+IF(N176="是",10,0)+IF(L176&lt;=100,10,IF(L176&lt;=300,5,0))+IF(J176&lt;=20,10,IF(J176&lt;=50,5,0))+IF(K176-J176&lt;=20,5,0)+IF(F176="企业官网",5,0))</f>
        <v/>
      </c>
      <c r="S176" s="10">
        <f>IF(Q176="A","价格与起订量有优势，建议优先询盘",IF(Q176="B","条件较均衡，可作为备选","起订量或价格需要进一步确认"))</f>
        <v/>
      </c>
      <c r="T176" s="10" t="inlineStr">
        <is>
          <t>未联系</t>
        </is>
      </c>
      <c r="U176" s="10" t="inlineStr">
        <is>
          <t>虚构演示数据</t>
        </is>
      </c>
    </row>
    <row r="177" ht="21" customHeight="1">
      <c r="A177" s="10" t="inlineStr">
        <is>
          <t>GYS-0173</t>
        </is>
      </c>
      <c r="B177" s="10" t="inlineStr">
        <is>
          <t>泉州清洁工具供应链0173有限公司（演示）</t>
        </is>
      </c>
      <c r="C177" s="10" t="inlineStr">
        <is>
          <t>清洁工具</t>
        </is>
      </c>
      <c r="D177" s="10" t="inlineStr">
        <is>
          <t>免手洗拖把</t>
        </is>
      </c>
      <c r="E177" s="10" t="inlineStr">
        <is>
          <t>福建泉州</t>
        </is>
      </c>
      <c r="F177" s="10" t="inlineStr">
        <is>
          <t>慧聪网</t>
        </is>
      </c>
      <c r="G177" s="10" t="inlineStr">
        <is>
          <t>李经理</t>
        </is>
      </c>
      <c r="H177" s="10" t="inlineStr">
        <is>
          <t>000-0000-0173</t>
        </is>
      </c>
      <c r="I177" s="10" t="inlineStr">
        <is>
          <t>DEMO_GYS_0173</t>
        </is>
      </c>
      <c r="J177" s="11" t="n">
        <v>20.9</v>
      </c>
      <c r="K177" s="11" t="n">
        <v>35.2</v>
      </c>
      <c r="L177" s="12" t="n">
        <v>50</v>
      </c>
      <c r="M177" s="10" t="inlineStr">
        <is>
          <t>是</t>
        </is>
      </c>
      <c r="N177" s="10" t="inlineStr">
        <is>
          <t>是</t>
        </is>
      </c>
      <c r="O177" s="10" t="inlineStr">
        <is>
          <t>supplier0173@example.com</t>
        </is>
      </c>
      <c r="P177" s="10" t="inlineStr">
        <is>
          <t>https://example.com/supplier/0173</t>
        </is>
      </c>
      <c r="Q177" s="10">
        <f>IF(R177&gt;=85,"A",IF(R177&gt;=70,"B","C"))</f>
        <v/>
      </c>
      <c r="R177" s="13">
        <f>MIN(100,50+IF(M177="是",10,0)+IF(N177="是",10,0)+IF(L177&lt;=100,10,IF(L177&lt;=300,5,0))+IF(J177&lt;=20,10,IF(J177&lt;=50,5,0))+IF(K177-J177&lt;=20,5,0)+IF(F177="企业官网",5,0))</f>
        <v/>
      </c>
      <c r="S177" s="10">
        <f>IF(Q177="A","价格与起订量有优势，建议优先询盘",IF(Q177="B","条件较均衡，可作为备选","起订量或价格需要进一步确认"))</f>
        <v/>
      </c>
      <c r="T177" s="10" t="inlineStr">
        <is>
          <t>未联系</t>
        </is>
      </c>
      <c r="U177" s="10" t="inlineStr">
        <is>
          <t>虚构演示数据</t>
        </is>
      </c>
    </row>
    <row r="178" ht="21" customHeight="1">
      <c r="A178" s="10" t="inlineStr">
        <is>
          <t>GYS-0174</t>
        </is>
      </c>
      <c r="B178" s="10" t="inlineStr">
        <is>
          <t>南通小家电供应链0174有限公司（演示）</t>
        </is>
      </c>
      <c r="C178" s="10" t="inlineStr">
        <is>
          <t>小家电</t>
        </is>
      </c>
      <c r="D178" s="10" t="inlineStr">
        <is>
          <t>迷你加湿器</t>
        </is>
      </c>
      <c r="E178" s="10" t="inlineStr">
        <is>
          <t>江苏南通</t>
        </is>
      </c>
      <c r="F178" s="10" t="inlineStr">
        <is>
          <t>1688</t>
        </is>
      </c>
      <c r="G178" s="10" t="inlineStr">
        <is>
          <t>张经理</t>
        </is>
      </c>
      <c r="H178" s="10" t="inlineStr">
        <is>
          <t>000-0000-0174</t>
        </is>
      </c>
      <c r="I178" s="10" t="inlineStr">
        <is>
          <t>DEMO_GYS_0174</t>
        </is>
      </c>
      <c r="J178" s="11" t="n">
        <v>22.6</v>
      </c>
      <c r="K178" s="11" t="n">
        <v>38</v>
      </c>
      <c r="L178" s="12" t="n">
        <v>20</v>
      </c>
      <c r="M178" s="10" t="inlineStr">
        <is>
          <t>是</t>
        </is>
      </c>
      <c r="N178" s="10" t="inlineStr">
        <is>
          <t>否</t>
        </is>
      </c>
      <c r="O178" s="10" t="inlineStr">
        <is>
          <t>supplier0174@example.com</t>
        </is>
      </c>
      <c r="P178" s="10" t="inlineStr">
        <is>
          <t>https://example.com/supplier/0174</t>
        </is>
      </c>
      <c r="Q178" s="10">
        <f>IF(R178&gt;=85,"A",IF(R178&gt;=70,"B","C"))</f>
        <v/>
      </c>
      <c r="R178" s="13">
        <f>MIN(100,50+IF(M178="是",10,0)+IF(N178="是",10,0)+IF(L178&lt;=100,10,IF(L178&lt;=300,5,0))+IF(J178&lt;=20,10,IF(J178&lt;=50,5,0))+IF(K178-J178&lt;=20,5,0)+IF(F178="企业官网",5,0))</f>
        <v/>
      </c>
      <c r="S178" s="10">
        <f>IF(Q178="A","价格与起订量有优势，建议优先询盘",IF(Q178="B","条件较均衡，可作为备选","起订量或价格需要进一步确认"))</f>
        <v/>
      </c>
      <c r="T178" s="10" t="inlineStr">
        <is>
          <t>未联系</t>
        </is>
      </c>
      <c r="U178" s="10" t="inlineStr">
        <is>
          <t>虚构演示数据</t>
        </is>
      </c>
    </row>
    <row r="179" ht="21" customHeight="1">
      <c r="A179" s="10" t="inlineStr">
        <is>
          <t>GYS-0175</t>
        </is>
      </c>
      <c r="B179" s="10" t="inlineStr">
        <is>
          <t>郑州礼品包装供应链0175有限公司（演示）</t>
        </is>
      </c>
      <c r="C179" s="10" t="inlineStr">
        <is>
          <t>礼品包装</t>
        </is>
      </c>
      <c r="D179" s="10" t="inlineStr">
        <is>
          <t>节日礼盒</t>
        </is>
      </c>
      <c r="E179" s="10" t="inlineStr">
        <is>
          <t>河南郑州</t>
        </is>
      </c>
      <c r="F179" s="10" t="inlineStr">
        <is>
          <t>中国制造网</t>
        </is>
      </c>
      <c r="G179" s="10" t="inlineStr">
        <is>
          <t>刘经理</t>
        </is>
      </c>
      <c r="H179" s="10" t="inlineStr">
        <is>
          <t>000-0000-0175</t>
        </is>
      </c>
      <c r="I179" s="10" t="inlineStr">
        <is>
          <t>DEMO_GYS_0175</t>
        </is>
      </c>
      <c r="J179" s="11" t="n">
        <v>24.3</v>
      </c>
      <c r="K179" s="11" t="n">
        <v>40.8</v>
      </c>
      <c r="L179" s="12" t="n">
        <v>500</v>
      </c>
      <c r="M179" s="10" t="inlineStr">
        <is>
          <t>是</t>
        </is>
      </c>
      <c r="N179" s="10" t="inlineStr">
        <is>
          <t>是</t>
        </is>
      </c>
      <c r="O179" s="10" t="inlineStr">
        <is>
          <t>supplier0175@example.com</t>
        </is>
      </c>
      <c r="P179" s="10" t="inlineStr">
        <is>
          <t>https://example.com/supplier/0175</t>
        </is>
      </c>
      <c r="Q179" s="10">
        <f>IF(R179&gt;=85,"A",IF(R179&gt;=70,"B","C"))</f>
        <v/>
      </c>
      <c r="R179" s="13">
        <f>MIN(100,50+IF(M179="是",10,0)+IF(N179="是",10,0)+IF(L179&lt;=100,10,IF(L179&lt;=300,5,0))+IF(J179&lt;=20,10,IF(J179&lt;=50,5,0))+IF(K179-J179&lt;=20,5,0)+IF(F179="企业官网",5,0))</f>
        <v/>
      </c>
      <c r="S179" s="10">
        <f>IF(Q179="A","价格与起订量有优势，建议优先询盘",IF(Q179="B","条件较均衡，可作为备选","起订量或价格需要进一步确认"))</f>
        <v/>
      </c>
      <c r="T179" s="10" t="inlineStr">
        <is>
          <t>未联系</t>
        </is>
      </c>
      <c r="U179" s="10" t="inlineStr">
        <is>
          <t>虚构演示数据</t>
        </is>
      </c>
    </row>
    <row r="180" ht="21" customHeight="1">
      <c r="A180" s="10" t="inlineStr">
        <is>
          <t>GYS-0176</t>
        </is>
      </c>
      <c r="B180" s="10" t="inlineStr">
        <is>
          <t>宁波五金工具供应链0176有限公司（演示）</t>
        </is>
      </c>
      <c r="C180" s="10" t="inlineStr">
        <is>
          <t>五金工具</t>
        </is>
      </c>
      <c r="D180" s="10" t="inlineStr">
        <is>
          <t>多功能螺丝刀</t>
        </is>
      </c>
      <c r="E180" s="10" t="inlineStr">
        <is>
          <t>浙江宁波</t>
        </is>
      </c>
      <c r="F180" s="10" t="inlineStr">
        <is>
          <t>企业官网</t>
        </is>
      </c>
      <c r="G180" s="10" t="inlineStr">
        <is>
          <t>黄经理</t>
        </is>
      </c>
      <c r="H180" s="10" t="inlineStr">
        <is>
          <t>000-0000-0176</t>
        </is>
      </c>
      <c r="I180" s="10" t="inlineStr">
        <is>
          <t>DEMO_GYS_0176</t>
        </is>
      </c>
      <c r="J180" s="11" t="n">
        <v>26</v>
      </c>
      <c r="K180" s="11" t="n">
        <v>43.6</v>
      </c>
      <c r="L180" s="12" t="n">
        <v>300</v>
      </c>
      <c r="M180" s="10" t="inlineStr">
        <is>
          <t>否</t>
        </is>
      </c>
      <c r="N180" s="10" t="inlineStr">
        <is>
          <t>是</t>
        </is>
      </c>
      <c r="O180" s="10" t="inlineStr">
        <is>
          <t>supplier0176@example.com</t>
        </is>
      </c>
      <c r="P180" s="10" t="inlineStr">
        <is>
          <t>https://example.com/supplier/0176</t>
        </is>
      </c>
      <c r="Q180" s="10">
        <f>IF(R180&gt;=85,"A",IF(R180&gt;=70,"B","C"))</f>
        <v/>
      </c>
      <c r="R180" s="13">
        <f>MIN(100,50+IF(M180="是",10,0)+IF(N180="是",10,0)+IF(L180&lt;=100,10,IF(L180&lt;=300,5,0))+IF(J180&lt;=20,10,IF(J180&lt;=50,5,0))+IF(K180-J180&lt;=20,5,0)+IF(F180="企业官网",5,0))</f>
        <v/>
      </c>
      <c r="S180" s="10">
        <f>IF(Q180="A","价格与起订量有优势，建议优先询盘",IF(Q180="B","条件较均衡，可作为备选","起订量或价格需要进一步确认"))</f>
        <v/>
      </c>
      <c r="T180" s="10" t="inlineStr">
        <is>
          <t>未联系</t>
        </is>
      </c>
      <c r="U180" s="10" t="inlineStr">
        <is>
          <t>虚构演示数据</t>
        </is>
      </c>
    </row>
    <row r="181" ht="21" customHeight="1">
      <c r="A181" s="10" t="inlineStr">
        <is>
          <t>GYS-0177</t>
        </is>
      </c>
      <c r="B181" s="10" t="inlineStr">
        <is>
          <t>深圳鞋靴配件供应链0177有限公司（演示）</t>
        </is>
      </c>
      <c r="C181" s="10" t="inlineStr">
        <is>
          <t>鞋靴配件</t>
        </is>
      </c>
      <c r="D181" s="10" t="inlineStr">
        <is>
          <t>防磨脚贴</t>
        </is>
      </c>
      <c r="E181" s="10" t="inlineStr">
        <is>
          <t>广东深圳</t>
        </is>
      </c>
      <c r="F181" s="10" t="inlineStr">
        <is>
          <t>义乌购</t>
        </is>
      </c>
      <c r="G181" s="10" t="inlineStr">
        <is>
          <t>赵经理</t>
        </is>
      </c>
      <c r="H181" s="10" t="inlineStr">
        <is>
          <t>000-0000-0177</t>
        </is>
      </c>
      <c r="I181" s="10" t="inlineStr">
        <is>
          <t>DEMO_GYS_0177</t>
        </is>
      </c>
      <c r="J181" s="11" t="n">
        <v>27.7</v>
      </c>
      <c r="K181" s="11" t="n">
        <v>46.4</v>
      </c>
      <c r="L181" s="12" t="n">
        <v>200</v>
      </c>
      <c r="M181" s="10" t="inlineStr">
        <is>
          <t>是</t>
        </is>
      </c>
      <c r="N181" s="10" t="inlineStr">
        <is>
          <t>否</t>
        </is>
      </c>
      <c r="O181" s="10" t="inlineStr">
        <is>
          <t>supplier0177@example.com</t>
        </is>
      </c>
      <c r="P181" s="10" t="inlineStr">
        <is>
          <t>https://example.com/supplier/0177</t>
        </is>
      </c>
      <c r="Q181" s="10">
        <f>IF(R181&gt;=85,"A",IF(R181&gt;=70,"B","C"))</f>
        <v/>
      </c>
      <c r="R181" s="13">
        <f>MIN(100,50+IF(M181="是",10,0)+IF(N181="是",10,0)+IF(L181&lt;=100,10,IF(L181&lt;=300,5,0))+IF(J181&lt;=20,10,IF(J181&lt;=50,5,0))+IF(K181-J181&lt;=20,5,0)+IF(F181="企业官网",5,0))</f>
        <v/>
      </c>
      <c r="S181" s="10">
        <f>IF(Q181="A","价格与起订量有优势，建议优先询盘",IF(Q181="B","条件较均衡，可作为备选","起订量或价格需要进一步确认"))</f>
        <v/>
      </c>
      <c r="T181" s="10" t="inlineStr">
        <is>
          <t>未联系</t>
        </is>
      </c>
      <c r="U181" s="10" t="inlineStr">
        <is>
          <t>虚构演示数据</t>
        </is>
      </c>
    </row>
    <row r="182" ht="21" customHeight="1">
      <c r="A182" s="10" t="inlineStr">
        <is>
          <t>GYS-0178</t>
        </is>
      </c>
      <c r="B182" s="10" t="inlineStr">
        <is>
          <t>佛山食品包装供应链0178有限公司（演示）</t>
        </is>
      </c>
      <c r="C182" s="10" t="inlineStr">
        <is>
          <t>食品包装</t>
        </is>
      </c>
      <c r="D182" s="10" t="inlineStr">
        <is>
          <t>密封包装袋</t>
        </is>
      </c>
      <c r="E182" s="10" t="inlineStr">
        <is>
          <t>广东佛山</t>
        </is>
      </c>
      <c r="F182" s="10" t="inlineStr">
        <is>
          <t>慧聪网</t>
        </is>
      </c>
      <c r="G182" s="10" t="inlineStr">
        <is>
          <t>周经理</t>
        </is>
      </c>
      <c r="H182" s="10" t="inlineStr">
        <is>
          <t>000-0000-0178</t>
        </is>
      </c>
      <c r="I182" s="10" t="inlineStr">
        <is>
          <t>DEMO_GYS_0178</t>
        </is>
      </c>
      <c r="J182" s="11" t="n">
        <v>29.4</v>
      </c>
      <c r="K182" s="11" t="n">
        <v>49.2</v>
      </c>
      <c r="L182" s="12" t="n">
        <v>100</v>
      </c>
      <c r="M182" s="10" t="inlineStr">
        <is>
          <t>是</t>
        </is>
      </c>
      <c r="N182" s="10" t="inlineStr">
        <is>
          <t>是</t>
        </is>
      </c>
      <c r="O182" s="10" t="inlineStr">
        <is>
          <t>supplier0178@example.com</t>
        </is>
      </c>
      <c r="P182" s="10" t="inlineStr">
        <is>
          <t>https://example.com/supplier/0178</t>
        </is>
      </c>
      <c r="Q182" s="10">
        <f>IF(R182&gt;=85,"A",IF(R182&gt;=70,"B","C"))</f>
        <v/>
      </c>
      <c r="R182" s="13">
        <f>MIN(100,50+IF(M182="是",10,0)+IF(N182="是",10,0)+IF(L182&lt;=100,10,IF(L182&lt;=300,5,0))+IF(J182&lt;=20,10,IF(J182&lt;=50,5,0))+IF(K182-J182&lt;=20,5,0)+IF(F182="企业官网",5,0))</f>
        <v/>
      </c>
      <c r="S182" s="10">
        <f>IF(Q182="A","价格与起订量有优势，建议优先询盘",IF(Q182="B","条件较均衡，可作为备选","起订量或价格需要进一步确认"))</f>
        <v/>
      </c>
      <c r="T182" s="10" t="inlineStr">
        <is>
          <t>未联系</t>
        </is>
      </c>
      <c r="U182" s="10" t="inlineStr">
        <is>
          <t>虚构演示数据</t>
        </is>
      </c>
    </row>
    <row r="183" ht="21" customHeight="1">
      <c r="A183" s="10" t="inlineStr">
        <is>
          <t>GYS-0179</t>
        </is>
      </c>
      <c r="B183" s="10" t="inlineStr">
        <is>
          <t>苏州户外照明供应链0179有限公司（演示）</t>
        </is>
      </c>
      <c r="C183" s="10" t="inlineStr">
        <is>
          <t>户外照明</t>
        </is>
      </c>
      <c r="D183" s="10" t="inlineStr">
        <is>
          <t>便携露营灯</t>
        </is>
      </c>
      <c r="E183" s="10" t="inlineStr">
        <is>
          <t>江苏苏州</t>
        </is>
      </c>
      <c r="F183" s="10" t="inlineStr">
        <is>
          <t>1688</t>
        </is>
      </c>
      <c r="G183" s="10" t="inlineStr">
        <is>
          <t>吴经理</t>
        </is>
      </c>
      <c r="H183" s="10" t="inlineStr">
        <is>
          <t>000-0000-0179</t>
        </is>
      </c>
      <c r="I183" s="10" t="inlineStr">
        <is>
          <t>DEMO_GYS_0179</t>
        </is>
      </c>
      <c r="J183" s="11" t="n">
        <v>31.1</v>
      </c>
      <c r="K183" s="11" t="n">
        <v>52</v>
      </c>
      <c r="L183" s="12" t="n">
        <v>50</v>
      </c>
      <c r="M183" s="10" t="inlineStr">
        <is>
          <t>是</t>
        </is>
      </c>
      <c r="N183" s="10" t="inlineStr">
        <is>
          <t>是</t>
        </is>
      </c>
      <c r="O183" s="10" t="inlineStr">
        <is>
          <t>supplier0179@example.com</t>
        </is>
      </c>
      <c r="P183" s="10" t="inlineStr">
        <is>
          <t>https://example.com/supplier/0179</t>
        </is>
      </c>
      <c r="Q183" s="10">
        <f>IF(R183&gt;=85,"A",IF(R183&gt;=70,"B","C"))</f>
        <v/>
      </c>
      <c r="R183" s="13">
        <f>MIN(100,50+IF(M183="是",10,0)+IF(N183="是",10,0)+IF(L183&lt;=100,10,IF(L183&lt;=300,5,0))+IF(J183&lt;=20,10,IF(J183&lt;=50,5,0))+IF(K183-J183&lt;=20,5,0)+IF(F183="企业官网",5,0))</f>
        <v/>
      </c>
      <c r="S183" s="10">
        <f>IF(Q183="A","价格与起订量有优势，建议优先询盘",IF(Q183="B","条件较均衡，可作为备选","起订量或价格需要进一步确认"))</f>
        <v/>
      </c>
      <c r="T183" s="10" t="inlineStr">
        <is>
          <t>未联系</t>
        </is>
      </c>
      <c r="U183" s="10" t="inlineStr">
        <is>
          <t>虚构演示数据</t>
        </is>
      </c>
    </row>
    <row r="184" ht="21" customHeight="1">
      <c r="A184" s="10" t="inlineStr">
        <is>
          <t>GYS-0180</t>
        </is>
      </c>
      <c r="B184" s="10" t="inlineStr">
        <is>
          <t>白沟健康用品供应链0180有限公司（演示）</t>
        </is>
      </c>
      <c r="C184" s="10" t="inlineStr">
        <is>
          <t>健康用品</t>
        </is>
      </c>
      <c r="D184" s="10" t="inlineStr">
        <is>
          <t>热敷眼罩</t>
        </is>
      </c>
      <c r="E184" s="10" t="inlineStr">
        <is>
          <t>河北白沟</t>
        </is>
      </c>
      <c r="F184" s="10" t="inlineStr">
        <is>
          <t>中国制造网</t>
        </is>
      </c>
      <c r="G184" s="10" t="inlineStr">
        <is>
          <t>陈经理</t>
        </is>
      </c>
      <c r="H184" s="10" t="inlineStr">
        <is>
          <t>000-0000-0180</t>
        </is>
      </c>
      <c r="I184" s="10" t="inlineStr">
        <is>
          <t>DEMO_GYS_0180</t>
        </is>
      </c>
      <c r="J184" s="11" t="n">
        <v>32.8</v>
      </c>
      <c r="K184" s="11" t="n">
        <v>36.8</v>
      </c>
      <c r="L184" s="12" t="n">
        <v>20</v>
      </c>
      <c r="M184" s="10" t="inlineStr">
        <is>
          <t>否</t>
        </is>
      </c>
      <c r="N184" s="10" t="inlineStr">
        <is>
          <t>否</t>
        </is>
      </c>
      <c r="O184" s="10" t="inlineStr">
        <is>
          <t>supplier0180@example.com</t>
        </is>
      </c>
      <c r="P184" s="10" t="inlineStr">
        <is>
          <t>https://example.com/supplier/0180</t>
        </is>
      </c>
      <c r="Q184" s="10">
        <f>IF(R184&gt;=85,"A",IF(R184&gt;=70,"B","C"))</f>
        <v/>
      </c>
      <c r="R184" s="13">
        <f>MIN(100,50+IF(M184="是",10,0)+IF(N184="是",10,0)+IF(L184&lt;=100,10,IF(L184&lt;=300,5,0))+IF(J184&lt;=20,10,IF(J184&lt;=50,5,0))+IF(K184-J184&lt;=20,5,0)+IF(F184="企业官网",5,0))</f>
        <v/>
      </c>
      <c r="S184" s="10">
        <f>IF(Q184="A","价格与起订量有优势，建议优先询盘",IF(Q184="B","条件较均衡，可作为备选","起订量或价格需要进一步确认"))</f>
        <v/>
      </c>
      <c r="T184" s="10" t="inlineStr">
        <is>
          <t>未联系</t>
        </is>
      </c>
      <c r="U184" s="10" t="inlineStr">
        <is>
          <t>虚构演示数据</t>
        </is>
      </c>
    </row>
    <row r="185" ht="21" customHeight="1">
      <c r="A185" s="10" t="inlineStr">
        <is>
          <t>GYS-0181</t>
        </is>
      </c>
      <c r="B185" s="10" t="inlineStr">
        <is>
          <t>义乌服饰内衣供应链0181有限公司（演示）</t>
        </is>
      </c>
      <c r="C185" s="10" t="inlineStr">
        <is>
          <t>服饰内衣</t>
        </is>
      </c>
      <c r="D185" s="10" t="inlineStr">
        <is>
          <t>防滑袜</t>
        </is>
      </c>
      <c r="E185" s="10" t="inlineStr">
        <is>
          <t>浙江义乌</t>
        </is>
      </c>
      <c r="F185" s="10" t="inlineStr">
        <is>
          <t>企业官网</t>
        </is>
      </c>
      <c r="G185" s="10" t="inlineStr">
        <is>
          <t>林经理</t>
        </is>
      </c>
      <c r="H185" s="10" t="inlineStr">
        <is>
          <t>000-0000-0181</t>
        </is>
      </c>
      <c r="I185" s="10" t="inlineStr">
        <is>
          <t>DEMO_GYS_0181</t>
        </is>
      </c>
      <c r="J185" s="11" t="n">
        <v>34.5</v>
      </c>
      <c r="K185" s="11" t="n">
        <v>39.6</v>
      </c>
      <c r="L185" s="12" t="n">
        <v>500</v>
      </c>
      <c r="M185" s="10" t="inlineStr">
        <is>
          <t>是</t>
        </is>
      </c>
      <c r="N185" s="10" t="inlineStr">
        <is>
          <t>是</t>
        </is>
      </c>
      <c r="O185" s="10" t="inlineStr">
        <is>
          <t>supplier0181@example.com</t>
        </is>
      </c>
      <c r="P185" s="10" t="inlineStr">
        <is>
          <t>https://example.com/supplier/0181</t>
        </is>
      </c>
      <c r="Q185" s="10">
        <f>IF(R185&gt;=85,"A",IF(R185&gt;=70,"B","C"))</f>
        <v/>
      </c>
      <c r="R185" s="13">
        <f>MIN(100,50+IF(M185="是",10,0)+IF(N185="是",10,0)+IF(L185&lt;=100,10,IF(L185&lt;=300,5,0))+IF(J185&lt;=20,10,IF(J185&lt;=50,5,0))+IF(K185-J185&lt;=20,5,0)+IF(F185="企业官网",5,0))</f>
        <v/>
      </c>
      <c r="S185" s="10">
        <f>IF(Q185="A","价格与起订量有优势，建议优先询盘",IF(Q185="B","条件较均衡，可作为备选","起订量或价格需要进一步确认"))</f>
        <v/>
      </c>
      <c r="T185" s="10" t="inlineStr">
        <is>
          <t>未联系</t>
        </is>
      </c>
      <c r="U185" s="10" t="inlineStr">
        <is>
          <t>虚构演示数据</t>
        </is>
      </c>
    </row>
    <row r="186" ht="21" customHeight="1">
      <c r="A186" s="10" t="inlineStr">
        <is>
          <t>GYS-0182</t>
        </is>
      </c>
      <c r="B186" s="10" t="inlineStr">
        <is>
          <t>台州家居日用供应链0182有限公司（演示）</t>
        </is>
      </c>
      <c r="C186" s="10" t="inlineStr">
        <is>
          <t>家居日用</t>
        </is>
      </c>
      <c r="D186" s="10" t="inlineStr">
        <is>
          <t>折叠收纳箱</t>
        </is>
      </c>
      <c r="E186" s="10" t="inlineStr">
        <is>
          <t>浙江台州</t>
        </is>
      </c>
      <c r="F186" s="10" t="inlineStr">
        <is>
          <t>义乌购</t>
        </is>
      </c>
      <c r="G186" s="10" t="inlineStr">
        <is>
          <t>王经理</t>
        </is>
      </c>
      <c r="H186" s="10" t="inlineStr">
        <is>
          <t>000-0000-0182</t>
        </is>
      </c>
      <c r="I186" s="10" t="inlineStr">
        <is>
          <t>DEMO_GYS_0182</t>
        </is>
      </c>
      <c r="J186" s="11" t="n">
        <v>36.2</v>
      </c>
      <c r="K186" s="11" t="n">
        <v>42.4</v>
      </c>
      <c r="L186" s="12" t="n">
        <v>300</v>
      </c>
      <c r="M186" s="10" t="inlineStr">
        <is>
          <t>是</t>
        </is>
      </c>
      <c r="N186" s="10" t="inlineStr">
        <is>
          <t>是</t>
        </is>
      </c>
      <c r="O186" s="10" t="inlineStr">
        <is>
          <t>supplier0182@example.com</t>
        </is>
      </c>
      <c r="P186" s="10" t="inlineStr">
        <is>
          <t>https://example.com/supplier/0182</t>
        </is>
      </c>
      <c r="Q186" s="10">
        <f>IF(R186&gt;=85,"A",IF(R186&gt;=70,"B","C"))</f>
        <v/>
      </c>
      <c r="R186" s="13">
        <f>MIN(100,50+IF(M186="是",10,0)+IF(N186="是",10,0)+IF(L186&lt;=100,10,IF(L186&lt;=300,5,0))+IF(J186&lt;=20,10,IF(J186&lt;=50,5,0))+IF(K186-J186&lt;=20,5,0)+IF(F186="企业官网",5,0))</f>
        <v/>
      </c>
      <c r="S186" s="10">
        <f>IF(Q186="A","价格与起订量有优势，建议优先询盘",IF(Q186="B","条件较均衡，可作为备选","起订量或价格需要进一步确认"))</f>
        <v/>
      </c>
      <c r="T186" s="10" t="inlineStr">
        <is>
          <t>未联系</t>
        </is>
      </c>
      <c r="U186" s="10" t="inlineStr">
        <is>
          <t>虚构演示数据</t>
        </is>
      </c>
    </row>
    <row r="187" ht="21" customHeight="1">
      <c r="A187" s="10" t="inlineStr">
        <is>
          <t>GYS-0183</t>
        </is>
      </c>
      <c r="B187" s="10" t="inlineStr">
        <is>
          <t>东莞个护清洁供应链0183有限公司（演示）</t>
        </is>
      </c>
      <c r="C187" s="10" t="inlineStr">
        <is>
          <t>个护清洁</t>
        </is>
      </c>
      <c r="D187" s="10" t="inlineStr">
        <is>
          <t>便携洗脸巾</t>
        </is>
      </c>
      <c r="E187" s="10" t="inlineStr">
        <is>
          <t>广东东莞</t>
        </is>
      </c>
      <c r="F187" s="10" t="inlineStr">
        <is>
          <t>慧聪网</t>
        </is>
      </c>
      <c r="G187" s="10" t="inlineStr">
        <is>
          <t>李经理</t>
        </is>
      </c>
      <c r="H187" s="10" t="inlineStr">
        <is>
          <t>000-0000-0183</t>
        </is>
      </c>
      <c r="I187" s="10" t="inlineStr">
        <is>
          <t>DEMO_GYS_0183</t>
        </is>
      </c>
      <c r="J187" s="11" t="n">
        <v>37.9</v>
      </c>
      <c r="K187" s="11" t="n">
        <v>45.2</v>
      </c>
      <c r="L187" s="12" t="n">
        <v>200</v>
      </c>
      <c r="M187" s="10" t="inlineStr">
        <is>
          <t>是</t>
        </is>
      </c>
      <c r="N187" s="10" t="inlineStr">
        <is>
          <t>否</t>
        </is>
      </c>
      <c r="O187" s="10" t="inlineStr">
        <is>
          <t>supplier0183@example.com</t>
        </is>
      </c>
      <c r="P187" s="10" t="inlineStr">
        <is>
          <t>https://example.com/supplier/0183</t>
        </is>
      </c>
      <c r="Q187" s="10">
        <f>IF(R187&gt;=85,"A",IF(R187&gt;=70,"B","C"))</f>
        <v/>
      </c>
      <c r="R187" s="13">
        <f>MIN(100,50+IF(M187="是",10,0)+IF(N187="是",10,0)+IF(L187&lt;=100,10,IF(L187&lt;=300,5,0))+IF(J187&lt;=20,10,IF(J187&lt;=50,5,0))+IF(K187-J187&lt;=20,5,0)+IF(F187="企业官网",5,0))</f>
        <v/>
      </c>
      <c r="S187" s="10">
        <f>IF(Q187="A","价格与起订量有优势，建议优先询盘",IF(Q187="B","条件较均衡，可作为备选","起订量或价格需要进一步确认"))</f>
        <v/>
      </c>
      <c r="T187" s="10" t="inlineStr">
        <is>
          <t>未联系</t>
        </is>
      </c>
      <c r="U187" s="10" t="inlineStr">
        <is>
          <t>虚构演示数据</t>
        </is>
      </c>
    </row>
    <row r="188" ht="21" customHeight="1">
      <c r="A188" s="10" t="inlineStr">
        <is>
          <t>GYS-0184</t>
        </is>
      </c>
      <c r="B188" s="10" t="inlineStr">
        <is>
          <t>厦门厨房用品供应链0184有限公司（演示）</t>
        </is>
      </c>
      <c r="C188" s="10" t="inlineStr">
        <is>
          <t>厨房用品</t>
        </is>
      </c>
      <c r="D188" s="10" t="inlineStr">
        <is>
          <t>硅胶保鲜盒</t>
        </is>
      </c>
      <c r="E188" s="10" t="inlineStr">
        <is>
          <t>福建厦门</t>
        </is>
      </c>
      <c r="F188" s="10" t="inlineStr">
        <is>
          <t>1688</t>
        </is>
      </c>
      <c r="G188" s="10" t="inlineStr">
        <is>
          <t>张经理</t>
        </is>
      </c>
      <c r="H188" s="10" t="inlineStr">
        <is>
          <t>000-0000-0184</t>
        </is>
      </c>
      <c r="I188" s="10" t="inlineStr">
        <is>
          <t>DEMO_GYS_0184</t>
        </is>
      </c>
      <c r="J188" s="11" t="n">
        <v>39.6</v>
      </c>
      <c r="K188" s="11" t="n">
        <v>48</v>
      </c>
      <c r="L188" s="12" t="n">
        <v>100</v>
      </c>
      <c r="M188" s="10" t="inlineStr">
        <is>
          <t>否</t>
        </is>
      </c>
      <c r="N188" s="10" t="inlineStr">
        <is>
          <t>是</t>
        </is>
      </c>
      <c r="O188" s="10" t="inlineStr">
        <is>
          <t>supplier0184@example.com</t>
        </is>
      </c>
      <c r="P188" s="10" t="inlineStr">
        <is>
          <t>https://example.com/supplier/0184</t>
        </is>
      </c>
      <c r="Q188" s="10">
        <f>IF(R188&gt;=85,"A",IF(R188&gt;=70,"B","C"))</f>
        <v/>
      </c>
      <c r="R188" s="13">
        <f>MIN(100,50+IF(M188="是",10,0)+IF(N188="是",10,0)+IF(L188&lt;=100,10,IF(L188&lt;=300,5,0))+IF(J188&lt;=20,10,IF(J188&lt;=50,5,0))+IF(K188-J188&lt;=20,5,0)+IF(F188="企业官网",5,0))</f>
        <v/>
      </c>
      <c r="S188" s="10">
        <f>IF(Q188="A","价格与起订量有优势，建议优先询盘",IF(Q188="B","条件较均衡，可作为备选","起订量或价格需要进一步确认"))</f>
        <v/>
      </c>
      <c r="T188" s="10" t="inlineStr">
        <is>
          <t>未联系</t>
        </is>
      </c>
      <c r="U188" s="10" t="inlineStr">
        <is>
          <t>虚构演示数据</t>
        </is>
      </c>
    </row>
    <row r="189" ht="21" customHeight="1">
      <c r="A189" s="10" t="inlineStr">
        <is>
          <t>GYS-0185</t>
        </is>
      </c>
      <c r="B189" s="10" t="inlineStr">
        <is>
          <t>临沂数码配件供应链0185有限公司（演示）</t>
        </is>
      </c>
      <c r="C189" s="10" t="inlineStr">
        <is>
          <t>数码配件</t>
        </is>
      </c>
      <c r="D189" s="10" t="inlineStr">
        <is>
          <t>磁吸手机支架</t>
        </is>
      </c>
      <c r="E189" s="10" t="inlineStr">
        <is>
          <t>山东临沂</t>
        </is>
      </c>
      <c r="F189" s="10" t="inlineStr">
        <is>
          <t>中国制造网</t>
        </is>
      </c>
      <c r="G189" s="10" t="inlineStr">
        <is>
          <t>刘经理</t>
        </is>
      </c>
      <c r="H189" s="10" t="inlineStr">
        <is>
          <t>000-0000-0185</t>
        </is>
      </c>
      <c r="I189" s="10" t="inlineStr">
        <is>
          <t>DEMO_GYS_0185</t>
        </is>
      </c>
      <c r="J189" s="11" t="n">
        <v>41.3</v>
      </c>
      <c r="K189" s="11" t="n">
        <v>50.8</v>
      </c>
      <c r="L189" s="12" t="n">
        <v>50</v>
      </c>
      <c r="M189" s="10" t="inlineStr">
        <is>
          <t>是</t>
        </is>
      </c>
      <c r="N189" s="10" t="inlineStr">
        <is>
          <t>是</t>
        </is>
      </c>
      <c r="O189" s="10" t="inlineStr">
        <is>
          <t>supplier0185@example.com</t>
        </is>
      </c>
      <c r="P189" s="10" t="inlineStr">
        <is>
          <t>https://example.com/supplier/0185</t>
        </is>
      </c>
      <c r="Q189" s="10">
        <f>IF(R189&gt;=85,"A",IF(R189&gt;=70,"B","C"))</f>
        <v/>
      </c>
      <c r="R189" s="13">
        <f>MIN(100,50+IF(M189="是",10,0)+IF(N189="是",10,0)+IF(L189&lt;=100,10,IF(L189&lt;=300,5,0))+IF(J189&lt;=20,10,IF(J189&lt;=50,5,0))+IF(K189-J189&lt;=20,5,0)+IF(F189="企业官网",5,0))</f>
        <v/>
      </c>
      <c r="S189" s="10">
        <f>IF(Q189="A","价格与起订量有优势，建议优先询盘",IF(Q189="B","条件较均衡，可作为备选","起订量或价格需要进一步确认"))</f>
        <v/>
      </c>
      <c r="T189" s="10" t="inlineStr">
        <is>
          <t>未联系</t>
        </is>
      </c>
      <c r="U189" s="10" t="inlineStr">
        <is>
          <t>虚构演示数据</t>
        </is>
      </c>
    </row>
    <row r="190" ht="21" customHeight="1">
      <c r="A190" s="10" t="inlineStr">
        <is>
          <t>GYS-0186</t>
        </is>
      </c>
      <c r="B190" s="10" t="inlineStr">
        <is>
          <t>南昌宠物用品供应链0186有限公司（演示）</t>
        </is>
      </c>
      <c r="C190" s="10" t="inlineStr">
        <is>
          <t>宠物用品</t>
        </is>
      </c>
      <c r="D190" s="10" t="inlineStr">
        <is>
          <t>宠物清洁手套</t>
        </is>
      </c>
      <c r="E190" s="10" t="inlineStr">
        <is>
          <t>江西南昌</t>
        </is>
      </c>
      <c r="F190" s="10" t="inlineStr">
        <is>
          <t>企业官网</t>
        </is>
      </c>
      <c r="G190" s="10" t="inlineStr">
        <is>
          <t>黄经理</t>
        </is>
      </c>
      <c r="H190" s="10" t="inlineStr">
        <is>
          <t>000-0000-0186</t>
        </is>
      </c>
      <c r="I190" s="10" t="inlineStr">
        <is>
          <t>DEMO_GYS_0186</t>
        </is>
      </c>
      <c r="J190" s="11" t="n">
        <v>43</v>
      </c>
      <c r="K190" s="11" t="n">
        <v>53.6</v>
      </c>
      <c r="L190" s="12" t="n">
        <v>20</v>
      </c>
      <c r="M190" s="10" t="inlineStr">
        <is>
          <t>是</t>
        </is>
      </c>
      <c r="N190" s="10" t="inlineStr">
        <is>
          <t>否</t>
        </is>
      </c>
      <c r="O190" s="10" t="inlineStr">
        <is>
          <t>supplier0186@example.com</t>
        </is>
      </c>
      <c r="P190" s="10" t="inlineStr">
        <is>
          <t>https://example.com/supplier/0186</t>
        </is>
      </c>
      <c r="Q190" s="10">
        <f>IF(R190&gt;=85,"A",IF(R190&gt;=70,"B","C"))</f>
        <v/>
      </c>
      <c r="R190" s="13">
        <f>MIN(100,50+IF(M190="是",10,0)+IF(N190="是",10,0)+IF(L190&lt;=100,10,IF(L190&lt;=300,5,0))+IF(J190&lt;=20,10,IF(J190&lt;=50,5,0))+IF(K190-J190&lt;=20,5,0)+IF(F190="企业官网",5,0))</f>
        <v/>
      </c>
      <c r="S190" s="10">
        <f>IF(Q190="A","价格与起订量有优势，建议优先询盘",IF(Q190="B","条件较均衡，可作为备选","起订量或价格需要进一步确认"))</f>
        <v/>
      </c>
      <c r="T190" s="10" t="inlineStr">
        <is>
          <t>未联系</t>
        </is>
      </c>
      <c r="U190" s="10" t="inlineStr">
        <is>
          <t>虚构演示数据</t>
        </is>
      </c>
    </row>
    <row r="191" ht="21" customHeight="1">
      <c r="A191" s="10" t="inlineStr">
        <is>
          <t>GYS-0187</t>
        </is>
      </c>
      <c r="B191" s="10" t="inlineStr">
        <is>
          <t>温州母婴用品供应链0187有限公司（演示）</t>
        </is>
      </c>
      <c r="C191" s="10" t="inlineStr">
        <is>
          <t>母婴用品</t>
        </is>
      </c>
      <c r="D191" s="10" t="inlineStr">
        <is>
          <t>婴儿防撞条</t>
        </is>
      </c>
      <c r="E191" s="10" t="inlineStr">
        <is>
          <t>浙江温州</t>
        </is>
      </c>
      <c r="F191" s="10" t="inlineStr">
        <is>
          <t>义乌购</t>
        </is>
      </c>
      <c r="G191" s="10" t="inlineStr">
        <is>
          <t>赵经理</t>
        </is>
      </c>
      <c r="H191" s="10" t="inlineStr">
        <is>
          <t>000-0000-0187</t>
        </is>
      </c>
      <c r="I191" s="10" t="inlineStr">
        <is>
          <t>DEMO_GYS_0187</t>
        </is>
      </c>
      <c r="J191" s="11" t="n">
        <v>44.7</v>
      </c>
      <c r="K191" s="11" t="n">
        <v>56.4</v>
      </c>
      <c r="L191" s="12" t="n">
        <v>500</v>
      </c>
      <c r="M191" s="10" t="inlineStr">
        <is>
          <t>是</t>
        </is>
      </c>
      <c r="N191" s="10" t="inlineStr">
        <is>
          <t>是</t>
        </is>
      </c>
      <c r="O191" s="10" t="inlineStr">
        <is>
          <t>supplier0187@example.com</t>
        </is>
      </c>
      <c r="P191" s="10" t="inlineStr">
        <is>
          <t>https://example.com/supplier/0187</t>
        </is>
      </c>
      <c r="Q191" s="10">
        <f>IF(R191&gt;=85,"A",IF(R191&gt;=70,"B","C"))</f>
        <v/>
      </c>
      <c r="R191" s="13">
        <f>MIN(100,50+IF(M191="是",10,0)+IF(N191="是",10,0)+IF(L191&lt;=100,10,IF(L191&lt;=300,5,0))+IF(J191&lt;=20,10,IF(J191&lt;=50,5,0))+IF(K191-J191&lt;=20,5,0)+IF(F191="企业官网",5,0))</f>
        <v/>
      </c>
      <c r="S191" s="10">
        <f>IF(Q191="A","价格与起订量有优势，建议优先询盘",IF(Q191="B","条件较均衡，可作为备选","起订量或价格需要进一步确认"))</f>
        <v/>
      </c>
      <c r="T191" s="10" t="inlineStr">
        <is>
          <t>未联系</t>
        </is>
      </c>
      <c r="U191" s="10" t="inlineStr">
        <is>
          <t>虚构演示数据</t>
        </is>
      </c>
    </row>
    <row r="192" ht="21" customHeight="1">
      <c r="A192" s="10" t="inlineStr">
        <is>
          <t>GYS-0188</t>
        </is>
      </c>
      <c r="B192" s="10" t="inlineStr">
        <is>
          <t>广州运动户外供应链0188有限公司（演示）</t>
        </is>
      </c>
      <c r="C192" s="10" t="inlineStr">
        <is>
          <t>运动户外</t>
        </is>
      </c>
      <c r="D192" s="10" t="inlineStr">
        <is>
          <t>弹力训练带</t>
        </is>
      </c>
      <c r="E192" s="10" t="inlineStr">
        <is>
          <t>广东广州</t>
        </is>
      </c>
      <c r="F192" s="10" t="inlineStr">
        <is>
          <t>慧聪网</t>
        </is>
      </c>
      <c r="G192" s="10" t="inlineStr">
        <is>
          <t>周经理</t>
        </is>
      </c>
      <c r="H192" s="10" t="inlineStr">
        <is>
          <t>000-0000-0188</t>
        </is>
      </c>
      <c r="I192" s="10" t="inlineStr">
        <is>
          <t>DEMO_GYS_0188</t>
        </is>
      </c>
      <c r="J192" s="11" t="n">
        <v>46.4</v>
      </c>
      <c r="K192" s="11" t="n">
        <v>59.2</v>
      </c>
      <c r="L192" s="12" t="n">
        <v>300</v>
      </c>
      <c r="M192" s="10" t="inlineStr">
        <is>
          <t>否</t>
        </is>
      </c>
      <c r="N192" s="10" t="inlineStr">
        <is>
          <t>是</t>
        </is>
      </c>
      <c r="O192" s="10" t="inlineStr">
        <is>
          <t>supplier0188@example.com</t>
        </is>
      </c>
      <c r="P192" s="10" t="inlineStr">
        <is>
          <t>https://example.com/supplier/0188</t>
        </is>
      </c>
      <c r="Q192" s="10">
        <f>IF(R192&gt;=85,"A",IF(R192&gt;=70,"B","C"))</f>
        <v/>
      </c>
      <c r="R192" s="13">
        <f>MIN(100,50+IF(M192="是",10,0)+IF(N192="是",10,0)+IF(L192&lt;=100,10,IF(L192&lt;=300,5,0))+IF(J192&lt;=20,10,IF(J192&lt;=50,5,0))+IF(K192-J192&lt;=20,5,0)+IF(F192="企业官网",5,0))</f>
        <v/>
      </c>
      <c r="S192" s="10">
        <f>IF(Q192="A","价格与起订量有优势，建议优先询盘",IF(Q192="B","条件较均衡，可作为备选","起订量或价格需要进一步确认"))</f>
        <v/>
      </c>
      <c r="T192" s="10" t="inlineStr">
        <is>
          <t>未联系</t>
        </is>
      </c>
      <c r="U192" s="10" t="inlineStr">
        <is>
          <t>虚构演示数据</t>
        </is>
      </c>
    </row>
    <row r="193" ht="21" customHeight="1">
      <c r="A193" s="10" t="inlineStr">
        <is>
          <t>GYS-0189</t>
        </is>
      </c>
      <c r="B193" s="10" t="inlineStr">
        <is>
          <t>泉州办公文具供应链0189有限公司（演示）</t>
        </is>
      </c>
      <c r="C193" s="10" t="inlineStr">
        <is>
          <t>办公文具</t>
        </is>
      </c>
      <c r="D193" s="10" t="inlineStr">
        <is>
          <t>桌面收纳架</t>
        </is>
      </c>
      <c r="E193" s="10" t="inlineStr">
        <is>
          <t>福建泉州</t>
        </is>
      </c>
      <c r="F193" s="10" t="inlineStr">
        <is>
          <t>1688</t>
        </is>
      </c>
      <c r="G193" s="10" t="inlineStr">
        <is>
          <t>吴经理</t>
        </is>
      </c>
      <c r="H193" s="10" t="inlineStr">
        <is>
          <t>000-0000-0189</t>
        </is>
      </c>
      <c r="I193" s="10" t="inlineStr">
        <is>
          <t>DEMO_GYS_0189</t>
        </is>
      </c>
      <c r="J193" s="11" t="n">
        <v>48.1</v>
      </c>
      <c r="K193" s="11" t="n">
        <v>62</v>
      </c>
      <c r="L193" s="12" t="n">
        <v>200</v>
      </c>
      <c r="M193" s="10" t="inlineStr">
        <is>
          <t>是</t>
        </is>
      </c>
      <c r="N193" s="10" t="inlineStr">
        <is>
          <t>否</t>
        </is>
      </c>
      <c r="O193" s="10" t="inlineStr">
        <is>
          <t>supplier0189@example.com</t>
        </is>
      </c>
      <c r="P193" s="10" t="inlineStr">
        <is>
          <t>https://example.com/supplier/0189</t>
        </is>
      </c>
      <c r="Q193" s="10">
        <f>IF(R193&gt;=85,"A",IF(R193&gt;=70,"B","C"))</f>
        <v/>
      </c>
      <c r="R193" s="13">
        <f>MIN(100,50+IF(M193="是",10,0)+IF(N193="是",10,0)+IF(L193&lt;=100,10,IF(L193&lt;=300,5,0))+IF(J193&lt;=20,10,IF(J193&lt;=50,5,0))+IF(K193-J193&lt;=20,5,0)+IF(F193="企业官网",5,0))</f>
        <v/>
      </c>
      <c r="S193" s="10">
        <f>IF(Q193="A","价格与起订量有优势，建议优先询盘",IF(Q193="B","条件较均衡，可作为备选","起订量或价格需要进一步确认"))</f>
        <v/>
      </c>
      <c r="T193" s="10" t="inlineStr">
        <is>
          <t>未联系</t>
        </is>
      </c>
      <c r="U193" s="10" t="inlineStr">
        <is>
          <t>虚构演示数据</t>
        </is>
      </c>
    </row>
    <row r="194" ht="21" customHeight="1">
      <c r="A194" s="10" t="inlineStr">
        <is>
          <t>GYS-0190</t>
        </is>
      </c>
      <c r="B194" s="10" t="inlineStr">
        <is>
          <t>南通汽车用品供应链0190有限公司（演示）</t>
        </is>
      </c>
      <c r="C194" s="10" t="inlineStr">
        <is>
          <t>汽车用品</t>
        </is>
      </c>
      <c r="D194" s="10" t="inlineStr">
        <is>
          <t>车载香薰</t>
        </is>
      </c>
      <c r="E194" s="10" t="inlineStr">
        <is>
          <t>江苏南通</t>
        </is>
      </c>
      <c r="F194" s="10" t="inlineStr">
        <is>
          <t>中国制造网</t>
        </is>
      </c>
      <c r="G194" s="10" t="inlineStr">
        <is>
          <t>陈经理</t>
        </is>
      </c>
      <c r="H194" s="10" t="inlineStr">
        <is>
          <t>000-0000-0190</t>
        </is>
      </c>
      <c r="I194" s="10" t="inlineStr">
        <is>
          <t>DEMO_GYS_0190</t>
        </is>
      </c>
      <c r="J194" s="11" t="n">
        <v>3.8</v>
      </c>
      <c r="K194" s="11" t="n">
        <v>18.8</v>
      </c>
      <c r="L194" s="12" t="n">
        <v>100</v>
      </c>
      <c r="M194" s="10" t="inlineStr">
        <is>
          <t>是</t>
        </is>
      </c>
      <c r="N194" s="10" t="inlineStr">
        <is>
          <t>是</t>
        </is>
      </c>
      <c r="O194" s="10" t="inlineStr">
        <is>
          <t>supplier0190@example.com</t>
        </is>
      </c>
      <c r="P194" s="10" t="inlineStr">
        <is>
          <t>https://example.com/supplier/0190</t>
        </is>
      </c>
      <c r="Q194" s="10">
        <f>IF(R194&gt;=85,"A",IF(R194&gt;=70,"B","C"))</f>
        <v/>
      </c>
      <c r="R194" s="13">
        <f>MIN(100,50+IF(M194="是",10,0)+IF(N194="是",10,0)+IF(L194&lt;=100,10,IF(L194&lt;=300,5,0))+IF(J194&lt;=20,10,IF(J194&lt;=50,5,0))+IF(K194-J194&lt;=20,5,0)+IF(F194="企业官网",5,0))</f>
        <v/>
      </c>
      <c r="S194" s="10">
        <f>IF(Q194="A","价格与起订量有优势，建议优先询盘",IF(Q194="B","条件较均衡，可作为备选","起订量或价格需要进一步确认"))</f>
        <v/>
      </c>
      <c r="T194" s="10" t="inlineStr">
        <is>
          <t>未联系</t>
        </is>
      </c>
      <c r="U194" s="10" t="inlineStr">
        <is>
          <t>虚构演示数据</t>
        </is>
      </c>
    </row>
    <row r="195" ht="21" customHeight="1">
      <c r="A195" s="10" t="inlineStr">
        <is>
          <t>GYS-0191</t>
        </is>
      </c>
      <c r="B195" s="10" t="inlineStr">
        <is>
          <t>郑州美容工具供应链0191有限公司（演示）</t>
        </is>
      </c>
      <c r="C195" s="10" t="inlineStr">
        <is>
          <t>美容工具</t>
        </is>
      </c>
      <c r="D195" s="10" t="inlineStr">
        <is>
          <t>便携化妆镜</t>
        </is>
      </c>
      <c r="E195" s="10" t="inlineStr">
        <is>
          <t>河南郑州</t>
        </is>
      </c>
      <c r="F195" s="10" t="inlineStr">
        <is>
          <t>企业官网</t>
        </is>
      </c>
      <c r="G195" s="10" t="inlineStr">
        <is>
          <t>林经理</t>
        </is>
      </c>
      <c r="H195" s="10" t="inlineStr">
        <is>
          <t>000-0000-0191</t>
        </is>
      </c>
      <c r="I195" s="10" t="inlineStr">
        <is>
          <t>DEMO_GYS_0191</t>
        </is>
      </c>
      <c r="J195" s="11" t="n">
        <v>5.5</v>
      </c>
      <c r="K195" s="11" t="n">
        <v>21.6</v>
      </c>
      <c r="L195" s="12" t="n">
        <v>50</v>
      </c>
      <c r="M195" s="10" t="inlineStr">
        <is>
          <t>是</t>
        </is>
      </c>
      <c r="N195" s="10" t="inlineStr">
        <is>
          <t>是</t>
        </is>
      </c>
      <c r="O195" s="10" t="inlineStr">
        <is>
          <t>supplier0191@example.com</t>
        </is>
      </c>
      <c r="P195" s="10" t="inlineStr">
        <is>
          <t>https://example.com/supplier/0191</t>
        </is>
      </c>
      <c r="Q195" s="10">
        <f>IF(R195&gt;=85,"A",IF(R195&gt;=70,"B","C"))</f>
        <v/>
      </c>
      <c r="R195" s="13">
        <f>MIN(100,50+IF(M195="是",10,0)+IF(N195="是",10,0)+IF(L195&lt;=100,10,IF(L195&lt;=300,5,0))+IF(J195&lt;=20,10,IF(J195&lt;=50,5,0))+IF(K195-J195&lt;=20,5,0)+IF(F195="企业官网",5,0))</f>
        <v/>
      </c>
      <c r="S195" s="10">
        <f>IF(Q195="A","价格与起订量有优势，建议优先询盘",IF(Q195="B","条件较均衡，可作为备选","起订量或价格需要进一步确认"))</f>
        <v/>
      </c>
      <c r="T195" s="10" t="inlineStr">
        <is>
          <t>未联系</t>
        </is>
      </c>
      <c r="U195" s="10" t="inlineStr">
        <is>
          <t>虚构演示数据</t>
        </is>
      </c>
    </row>
    <row r="196" ht="21" customHeight="1">
      <c r="A196" s="10" t="inlineStr">
        <is>
          <t>GYS-0192</t>
        </is>
      </c>
      <c r="B196" s="10" t="inlineStr">
        <is>
          <t>宁波旅行用品供应链0192有限公司（演示）</t>
        </is>
      </c>
      <c r="C196" s="10" t="inlineStr">
        <is>
          <t>旅行用品</t>
        </is>
      </c>
      <c r="D196" s="10" t="inlineStr">
        <is>
          <t>压缩收纳袋</t>
        </is>
      </c>
      <c r="E196" s="10" t="inlineStr">
        <is>
          <t>浙江宁波</t>
        </is>
      </c>
      <c r="F196" s="10" t="inlineStr">
        <is>
          <t>义乌购</t>
        </is>
      </c>
      <c r="G196" s="10" t="inlineStr">
        <is>
          <t>王经理</t>
        </is>
      </c>
      <c r="H196" s="10" t="inlineStr">
        <is>
          <t>000-0000-0192</t>
        </is>
      </c>
      <c r="I196" s="10" t="inlineStr">
        <is>
          <t>DEMO_GYS_0192</t>
        </is>
      </c>
      <c r="J196" s="11" t="n">
        <v>7.2</v>
      </c>
      <c r="K196" s="11" t="n">
        <v>24.4</v>
      </c>
      <c r="L196" s="12" t="n">
        <v>20</v>
      </c>
      <c r="M196" s="10" t="inlineStr">
        <is>
          <t>否</t>
        </is>
      </c>
      <c r="N196" s="10" t="inlineStr">
        <is>
          <t>否</t>
        </is>
      </c>
      <c r="O196" s="10" t="inlineStr">
        <is>
          <t>supplier0192@example.com</t>
        </is>
      </c>
      <c r="P196" s="10" t="inlineStr">
        <is>
          <t>https://example.com/supplier/0192</t>
        </is>
      </c>
      <c r="Q196" s="10">
        <f>IF(R196&gt;=85,"A",IF(R196&gt;=70,"B","C"))</f>
        <v/>
      </c>
      <c r="R196" s="13">
        <f>MIN(100,50+IF(M196="是",10,0)+IF(N196="是",10,0)+IF(L196&lt;=100,10,IF(L196&lt;=300,5,0))+IF(J196&lt;=20,10,IF(J196&lt;=50,5,0))+IF(K196-J196&lt;=20,5,0)+IF(F196="企业官网",5,0))</f>
        <v/>
      </c>
      <c r="S196" s="10">
        <f>IF(Q196="A","价格与起订量有优势，建议优先询盘",IF(Q196="B","条件较均衡，可作为备选","起订量或价格需要进一步确认"))</f>
        <v/>
      </c>
      <c r="T196" s="10" t="inlineStr">
        <is>
          <t>未联系</t>
        </is>
      </c>
      <c r="U196" s="10" t="inlineStr">
        <is>
          <t>虚构演示数据</t>
        </is>
      </c>
    </row>
    <row r="197" ht="21" customHeight="1">
      <c r="A197" s="10" t="inlineStr">
        <is>
          <t>GYS-0193</t>
        </is>
      </c>
      <c r="B197" s="10" t="inlineStr">
        <is>
          <t>深圳清洁工具供应链0193有限公司（演示）</t>
        </is>
      </c>
      <c r="C197" s="10" t="inlineStr">
        <is>
          <t>清洁工具</t>
        </is>
      </c>
      <c r="D197" s="10" t="inlineStr">
        <is>
          <t>免手洗拖把</t>
        </is>
      </c>
      <c r="E197" s="10" t="inlineStr">
        <is>
          <t>广东深圳</t>
        </is>
      </c>
      <c r="F197" s="10" t="inlineStr">
        <is>
          <t>慧聪网</t>
        </is>
      </c>
      <c r="G197" s="10" t="inlineStr">
        <is>
          <t>李经理</t>
        </is>
      </c>
      <c r="H197" s="10" t="inlineStr">
        <is>
          <t>000-0000-0193</t>
        </is>
      </c>
      <c r="I197" s="10" t="inlineStr">
        <is>
          <t>DEMO_GYS_0193</t>
        </is>
      </c>
      <c r="J197" s="11" t="n">
        <v>8.9</v>
      </c>
      <c r="K197" s="11" t="n">
        <v>27.2</v>
      </c>
      <c r="L197" s="12" t="n">
        <v>500</v>
      </c>
      <c r="M197" s="10" t="inlineStr">
        <is>
          <t>是</t>
        </is>
      </c>
      <c r="N197" s="10" t="inlineStr">
        <is>
          <t>是</t>
        </is>
      </c>
      <c r="O197" s="10" t="inlineStr">
        <is>
          <t>supplier0193@example.com</t>
        </is>
      </c>
      <c r="P197" s="10" t="inlineStr">
        <is>
          <t>https://example.com/supplier/0193</t>
        </is>
      </c>
      <c r="Q197" s="10">
        <f>IF(R197&gt;=85,"A",IF(R197&gt;=70,"B","C"))</f>
        <v/>
      </c>
      <c r="R197" s="13">
        <f>MIN(100,50+IF(M197="是",10,0)+IF(N197="是",10,0)+IF(L197&lt;=100,10,IF(L197&lt;=300,5,0))+IF(J197&lt;=20,10,IF(J197&lt;=50,5,0))+IF(K197-J197&lt;=20,5,0)+IF(F197="企业官网",5,0))</f>
        <v/>
      </c>
      <c r="S197" s="10">
        <f>IF(Q197="A","价格与起订量有优势，建议优先询盘",IF(Q197="B","条件较均衡，可作为备选","起订量或价格需要进一步确认"))</f>
        <v/>
      </c>
      <c r="T197" s="10" t="inlineStr">
        <is>
          <t>未联系</t>
        </is>
      </c>
      <c r="U197" s="10" t="inlineStr">
        <is>
          <t>虚构演示数据</t>
        </is>
      </c>
    </row>
    <row r="198" ht="21" customHeight="1">
      <c r="A198" s="10" t="inlineStr">
        <is>
          <t>GYS-0194</t>
        </is>
      </c>
      <c r="B198" s="10" t="inlineStr">
        <is>
          <t>佛山小家电供应链0194有限公司（演示）</t>
        </is>
      </c>
      <c r="C198" s="10" t="inlineStr">
        <is>
          <t>小家电</t>
        </is>
      </c>
      <c r="D198" s="10" t="inlineStr">
        <is>
          <t>迷你加湿器</t>
        </is>
      </c>
      <c r="E198" s="10" t="inlineStr">
        <is>
          <t>广东佛山</t>
        </is>
      </c>
      <c r="F198" s="10" t="inlineStr">
        <is>
          <t>1688</t>
        </is>
      </c>
      <c r="G198" s="10" t="inlineStr">
        <is>
          <t>张经理</t>
        </is>
      </c>
      <c r="H198" s="10" t="inlineStr">
        <is>
          <t>000-0000-0194</t>
        </is>
      </c>
      <c r="I198" s="10" t="inlineStr">
        <is>
          <t>DEMO_GYS_0194</t>
        </is>
      </c>
      <c r="J198" s="11" t="n">
        <v>10.6</v>
      </c>
      <c r="K198" s="11" t="n">
        <v>30</v>
      </c>
      <c r="L198" s="12" t="n">
        <v>300</v>
      </c>
      <c r="M198" s="10" t="inlineStr">
        <is>
          <t>是</t>
        </is>
      </c>
      <c r="N198" s="10" t="inlineStr">
        <is>
          <t>是</t>
        </is>
      </c>
      <c r="O198" s="10" t="inlineStr">
        <is>
          <t>supplier0194@example.com</t>
        </is>
      </c>
      <c r="P198" s="10" t="inlineStr">
        <is>
          <t>https://example.com/supplier/0194</t>
        </is>
      </c>
      <c r="Q198" s="10">
        <f>IF(R198&gt;=85,"A",IF(R198&gt;=70,"B","C"))</f>
        <v/>
      </c>
      <c r="R198" s="13">
        <f>MIN(100,50+IF(M198="是",10,0)+IF(N198="是",10,0)+IF(L198&lt;=100,10,IF(L198&lt;=300,5,0))+IF(J198&lt;=20,10,IF(J198&lt;=50,5,0))+IF(K198-J198&lt;=20,5,0)+IF(F198="企业官网",5,0))</f>
        <v/>
      </c>
      <c r="S198" s="10">
        <f>IF(Q198="A","价格与起订量有优势，建议优先询盘",IF(Q198="B","条件较均衡，可作为备选","起订量或价格需要进一步确认"))</f>
        <v/>
      </c>
      <c r="T198" s="10" t="inlineStr">
        <is>
          <t>未联系</t>
        </is>
      </c>
      <c r="U198" s="10" t="inlineStr">
        <is>
          <t>虚构演示数据</t>
        </is>
      </c>
    </row>
    <row r="199" ht="21" customHeight="1">
      <c r="A199" s="10" t="inlineStr">
        <is>
          <t>GYS-0195</t>
        </is>
      </c>
      <c r="B199" s="10" t="inlineStr">
        <is>
          <t>苏州礼品包装供应链0195有限公司（演示）</t>
        </is>
      </c>
      <c r="C199" s="10" t="inlineStr">
        <is>
          <t>礼品包装</t>
        </is>
      </c>
      <c r="D199" s="10" t="inlineStr">
        <is>
          <t>节日礼盒</t>
        </is>
      </c>
      <c r="E199" s="10" t="inlineStr">
        <is>
          <t>江苏苏州</t>
        </is>
      </c>
      <c r="F199" s="10" t="inlineStr">
        <is>
          <t>中国制造网</t>
        </is>
      </c>
      <c r="G199" s="10" t="inlineStr">
        <is>
          <t>刘经理</t>
        </is>
      </c>
      <c r="H199" s="10" t="inlineStr">
        <is>
          <t>000-0000-0195</t>
        </is>
      </c>
      <c r="I199" s="10" t="inlineStr">
        <is>
          <t>DEMO_GYS_0195</t>
        </is>
      </c>
      <c r="J199" s="11" t="n">
        <v>12.3</v>
      </c>
      <c r="K199" s="11" t="n">
        <v>32.8</v>
      </c>
      <c r="L199" s="12" t="n">
        <v>200</v>
      </c>
      <c r="M199" s="10" t="inlineStr">
        <is>
          <t>是</t>
        </is>
      </c>
      <c r="N199" s="10" t="inlineStr">
        <is>
          <t>否</t>
        </is>
      </c>
      <c r="O199" s="10" t="inlineStr">
        <is>
          <t>supplier0195@example.com</t>
        </is>
      </c>
      <c r="P199" s="10" t="inlineStr">
        <is>
          <t>https://example.com/supplier/0195</t>
        </is>
      </c>
      <c r="Q199" s="10">
        <f>IF(R199&gt;=85,"A",IF(R199&gt;=70,"B","C"))</f>
        <v/>
      </c>
      <c r="R199" s="13">
        <f>MIN(100,50+IF(M199="是",10,0)+IF(N199="是",10,0)+IF(L199&lt;=100,10,IF(L199&lt;=300,5,0))+IF(J199&lt;=20,10,IF(J199&lt;=50,5,0))+IF(K199-J199&lt;=20,5,0)+IF(F199="企业官网",5,0))</f>
        <v/>
      </c>
      <c r="S199" s="10">
        <f>IF(Q199="A","价格与起订量有优势，建议优先询盘",IF(Q199="B","条件较均衡，可作为备选","起订量或价格需要进一步确认"))</f>
        <v/>
      </c>
      <c r="T199" s="10" t="inlineStr">
        <is>
          <t>未联系</t>
        </is>
      </c>
      <c r="U199" s="10" t="inlineStr">
        <is>
          <t>虚构演示数据</t>
        </is>
      </c>
    </row>
    <row r="200" ht="21" customHeight="1">
      <c r="A200" s="10" t="inlineStr">
        <is>
          <t>GYS-0196</t>
        </is>
      </c>
      <c r="B200" s="10" t="inlineStr">
        <is>
          <t>白沟五金工具供应链0196有限公司（演示）</t>
        </is>
      </c>
      <c r="C200" s="10" t="inlineStr">
        <is>
          <t>五金工具</t>
        </is>
      </c>
      <c r="D200" s="10" t="inlineStr">
        <is>
          <t>多功能螺丝刀</t>
        </is>
      </c>
      <c r="E200" s="10" t="inlineStr">
        <is>
          <t>河北白沟</t>
        </is>
      </c>
      <c r="F200" s="10" t="inlineStr">
        <is>
          <t>企业官网</t>
        </is>
      </c>
      <c r="G200" s="10" t="inlineStr">
        <is>
          <t>黄经理</t>
        </is>
      </c>
      <c r="H200" s="10" t="inlineStr">
        <is>
          <t>000-0000-0196</t>
        </is>
      </c>
      <c r="I200" s="10" t="inlineStr">
        <is>
          <t>DEMO_GYS_0196</t>
        </is>
      </c>
      <c r="J200" s="11" t="n">
        <v>14</v>
      </c>
      <c r="K200" s="11" t="n">
        <v>35.6</v>
      </c>
      <c r="L200" s="12" t="n">
        <v>100</v>
      </c>
      <c r="M200" s="10" t="inlineStr">
        <is>
          <t>否</t>
        </is>
      </c>
      <c r="N200" s="10" t="inlineStr">
        <is>
          <t>是</t>
        </is>
      </c>
      <c r="O200" s="10" t="inlineStr">
        <is>
          <t>supplier0196@example.com</t>
        </is>
      </c>
      <c r="P200" s="10" t="inlineStr">
        <is>
          <t>https://example.com/supplier/0196</t>
        </is>
      </c>
      <c r="Q200" s="10">
        <f>IF(R200&gt;=85,"A",IF(R200&gt;=70,"B","C"))</f>
        <v/>
      </c>
      <c r="R200" s="13">
        <f>MIN(100,50+IF(M200="是",10,0)+IF(N200="是",10,0)+IF(L200&lt;=100,10,IF(L200&lt;=300,5,0))+IF(J200&lt;=20,10,IF(J200&lt;=50,5,0))+IF(K200-J200&lt;=20,5,0)+IF(F200="企业官网",5,0))</f>
        <v/>
      </c>
      <c r="S200" s="10">
        <f>IF(Q200="A","价格与起订量有优势，建议优先询盘",IF(Q200="B","条件较均衡，可作为备选","起订量或价格需要进一步确认"))</f>
        <v/>
      </c>
      <c r="T200" s="10" t="inlineStr">
        <is>
          <t>未联系</t>
        </is>
      </c>
      <c r="U200" s="10" t="inlineStr">
        <is>
          <t>虚构演示数据</t>
        </is>
      </c>
    </row>
    <row r="201" ht="21" customHeight="1">
      <c r="A201" s="10" t="inlineStr">
        <is>
          <t>GYS-0197</t>
        </is>
      </c>
      <c r="B201" s="10" t="inlineStr">
        <is>
          <t>义乌鞋靴配件供应链0197有限公司（演示）</t>
        </is>
      </c>
      <c r="C201" s="10" t="inlineStr">
        <is>
          <t>鞋靴配件</t>
        </is>
      </c>
      <c r="D201" s="10" t="inlineStr">
        <is>
          <t>防磨脚贴</t>
        </is>
      </c>
      <c r="E201" s="10" t="inlineStr">
        <is>
          <t>浙江义乌</t>
        </is>
      </c>
      <c r="F201" s="10" t="inlineStr">
        <is>
          <t>义乌购</t>
        </is>
      </c>
      <c r="G201" s="10" t="inlineStr">
        <is>
          <t>赵经理</t>
        </is>
      </c>
      <c r="H201" s="10" t="inlineStr">
        <is>
          <t>000-0000-0197</t>
        </is>
      </c>
      <c r="I201" s="10" t="inlineStr">
        <is>
          <t>DEMO_GYS_0197</t>
        </is>
      </c>
      <c r="J201" s="11" t="n">
        <v>15.7</v>
      </c>
      <c r="K201" s="11" t="n">
        <v>20.4</v>
      </c>
      <c r="L201" s="12" t="n">
        <v>50</v>
      </c>
      <c r="M201" s="10" t="inlineStr">
        <is>
          <t>是</t>
        </is>
      </c>
      <c r="N201" s="10" t="inlineStr">
        <is>
          <t>是</t>
        </is>
      </c>
      <c r="O201" s="10" t="inlineStr">
        <is>
          <t>supplier0197@example.com</t>
        </is>
      </c>
      <c r="P201" s="10" t="inlineStr">
        <is>
          <t>https://example.com/supplier/0197</t>
        </is>
      </c>
      <c r="Q201" s="10">
        <f>IF(R201&gt;=85,"A",IF(R201&gt;=70,"B","C"))</f>
        <v/>
      </c>
      <c r="R201" s="13">
        <f>MIN(100,50+IF(M201="是",10,0)+IF(N201="是",10,0)+IF(L201&lt;=100,10,IF(L201&lt;=300,5,0))+IF(J201&lt;=20,10,IF(J201&lt;=50,5,0))+IF(K201-J201&lt;=20,5,0)+IF(F201="企业官网",5,0))</f>
        <v/>
      </c>
      <c r="S201" s="10">
        <f>IF(Q201="A","价格与起订量有优势，建议优先询盘",IF(Q201="B","条件较均衡，可作为备选","起订量或价格需要进一步确认"))</f>
        <v/>
      </c>
      <c r="T201" s="10" t="inlineStr">
        <is>
          <t>未联系</t>
        </is>
      </c>
      <c r="U201" s="10" t="inlineStr">
        <is>
          <t>虚构演示数据</t>
        </is>
      </c>
    </row>
    <row r="202" ht="21" customHeight="1">
      <c r="A202" s="10" t="inlineStr">
        <is>
          <t>GYS-0198</t>
        </is>
      </c>
      <c r="B202" s="10" t="inlineStr">
        <is>
          <t>台州食品包装供应链0198有限公司（演示）</t>
        </is>
      </c>
      <c r="C202" s="10" t="inlineStr">
        <is>
          <t>食品包装</t>
        </is>
      </c>
      <c r="D202" s="10" t="inlineStr">
        <is>
          <t>密封包装袋</t>
        </is>
      </c>
      <c r="E202" s="10" t="inlineStr">
        <is>
          <t>浙江台州</t>
        </is>
      </c>
      <c r="F202" s="10" t="inlineStr">
        <is>
          <t>慧聪网</t>
        </is>
      </c>
      <c r="G202" s="10" t="inlineStr">
        <is>
          <t>周经理</t>
        </is>
      </c>
      <c r="H202" s="10" t="inlineStr">
        <is>
          <t>000-0000-0198</t>
        </is>
      </c>
      <c r="I202" s="10" t="inlineStr">
        <is>
          <t>DEMO_GYS_0198</t>
        </is>
      </c>
      <c r="J202" s="11" t="n">
        <v>17.4</v>
      </c>
      <c r="K202" s="11" t="n">
        <v>23.2</v>
      </c>
      <c r="L202" s="12" t="n">
        <v>20</v>
      </c>
      <c r="M202" s="10" t="inlineStr">
        <is>
          <t>是</t>
        </is>
      </c>
      <c r="N202" s="10" t="inlineStr">
        <is>
          <t>否</t>
        </is>
      </c>
      <c r="O202" s="10" t="inlineStr">
        <is>
          <t>supplier0198@example.com</t>
        </is>
      </c>
      <c r="P202" s="10" t="inlineStr">
        <is>
          <t>https://example.com/supplier/0198</t>
        </is>
      </c>
      <c r="Q202" s="10">
        <f>IF(R202&gt;=85,"A",IF(R202&gt;=70,"B","C"))</f>
        <v/>
      </c>
      <c r="R202" s="13">
        <f>MIN(100,50+IF(M202="是",10,0)+IF(N202="是",10,0)+IF(L202&lt;=100,10,IF(L202&lt;=300,5,0))+IF(J202&lt;=20,10,IF(J202&lt;=50,5,0))+IF(K202-J202&lt;=20,5,0)+IF(F202="企业官网",5,0))</f>
        <v/>
      </c>
      <c r="S202" s="10">
        <f>IF(Q202="A","价格与起订量有优势，建议优先询盘",IF(Q202="B","条件较均衡，可作为备选","起订量或价格需要进一步确认"))</f>
        <v/>
      </c>
      <c r="T202" s="10" t="inlineStr">
        <is>
          <t>未联系</t>
        </is>
      </c>
      <c r="U202" s="10" t="inlineStr">
        <is>
          <t>虚构演示数据</t>
        </is>
      </c>
    </row>
    <row r="203" ht="21" customHeight="1">
      <c r="A203" s="10" t="inlineStr">
        <is>
          <t>GYS-0199</t>
        </is>
      </c>
      <c r="B203" s="10" t="inlineStr">
        <is>
          <t>东莞户外照明供应链0199有限公司（演示）</t>
        </is>
      </c>
      <c r="C203" s="10" t="inlineStr">
        <is>
          <t>户外照明</t>
        </is>
      </c>
      <c r="D203" s="10" t="inlineStr">
        <is>
          <t>便携露营灯</t>
        </is>
      </c>
      <c r="E203" s="10" t="inlineStr">
        <is>
          <t>广东东莞</t>
        </is>
      </c>
      <c r="F203" s="10" t="inlineStr">
        <is>
          <t>1688</t>
        </is>
      </c>
      <c r="G203" s="10" t="inlineStr">
        <is>
          <t>吴经理</t>
        </is>
      </c>
      <c r="H203" s="10" t="inlineStr">
        <is>
          <t>000-0000-0199</t>
        </is>
      </c>
      <c r="I203" s="10" t="inlineStr">
        <is>
          <t>DEMO_GYS_0199</t>
        </is>
      </c>
      <c r="J203" s="11" t="n">
        <v>19.1</v>
      </c>
      <c r="K203" s="11" t="n">
        <v>26</v>
      </c>
      <c r="L203" s="12" t="n">
        <v>500</v>
      </c>
      <c r="M203" s="10" t="inlineStr">
        <is>
          <t>是</t>
        </is>
      </c>
      <c r="N203" s="10" t="inlineStr">
        <is>
          <t>是</t>
        </is>
      </c>
      <c r="O203" s="10" t="inlineStr">
        <is>
          <t>supplier0199@example.com</t>
        </is>
      </c>
      <c r="P203" s="10" t="inlineStr">
        <is>
          <t>https://example.com/supplier/0199</t>
        </is>
      </c>
      <c r="Q203" s="10">
        <f>IF(R203&gt;=85,"A",IF(R203&gt;=70,"B","C"))</f>
        <v/>
      </c>
      <c r="R203" s="13">
        <f>MIN(100,50+IF(M203="是",10,0)+IF(N203="是",10,0)+IF(L203&lt;=100,10,IF(L203&lt;=300,5,0))+IF(J203&lt;=20,10,IF(J203&lt;=50,5,0))+IF(K203-J203&lt;=20,5,0)+IF(F203="企业官网",5,0))</f>
        <v/>
      </c>
      <c r="S203" s="10">
        <f>IF(Q203="A","价格与起订量有优势，建议优先询盘",IF(Q203="B","条件较均衡，可作为备选","起订量或价格需要进一步确认"))</f>
        <v/>
      </c>
      <c r="T203" s="10" t="inlineStr">
        <is>
          <t>未联系</t>
        </is>
      </c>
      <c r="U203" s="10" t="inlineStr">
        <is>
          <t>虚构演示数据</t>
        </is>
      </c>
    </row>
    <row r="204" ht="21" customHeight="1">
      <c r="A204" s="10" t="inlineStr">
        <is>
          <t>GYS-0200</t>
        </is>
      </c>
      <c r="B204" s="10" t="inlineStr">
        <is>
          <t>厦门健康用品供应链0200有限公司（演示）</t>
        </is>
      </c>
      <c r="C204" s="10" t="inlineStr">
        <is>
          <t>健康用品</t>
        </is>
      </c>
      <c r="D204" s="10" t="inlineStr">
        <is>
          <t>热敷眼罩</t>
        </is>
      </c>
      <c r="E204" s="10" t="inlineStr">
        <is>
          <t>福建厦门</t>
        </is>
      </c>
      <c r="F204" s="10" t="inlineStr">
        <is>
          <t>中国制造网</t>
        </is>
      </c>
      <c r="G204" s="10" t="inlineStr">
        <is>
          <t>陈经理</t>
        </is>
      </c>
      <c r="H204" s="10" t="inlineStr">
        <is>
          <t>000-0000-0200</t>
        </is>
      </c>
      <c r="I204" s="10" t="inlineStr">
        <is>
          <t>DEMO_GYS_0200</t>
        </is>
      </c>
      <c r="J204" s="11" t="n">
        <v>20.8</v>
      </c>
      <c r="K204" s="11" t="n">
        <v>28.8</v>
      </c>
      <c r="L204" s="12" t="n">
        <v>300</v>
      </c>
      <c r="M204" s="10" t="inlineStr">
        <is>
          <t>否</t>
        </is>
      </c>
      <c r="N204" s="10" t="inlineStr">
        <is>
          <t>是</t>
        </is>
      </c>
      <c r="O204" s="10" t="inlineStr">
        <is>
          <t>supplier0200@example.com</t>
        </is>
      </c>
      <c r="P204" s="10" t="inlineStr">
        <is>
          <t>https://example.com/supplier/0200</t>
        </is>
      </c>
      <c r="Q204" s="10">
        <f>IF(R204&gt;=85,"A",IF(R204&gt;=70,"B","C"))</f>
        <v/>
      </c>
      <c r="R204" s="13">
        <f>MIN(100,50+IF(M204="是",10,0)+IF(N204="是",10,0)+IF(L204&lt;=100,10,IF(L204&lt;=300,5,0))+IF(J204&lt;=20,10,IF(J204&lt;=50,5,0))+IF(K204-J204&lt;=20,5,0)+IF(F204="企业官网",5,0))</f>
        <v/>
      </c>
      <c r="S204" s="10">
        <f>IF(Q204="A","价格与起订量有优势，建议优先询盘",IF(Q204="B","条件较均衡，可作为备选","起订量或价格需要进一步确认"))</f>
        <v/>
      </c>
      <c r="T204" s="10" t="inlineStr">
        <is>
          <t>未联系</t>
        </is>
      </c>
      <c r="U204" s="10" t="inlineStr">
        <is>
          <t>虚构演示数据</t>
        </is>
      </c>
    </row>
    <row r="205" ht="21" customHeight="1">
      <c r="A205" s="10" t="inlineStr">
        <is>
          <t>GYS-0201</t>
        </is>
      </c>
      <c r="B205" s="10" t="inlineStr">
        <is>
          <t>临沂服饰内衣供应链0201有限公司（演示）</t>
        </is>
      </c>
      <c r="C205" s="10" t="inlineStr">
        <is>
          <t>服饰内衣</t>
        </is>
      </c>
      <c r="D205" s="10" t="inlineStr">
        <is>
          <t>防滑袜</t>
        </is>
      </c>
      <c r="E205" s="10" t="inlineStr">
        <is>
          <t>山东临沂</t>
        </is>
      </c>
      <c r="F205" s="10" t="inlineStr">
        <is>
          <t>企业官网</t>
        </is>
      </c>
      <c r="G205" s="10" t="inlineStr">
        <is>
          <t>林经理</t>
        </is>
      </c>
      <c r="H205" s="10" t="inlineStr">
        <is>
          <t>000-0000-0201</t>
        </is>
      </c>
      <c r="I205" s="10" t="inlineStr">
        <is>
          <t>DEMO_GYS_0201</t>
        </is>
      </c>
      <c r="J205" s="11" t="n">
        <v>22.5</v>
      </c>
      <c r="K205" s="11" t="n">
        <v>31.6</v>
      </c>
      <c r="L205" s="12" t="n">
        <v>200</v>
      </c>
      <c r="M205" s="10" t="inlineStr">
        <is>
          <t>是</t>
        </is>
      </c>
      <c r="N205" s="10" t="inlineStr">
        <is>
          <t>否</t>
        </is>
      </c>
      <c r="O205" s="10" t="inlineStr">
        <is>
          <t>supplier0201@example.com</t>
        </is>
      </c>
      <c r="P205" s="10" t="inlineStr">
        <is>
          <t>https://example.com/supplier/0201</t>
        </is>
      </c>
      <c r="Q205" s="10">
        <f>IF(R205&gt;=85,"A",IF(R205&gt;=70,"B","C"))</f>
        <v/>
      </c>
      <c r="R205" s="13">
        <f>MIN(100,50+IF(M205="是",10,0)+IF(N205="是",10,0)+IF(L205&lt;=100,10,IF(L205&lt;=300,5,0))+IF(J205&lt;=20,10,IF(J205&lt;=50,5,0))+IF(K205-J205&lt;=20,5,0)+IF(F205="企业官网",5,0))</f>
        <v/>
      </c>
      <c r="S205" s="10">
        <f>IF(Q205="A","价格与起订量有优势，建议优先询盘",IF(Q205="B","条件较均衡，可作为备选","起订量或价格需要进一步确认"))</f>
        <v/>
      </c>
      <c r="T205" s="10" t="inlineStr">
        <is>
          <t>未联系</t>
        </is>
      </c>
      <c r="U205" s="10" t="inlineStr">
        <is>
          <t>虚构演示数据</t>
        </is>
      </c>
    </row>
    <row r="206" ht="21" customHeight="1">
      <c r="A206" s="10" t="inlineStr">
        <is>
          <t>GYS-0202</t>
        </is>
      </c>
      <c r="B206" s="10" t="inlineStr">
        <is>
          <t>南昌家居日用供应链0202有限公司（演示）</t>
        </is>
      </c>
      <c r="C206" s="10" t="inlineStr">
        <is>
          <t>家居日用</t>
        </is>
      </c>
      <c r="D206" s="10" t="inlineStr">
        <is>
          <t>折叠收纳箱</t>
        </is>
      </c>
      <c r="E206" s="10" t="inlineStr">
        <is>
          <t>江西南昌</t>
        </is>
      </c>
      <c r="F206" s="10" t="inlineStr">
        <is>
          <t>义乌购</t>
        </is>
      </c>
      <c r="G206" s="10" t="inlineStr">
        <is>
          <t>王经理</t>
        </is>
      </c>
      <c r="H206" s="10" t="inlineStr">
        <is>
          <t>000-0000-0202</t>
        </is>
      </c>
      <c r="I206" s="10" t="inlineStr">
        <is>
          <t>DEMO_GYS_0202</t>
        </is>
      </c>
      <c r="J206" s="11" t="n">
        <v>24.2</v>
      </c>
      <c r="K206" s="11" t="n">
        <v>34.4</v>
      </c>
      <c r="L206" s="12" t="n">
        <v>100</v>
      </c>
      <c r="M206" s="10" t="inlineStr">
        <is>
          <t>是</t>
        </is>
      </c>
      <c r="N206" s="10" t="inlineStr">
        <is>
          <t>是</t>
        </is>
      </c>
      <c r="O206" s="10" t="inlineStr">
        <is>
          <t>supplier0202@example.com</t>
        </is>
      </c>
      <c r="P206" s="10" t="inlineStr">
        <is>
          <t>https://example.com/supplier/0202</t>
        </is>
      </c>
      <c r="Q206" s="10">
        <f>IF(R206&gt;=85,"A",IF(R206&gt;=70,"B","C"))</f>
        <v/>
      </c>
      <c r="R206" s="13">
        <f>MIN(100,50+IF(M206="是",10,0)+IF(N206="是",10,0)+IF(L206&lt;=100,10,IF(L206&lt;=300,5,0))+IF(J206&lt;=20,10,IF(J206&lt;=50,5,0))+IF(K206-J206&lt;=20,5,0)+IF(F206="企业官网",5,0))</f>
        <v/>
      </c>
      <c r="S206" s="10">
        <f>IF(Q206="A","价格与起订量有优势，建议优先询盘",IF(Q206="B","条件较均衡，可作为备选","起订量或价格需要进一步确认"))</f>
        <v/>
      </c>
      <c r="T206" s="10" t="inlineStr">
        <is>
          <t>未联系</t>
        </is>
      </c>
      <c r="U206" s="10" t="inlineStr">
        <is>
          <t>虚构演示数据</t>
        </is>
      </c>
    </row>
    <row r="207" ht="21" customHeight="1">
      <c r="A207" s="10" t="inlineStr">
        <is>
          <t>GYS-0203</t>
        </is>
      </c>
      <c r="B207" s="10" t="inlineStr">
        <is>
          <t>温州个护清洁供应链0203有限公司（演示）</t>
        </is>
      </c>
      <c r="C207" s="10" t="inlineStr">
        <is>
          <t>个护清洁</t>
        </is>
      </c>
      <c r="D207" s="10" t="inlineStr">
        <is>
          <t>便携洗脸巾</t>
        </is>
      </c>
      <c r="E207" s="10" t="inlineStr">
        <is>
          <t>浙江温州</t>
        </is>
      </c>
      <c r="F207" s="10" t="inlineStr">
        <is>
          <t>慧聪网</t>
        </is>
      </c>
      <c r="G207" s="10" t="inlineStr">
        <is>
          <t>李经理</t>
        </is>
      </c>
      <c r="H207" s="10" t="inlineStr">
        <is>
          <t>000-0000-0203</t>
        </is>
      </c>
      <c r="I207" s="10" t="inlineStr">
        <is>
          <t>DEMO_GYS_0203</t>
        </is>
      </c>
      <c r="J207" s="11" t="n">
        <v>25.9</v>
      </c>
      <c r="K207" s="11" t="n">
        <v>37.2</v>
      </c>
      <c r="L207" s="12" t="n">
        <v>50</v>
      </c>
      <c r="M207" s="10" t="inlineStr">
        <is>
          <t>是</t>
        </is>
      </c>
      <c r="N207" s="10" t="inlineStr">
        <is>
          <t>是</t>
        </is>
      </c>
      <c r="O207" s="10" t="inlineStr">
        <is>
          <t>supplier0203@example.com</t>
        </is>
      </c>
      <c r="P207" s="10" t="inlineStr">
        <is>
          <t>https://example.com/supplier/0203</t>
        </is>
      </c>
      <c r="Q207" s="10">
        <f>IF(R207&gt;=85,"A",IF(R207&gt;=70,"B","C"))</f>
        <v/>
      </c>
      <c r="R207" s="13">
        <f>MIN(100,50+IF(M207="是",10,0)+IF(N207="是",10,0)+IF(L207&lt;=100,10,IF(L207&lt;=300,5,0))+IF(J207&lt;=20,10,IF(J207&lt;=50,5,0))+IF(K207-J207&lt;=20,5,0)+IF(F207="企业官网",5,0))</f>
        <v/>
      </c>
      <c r="S207" s="10">
        <f>IF(Q207="A","价格与起订量有优势，建议优先询盘",IF(Q207="B","条件较均衡，可作为备选","起订量或价格需要进一步确认"))</f>
        <v/>
      </c>
      <c r="T207" s="10" t="inlineStr">
        <is>
          <t>未联系</t>
        </is>
      </c>
      <c r="U207" s="10" t="inlineStr">
        <is>
          <t>虚构演示数据</t>
        </is>
      </c>
    </row>
    <row r="208" ht="21" customHeight="1">
      <c r="A208" s="10" t="inlineStr">
        <is>
          <t>GYS-0204</t>
        </is>
      </c>
      <c r="B208" s="10" t="inlineStr">
        <is>
          <t>广州厨房用品供应链0204有限公司（演示）</t>
        </is>
      </c>
      <c r="C208" s="10" t="inlineStr">
        <is>
          <t>厨房用品</t>
        </is>
      </c>
      <c r="D208" s="10" t="inlineStr">
        <is>
          <t>硅胶保鲜盒</t>
        </is>
      </c>
      <c r="E208" s="10" t="inlineStr">
        <is>
          <t>广东广州</t>
        </is>
      </c>
      <c r="F208" s="10" t="inlineStr">
        <is>
          <t>1688</t>
        </is>
      </c>
      <c r="G208" s="10" t="inlineStr">
        <is>
          <t>张经理</t>
        </is>
      </c>
      <c r="H208" s="10" t="inlineStr">
        <is>
          <t>000-0000-0204</t>
        </is>
      </c>
      <c r="I208" s="10" t="inlineStr">
        <is>
          <t>DEMO_GYS_0204</t>
        </is>
      </c>
      <c r="J208" s="11" t="n">
        <v>27.6</v>
      </c>
      <c r="K208" s="11" t="n">
        <v>40</v>
      </c>
      <c r="L208" s="12" t="n">
        <v>20</v>
      </c>
      <c r="M208" s="10" t="inlineStr">
        <is>
          <t>否</t>
        </is>
      </c>
      <c r="N208" s="10" t="inlineStr">
        <is>
          <t>否</t>
        </is>
      </c>
      <c r="O208" s="10" t="inlineStr">
        <is>
          <t>supplier0204@example.com</t>
        </is>
      </c>
      <c r="P208" s="10" t="inlineStr">
        <is>
          <t>https://example.com/supplier/0204</t>
        </is>
      </c>
      <c r="Q208" s="10">
        <f>IF(R208&gt;=85,"A",IF(R208&gt;=70,"B","C"))</f>
        <v/>
      </c>
      <c r="R208" s="13">
        <f>MIN(100,50+IF(M208="是",10,0)+IF(N208="是",10,0)+IF(L208&lt;=100,10,IF(L208&lt;=300,5,0))+IF(J208&lt;=20,10,IF(J208&lt;=50,5,0))+IF(K208-J208&lt;=20,5,0)+IF(F208="企业官网",5,0))</f>
        <v/>
      </c>
      <c r="S208" s="10">
        <f>IF(Q208="A","价格与起订量有优势，建议优先询盘",IF(Q208="B","条件较均衡，可作为备选","起订量或价格需要进一步确认"))</f>
        <v/>
      </c>
      <c r="T208" s="10" t="inlineStr">
        <is>
          <t>未联系</t>
        </is>
      </c>
      <c r="U208" s="10" t="inlineStr">
        <is>
          <t>虚构演示数据</t>
        </is>
      </c>
    </row>
    <row r="209" ht="21" customHeight="1">
      <c r="A209" s="10" t="inlineStr">
        <is>
          <t>GYS-0205</t>
        </is>
      </c>
      <c r="B209" s="10" t="inlineStr">
        <is>
          <t>泉州数码配件供应链0205有限公司（演示）</t>
        </is>
      </c>
      <c r="C209" s="10" t="inlineStr">
        <is>
          <t>数码配件</t>
        </is>
      </c>
      <c r="D209" s="10" t="inlineStr">
        <is>
          <t>磁吸手机支架</t>
        </is>
      </c>
      <c r="E209" s="10" t="inlineStr">
        <is>
          <t>福建泉州</t>
        </is>
      </c>
      <c r="F209" s="10" t="inlineStr">
        <is>
          <t>中国制造网</t>
        </is>
      </c>
      <c r="G209" s="10" t="inlineStr">
        <is>
          <t>刘经理</t>
        </is>
      </c>
      <c r="H209" s="10" t="inlineStr">
        <is>
          <t>000-0000-0205</t>
        </is>
      </c>
      <c r="I209" s="10" t="inlineStr">
        <is>
          <t>DEMO_GYS_0205</t>
        </is>
      </c>
      <c r="J209" s="11" t="n">
        <v>29.3</v>
      </c>
      <c r="K209" s="11" t="n">
        <v>42.8</v>
      </c>
      <c r="L209" s="12" t="n">
        <v>500</v>
      </c>
      <c r="M209" s="10" t="inlineStr">
        <is>
          <t>是</t>
        </is>
      </c>
      <c r="N209" s="10" t="inlineStr">
        <is>
          <t>是</t>
        </is>
      </c>
      <c r="O209" s="10" t="inlineStr">
        <is>
          <t>supplier0205@example.com</t>
        </is>
      </c>
      <c r="P209" s="10" t="inlineStr">
        <is>
          <t>https://example.com/supplier/0205</t>
        </is>
      </c>
      <c r="Q209" s="10">
        <f>IF(R209&gt;=85,"A",IF(R209&gt;=70,"B","C"))</f>
        <v/>
      </c>
      <c r="R209" s="13">
        <f>MIN(100,50+IF(M209="是",10,0)+IF(N209="是",10,0)+IF(L209&lt;=100,10,IF(L209&lt;=300,5,0))+IF(J209&lt;=20,10,IF(J209&lt;=50,5,0))+IF(K209-J209&lt;=20,5,0)+IF(F209="企业官网",5,0))</f>
        <v/>
      </c>
      <c r="S209" s="10">
        <f>IF(Q209="A","价格与起订量有优势，建议优先询盘",IF(Q209="B","条件较均衡，可作为备选","起订量或价格需要进一步确认"))</f>
        <v/>
      </c>
      <c r="T209" s="10" t="inlineStr">
        <is>
          <t>未联系</t>
        </is>
      </c>
      <c r="U209" s="10" t="inlineStr">
        <is>
          <t>虚构演示数据</t>
        </is>
      </c>
    </row>
    <row r="210" ht="21" customHeight="1">
      <c r="A210" s="10" t="inlineStr">
        <is>
          <t>GYS-0206</t>
        </is>
      </c>
      <c r="B210" s="10" t="inlineStr">
        <is>
          <t>南通宠物用品供应链0206有限公司（演示）</t>
        </is>
      </c>
      <c r="C210" s="10" t="inlineStr">
        <is>
          <t>宠物用品</t>
        </is>
      </c>
      <c r="D210" s="10" t="inlineStr">
        <is>
          <t>宠物清洁手套</t>
        </is>
      </c>
      <c r="E210" s="10" t="inlineStr">
        <is>
          <t>江苏南通</t>
        </is>
      </c>
      <c r="F210" s="10" t="inlineStr">
        <is>
          <t>企业官网</t>
        </is>
      </c>
      <c r="G210" s="10" t="inlineStr">
        <is>
          <t>黄经理</t>
        </is>
      </c>
      <c r="H210" s="10" t="inlineStr">
        <is>
          <t>000-0000-0206</t>
        </is>
      </c>
      <c r="I210" s="10" t="inlineStr">
        <is>
          <t>DEMO_GYS_0206</t>
        </is>
      </c>
      <c r="J210" s="11" t="n">
        <v>31</v>
      </c>
      <c r="K210" s="11" t="n">
        <v>45.6</v>
      </c>
      <c r="L210" s="12" t="n">
        <v>300</v>
      </c>
      <c r="M210" s="10" t="inlineStr">
        <is>
          <t>是</t>
        </is>
      </c>
      <c r="N210" s="10" t="inlineStr">
        <is>
          <t>是</t>
        </is>
      </c>
      <c r="O210" s="10" t="inlineStr">
        <is>
          <t>supplier0206@example.com</t>
        </is>
      </c>
      <c r="P210" s="10" t="inlineStr">
        <is>
          <t>https://example.com/supplier/0206</t>
        </is>
      </c>
      <c r="Q210" s="10">
        <f>IF(R210&gt;=85,"A",IF(R210&gt;=70,"B","C"))</f>
        <v/>
      </c>
      <c r="R210" s="13">
        <f>MIN(100,50+IF(M210="是",10,0)+IF(N210="是",10,0)+IF(L210&lt;=100,10,IF(L210&lt;=300,5,0))+IF(J210&lt;=20,10,IF(J210&lt;=50,5,0))+IF(K210-J210&lt;=20,5,0)+IF(F210="企业官网",5,0))</f>
        <v/>
      </c>
      <c r="S210" s="10">
        <f>IF(Q210="A","价格与起订量有优势，建议优先询盘",IF(Q210="B","条件较均衡，可作为备选","起订量或价格需要进一步确认"))</f>
        <v/>
      </c>
      <c r="T210" s="10" t="inlineStr">
        <is>
          <t>未联系</t>
        </is>
      </c>
      <c r="U210" s="10" t="inlineStr">
        <is>
          <t>虚构演示数据</t>
        </is>
      </c>
    </row>
    <row r="211" ht="21" customHeight="1">
      <c r="A211" s="10" t="inlineStr">
        <is>
          <t>GYS-0207</t>
        </is>
      </c>
      <c r="B211" s="10" t="inlineStr">
        <is>
          <t>郑州母婴用品供应链0207有限公司（演示）</t>
        </is>
      </c>
      <c r="C211" s="10" t="inlineStr">
        <is>
          <t>母婴用品</t>
        </is>
      </c>
      <c r="D211" s="10" t="inlineStr">
        <is>
          <t>婴儿防撞条</t>
        </is>
      </c>
      <c r="E211" s="10" t="inlineStr">
        <is>
          <t>河南郑州</t>
        </is>
      </c>
      <c r="F211" s="10" t="inlineStr">
        <is>
          <t>义乌购</t>
        </is>
      </c>
      <c r="G211" s="10" t="inlineStr">
        <is>
          <t>赵经理</t>
        </is>
      </c>
      <c r="H211" s="10" t="inlineStr">
        <is>
          <t>000-0000-0207</t>
        </is>
      </c>
      <c r="I211" s="10" t="inlineStr">
        <is>
          <t>DEMO_GYS_0207</t>
        </is>
      </c>
      <c r="J211" s="11" t="n">
        <v>32.7</v>
      </c>
      <c r="K211" s="11" t="n">
        <v>48.4</v>
      </c>
      <c r="L211" s="12" t="n">
        <v>200</v>
      </c>
      <c r="M211" s="10" t="inlineStr">
        <is>
          <t>是</t>
        </is>
      </c>
      <c r="N211" s="10" t="inlineStr">
        <is>
          <t>否</t>
        </is>
      </c>
      <c r="O211" s="10" t="inlineStr">
        <is>
          <t>supplier0207@example.com</t>
        </is>
      </c>
      <c r="P211" s="10" t="inlineStr">
        <is>
          <t>https://example.com/supplier/0207</t>
        </is>
      </c>
      <c r="Q211" s="10">
        <f>IF(R211&gt;=85,"A",IF(R211&gt;=70,"B","C"))</f>
        <v/>
      </c>
      <c r="R211" s="13">
        <f>MIN(100,50+IF(M211="是",10,0)+IF(N211="是",10,0)+IF(L211&lt;=100,10,IF(L211&lt;=300,5,0))+IF(J211&lt;=20,10,IF(J211&lt;=50,5,0))+IF(K211-J211&lt;=20,5,0)+IF(F211="企业官网",5,0))</f>
        <v/>
      </c>
      <c r="S211" s="10">
        <f>IF(Q211="A","价格与起订量有优势，建议优先询盘",IF(Q211="B","条件较均衡，可作为备选","起订量或价格需要进一步确认"))</f>
        <v/>
      </c>
      <c r="T211" s="10" t="inlineStr">
        <is>
          <t>未联系</t>
        </is>
      </c>
      <c r="U211" s="10" t="inlineStr">
        <is>
          <t>虚构演示数据</t>
        </is>
      </c>
    </row>
    <row r="212" ht="21" customHeight="1">
      <c r="A212" s="10" t="inlineStr">
        <is>
          <t>GYS-0208</t>
        </is>
      </c>
      <c r="B212" s="10" t="inlineStr">
        <is>
          <t>宁波运动户外供应链0208有限公司（演示）</t>
        </is>
      </c>
      <c r="C212" s="10" t="inlineStr">
        <is>
          <t>运动户外</t>
        </is>
      </c>
      <c r="D212" s="10" t="inlineStr">
        <is>
          <t>弹力训练带</t>
        </is>
      </c>
      <c r="E212" s="10" t="inlineStr">
        <is>
          <t>浙江宁波</t>
        </is>
      </c>
      <c r="F212" s="10" t="inlineStr">
        <is>
          <t>慧聪网</t>
        </is>
      </c>
      <c r="G212" s="10" t="inlineStr">
        <is>
          <t>周经理</t>
        </is>
      </c>
      <c r="H212" s="10" t="inlineStr">
        <is>
          <t>000-0000-0208</t>
        </is>
      </c>
      <c r="I212" s="10" t="inlineStr">
        <is>
          <t>DEMO_GYS_0208</t>
        </is>
      </c>
      <c r="J212" s="11" t="n">
        <v>34.4</v>
      </c>
      <c r="K212" s="11" t="n">
        <v>51.2</v>
      </c>
      <c r="L212" s="12" t="n">
        <v>100</v>
      </c>
      <c r="M212" s="10" t="inlineStr">
        <is>
          <t>否</t>
        </is>
      </c>
      <c r="N212" s="10" t="inlineStr">
        <is>
          <t>是</t>
        </is>
      </c>
      <c r="O212" s="10" t="inlineStr">
        <is>
          <t>supplier0208@example.com</t>
        </is>
      </c>
      <c r="P212" s="10" t="inlineStr">
        <is>
          <t>https://example.com/supplier/0208</t>
        </is>
      </c>
      <c r="Q212" s="10">
        <f>IF(R212&gt;=85,"A",IF(R212&gt;=70,"B","C"))</f>
        <v/>
      </c>
      <c r="R212" s="13">
        <f>MIN(100,50+IF(M212="是",10,0)+IF(N212="是",10,0)+IF(L212&lt;=100,10,IF(L212&lt;=300,5,0))+IF(J212&lt;=20,10,IF(J212&lt;=50,5,0))+IF(K212-J212&lt;=20,5,0)+IF(F212="企业官网",5,0))</f>
        <v/>
      </c>
      <c r="S212" s="10">
        <f>IF(Q212="A","价格与起订量有优势，建议优先询盘",IF(Q212="B","条件较均衡，可作为备选","起订量或价格需要进一步确认"))</f>
        <v/>
      </c>
      <c r="T212" s="10" t="inlineStr">
        <is>
          <t>未联系</t>
        </is>
      </c>
      <c r="U212" s="10" t="inlineStr">
        <is>
          <t>虚构演示数据</t>
        </is>
      </c>
    </row>
    <row r="213" ht="21" customHeight="1">
      <c r="A213" s="10" t="inlineStr">
        <is>
          <t>GYS-0209</t>
        </is>
      </c>
      <c r="B213" s="10" t="inlineStr">
        <is>
          <t>深圳办公文具供应链0209有限公司（演示）</t>
        </is>
      </c>
      <c r="C213" s="10" t="inlineStr">
        <is>
          <t>办公文具</t>
        </is>
      </c>
      <c r="D213" s="10" t="inlineStr">
        <is>
          <t>桌面收纳架</t>
        </is>
      </c>
      <c r="E213" s="10" t="inlineStr">
        <is>
          <t>广东深圳</t>
        </is>
      </c>
      <c r="F213" s="10" t="inlineStr">
        <is>
          <t>1688</t>
        </is>
      </c>
      <c r="G213" s="10" t="inlineStr">
        <is>
          <t>吴经理</t>
        </is>
      </c>
      <c r="H213" s="10" t="inlineStr">
        <is>
          <t>000-0000-0209</t>
        </is>
      </c>
      <c r="I213" s="10" t="inlineStr">
        <is>
          <t>DEMO_GYS_0209</t>
        </is>
      </c>
      <c r="J213" s="11" t="n">
        <v>36.1</v>
      </c>
      <c r="K213" s="11" t="n">
        <v>54</v>
      </c>
      <c r="L213" s="12" t="n">
        <v>50</v>
      </c>
      <c r="M213" s="10" t="inlineStr">
        <is>
          <t>是</t>
        </is>
      </c>
      <c r="N213" s="10" t="inlineStr">
        <is>
          <t>是</t>
        </is>
      </c>
      <c r="O213" s="10" t="inlineStr">
        <is>
          <t>supplier0209@example.com</t>
        </is>
      </c>
      <c r="P213" s="10" t="inlineStr">
        <is>
          <t>https://example.com/supplier/0209</t>
        </is>
      </c>
      <c r="Q213" s="10">
        <f>IF(R213&gt;=85,"A",IF(R213&gt;=70,"B","C"))</f>
        <v/>
      </c>
      <c r="R213" s="13">
        <f>MIN(100,50+IF(M213="是",10,0)+IF(N213="是",10,0)+IF(L213&lt;=100,10,IF(L213&lt;=300,5,0))+IF(J213&lt;=20,10,IF(J213&lt;=50,5,0))+IF(K213-J213&lt;=20,5,0)+IF(F213="企业官网",5,0))</f>
        <v/>
      </c>
      <c r="S213" s="10">
        <f>IF(Q213="A","价格与起订量有优势，建议优先询盘",IF(Q213="B","条件较均衡，可作为备选","起订量或价格需要进一步确认"))</f>
        <v/>
      </c>
      <c r="T213" s="10" t="inlineStr">
        <is>
          <t>未联系</t>
        </is>
      </c>
      <c r="U213" s="10" t="inlineStr">
        <is>
          <t>虚构演示数据</t>
        </is>
      </c>
    </row>
    <row r="214" ht="21" customHeight="1">
      <c r="A214" s="10" t="inlineStr">
        <is>
          <t>GYS-0210</t>
        </is>
      </c>
      <c r="B214" s="10" t="inlineStr">
        <is>
          <t>佛山汽车用品供应链0210有限公司（演示）</t>
        </is>
      </c>
      <c r="C214" s="10" t="inlineStr">
        <is>
          <t>汽车用品</t>
        </is>
      </c>
      <c r="D214" s="10" t="inlineStr">
        <is>
          <t>车载香薰</t>
        </is>
      </c>
      <c r="E214" s="10" t="inlineStr">
        <is>
          <t>广东佛山</t>
        </is>
      </c>
      <c r="F214" s="10" t="inlineStr">
        <is>
          <t>中国制造网</t>
        </is>
      </c>
      <c r="G214" s="10" t="inlineStr">
        <is>
          <t>陈经理</t>
        </is>
      </c>
      <c r="H214" s="10" t="inlineStr">
        <is>
          <t>000-0000-0210</t>
        </is>
      </c>
      <c r="I214" s="10" t="inlineStr">
        <is>
          <t>DEMO_GYS_0210</t>
        </is>
      </c>
      <c r="J214" s="11" t="n">
        <v>37.8</v>
      </c>
      <c r="K214" s="11" t="n">
        <v>56.8</v>
      </c>
      <c r="L214" s="12" t="n">
        <v>20</v>
      </c>
      <c r="M214" s="10" t="inlineStr">
        <is>
          <t>是</t>
        </is>
      </c>
      <c r="N214" s="10" t="inlineStr">
        <is>
          <t>否</t>
        </is>
      </c>
      <c r="O214" s="10" t="inlineStr">
        <is>
          <t>supplier0210@example.com</t>
        </is>
      </c>
      <c r="P214" s="10" t="inlineStr">
        <is>
          <t>https://example.com/supplier/0210</t>
        </is>
      </c>
      <c r="Q214" s="10">
        <f>IF(R214&gt;=85,"A",IF(R214&gt;=70,"B","C"))</f>
        <v/>
      </c>
      <c r="R214" s="13">
        <f>MIN(100,50+IF(M214="是",10,0)+IF(N214="是",10,0)+IF(L214&lt;=100,10,IF(L214&lt;=300,5,0))+IF(J214&lt;=20,10,IF(J214&lt;=50,5,0))+IF(K214-J214&lt;=20,5,0)+IF(F214="企业官网",5,0))</f>
        <v/>
      </c>
      <c r="S214" s="10">
        <f>IF(Q214="A","价格与起订量有优势，建议优先询盘",IF(Q214="B","条件较均衡，可作为备选","起订量或价格需要进一步确认"))</f>
        <v/>
      </c>
      <c r="T214" s="10" t="inlineStr">
        <is>
          <t>未联系</t>
        </is>
      </c>
      <c r="U214" s="10" t="inlineStr">
        <is>
          <t>虚构演示数据</t>
        </is>
      </c>
    </row>
    <row r="215" ht="21" customHeight="1">
      <c r="A215" s="10" t="inlineStr">
        <is>
          <t>GYS-0211</t>
        </is>
      </c>
      <c r="B215" s="10" t="inlineStr">
        <is>
          <t>苏州美容工具供应链0211有限公司（演示）</t>
        </is>
      </c>
      <c r="C215" s="10" t="inlineStr">
        <is>
          <t>美容工具</t>
        </is>
      </c>
      <c r="D215" s="10" t="inlineStr">
        <is>
          <t>便携化妆镜</t>
        </is>
      </c>
      <c r="E215" s="10" t="inlineStr">
        <is>
          <t>江苏苏州</t>
        </is>
      </c>
      <c r="F215" s="10" t="inlineStr">
        <is>
          <t>企业官网</t>
        </is>
      </c>
      <c r="G215" s="10" t="inlineStr">
        <is>
          <t>林经理</t>
        </is>
      </c>
      <c r="H215" s="10" t="inlineStr">
        <is>
          <t>000-0000-0211</t>
        </is>
      </c>
      <c r="I215" s="10" t="inlineStr">
        <is>
          <t>DEMO_GYS_0211</t>
        </is>
      </c>
      <c r="J215" s="11" t="n">
        <v>39.5</v>
      </c>
      <c r="K215" s="11" t="n">
        <v>59.6</v>
      </c>
      <c r="L215" s="12" t="n">
        <v>500</v>
      </c>
      <c r="M215" s="10" t="inlineStr">
        <is>
          <t>是</t>
        </is>
      </c>
      <c r="N215" s="10" t="inlineStr">
        <is>
          <t>是</t>
        </is>
      </c>
      <c r="O215" s="10" t="inlineStr">
        <is>
          <t>supplier0211@example.com</t>
        </is>
      </c>
      <c r="P215" s="10" t="inlineStr">
        <is>
          <t>https://example.com/supplier/0211</t>
        </is>
      </c>
      <c r="Q215" s="10">
        <f>IF(R215&gt;=85,"A",IF(R215&gt;=70,"B","C"))</f>
        <v/>
      </c>
      <c r="R215" s="13">
        <f>MIN(100,50+IF(M215="是",10,0)+IF(N215="是",10,0)+IF(L215&lt;=100,10,IF(L215&lt;=300,5,0))+IF(J215&lt;=20,10,IF(J215&lt;=50,5,0))+IF(K215-J215&lt;=20,5,0)+IF(F215="企业官网",5,0))</f>
        <v/>
      </c>
      <c r="S215" s="10">
        <f>IF(Q215="A","价格与起订量有优势，建议优先询盘",IF(Q215="B","条件较均衡，可作为备选","起订量或价格需要进一步确认"))</f>
        <v/>
      </c>
      <c r="T215" s="10" t="inlineStr">
        <is>
          <t>未联系</t>
        </is>
      </c>
      <c r="U215" s="10" t="inlineStr">
        <is>
          <t>虚构演示数据</t>
        </is>
      </c>
    </row>
    <row r="216" ht="21" customHeight="1">
      <c r="A216" s="10" t="inlineStr">
        <is>
          <t>GYS-0212</t>
        </is>
      </c>
      <c r="B216" s="10" t="inlineStr">
        <is>
          <t>白沟旅行用品供应链0212有限公司（演示）</t>
        </is>
      </c>
      <c r="C216" s="10" t="inlineStr">
        <is>
          <t>旅行用品</t>
        </is>
      </c>
      <c r="D216" s="10" t="inlineStr">
        <is>
          <t>压缩收纳袋</t>
        </is>
      </c>
      <c r="E216" s="10" t="inlineStr">
        <is>
          <t>河北白沟</t>
        </is>
      </c>
      <c r="F216" s="10" t="inlineStr">
        <is>
          <t>义乌购</t>
        </is>
      </c>
      <c r="G216" s="10" t="inlineStr">
        <is>
          <t>王经理</t>
        </is>
      </c>
      <c r="H216" s="10" t="inlineStr">
        <is>
          <t>000-0000-0212</t>
        </is>
      </c>
      <c r="I216" s="10" t="inlineStr">
        <is>
          <t>DEMO_GYS_0212</t>
        </is>
      </c>
      <c r="J216" s="11" t="n">
        <v>41.2</v>
      </c>
      <c r="K216" s="11" t="n">
        <v>62.4</v>
      </c>
      <c r="L216" s="12" t="n">
        <v>300</v>
      </c>
      <c r="M216" s="10" t="inlineStr">
        <is>
          <t>否</t>
        </is>
      </c>
      <c r="N216" s="10" t="inlineStr">
        <is>
          <t>是</t>
        </is>
      </c>
      <c r="O216" s="10" t="inlineStr">
        <is>
          <t>supplier0212@example.com</t>
        </is>
      </c>
      <c r="P216" s="10" t="inlineStr">
        <is>
          <t>https://example.com/supplier/0212</t>
        </is>
      </c>
      <c r="Q216" s="10">
        <f>IF(R216&gt;=85,"A",IF(R216&gt;=70,"B","C"))</f>
        <v/>
      </c>
      <c r="R216" s="13">
        <f>MIN(100,50+IF(M216="是",10,0)+IF(N216="是",10,0)+IF(L216&lt;=100,10,IF(L216&lt;=300,5,0))+IF(J216&lt;=20,10,IF(J216&lt;=50,5,0))+IF(K216-J216&lt;=20,5,0)+IF(F216="企业官网",5,0))</f>
        <v/>
      </c>
      <c r="S216" s="10">
        <f>IF(Q216="A","价格与起订量有优势，建议优先询盘",IF(Q216="B","条件较均衡，可作为备选","起订量或价格需要进一步确认"))</f>
        <v/>
      </c>
      <c r="T216" s="10" t="inlineStr">
        <is>
          <t>未联系</t>
        </is>
      </c>
      <c r="U216" s="10" t="inlineStr">
        <is>
          <t>虚构演示数据</t>
        </is>
      </c>
    </row>
    <row r="217" ht="21" customHeight="1">
      <c r="A217" s="10" t="inlineStr">
        <is>
          <t>GYS-0213</t>
        </is>
      </c>
      <c r="B217" s="10" t="inlineStr">
        <is>
          <t>义乌清洁工具供应链0213有限公司（演示）</t>
        </is>
      </c>
      <c r="C217" s="10" t="inlineStr">
        <is>
          <t>清洁工具</t>
        </is>
      </c>
      <c r="D217" s="10" t="inlineStr">
        <is>
          <t>免手洗拖把</t>
        </is>
      </c>
      <c r="E217" s="10" t="inlineStr">
        <is>
          <t>浙江义乌</t>
        </is>
      </c>
      <c r="F217" s="10" t="inlineStr">
        <is>
          <t>慧聪网</t>
        </is>
      </c>
      <c r="G217" s="10" t="inlineStr">
        <is>
          <t>李经理</t>
        </is>
      </c>
      <c r="H217" s="10" t="inlineStr">
        <is>
          <t>000-0000-0213</t>
        </is>
      </c>
      <c r="I217" s="10" t="inlineStr">
        <is>
          <t>DEMO_GYS_0213</t>
        </is>
      </c>
      <c r="J217" s="11" t="n">
        <v>42.9</v>
      </c>
      <c r="K217" s="11" t="n">
        <v>47.2</v>
      </c>
      <c r="L217" s="12" t="n">
        <v>200</v>
      </c>
      <c r="M217" s="10" t="inlineStr">
        <is>
          <t>是</t>
        </is>
      </c>
      <c r="N217" s="10" t="inlineStr">
        <is>
          <t>否</t>
        </is>
      </c>
      <c r="O217" s="10" t="inlineStr">
        <is>
          <t>supplier0213@example.com</t>
        </is>
      </c>
      <c r="P217" s="10" t="inlineStr">
        <is>
          <t>https://example.com/supplier/0213</t>
        </is>
      </c>
      <c r="Q217" s="10">
        <f>IF(R217&gt;=85,"A",IF(R217&gt;=70,"B","C"))</f>
        <v/>
      </c>
      <c r="R217" s="13">
        <f>MIN(100,50+IF(M217="是",10,0)+IF(N217="是",10,0)+IF(L217&lt;=100,10,IF(L217&lt;=300,5,0))+IF(J217&lt;=20,10,IF(J217&lt;=50,5,0))+IF(K217-J217&lt;=20,5,0)+IF(F217="企业官网",5,0))</f>
        <v/>
      </c>
      <c r="S217" s="10">
        <f>IF(Q217="A","价格与起订量有优势，建议优先询盘",IF(Q217="B","条件较均衡，可作为备选","起订量或价格需要进一步确认"))</f>
        <v/>
      </c>
      <c r="T217" s="10" t="inlineStr">
        <is>
          <t>未联系</t>
        </is>
      </c>
      <c r="U217" s="10" t="inlineStr">
        <is>
          <t>虚构演示数据</t>
        </is>
      </c>
    </row>
    <row r="218" ht="21" customHeight="1">
      <c r="A218" s="10" t="inlineStr">
        <is>
          <t>GYS-0214</t>
        </is>
      </c>
      <c r="B218" s="10" t="inlineStr">
        <is>
          <t>台州小家电供应链0214有限公司（演示）</t>
        </is>
      </c>
      <c r="C218" s="10" t="inlineStr">
        <is>
          <t>小家电</t>
        </is>
      </c>
      <c r="D218" s="10" t="inlineStr">
        <is>
          <t>迷你加湿器</t>
        </is>
      </c>
      <c r="E218" s="10" t="inlineStr">
        <is>
          <t>浙江台州</t>
        </is>
      </c>
      <c r="F218" s="10" t="inlineStr">
        <is>
          <t>1688</t>
        </is>
      </c>
      <c r="G218" s="10" t="inlineStr">
        <is>
          <t>张经理</t>
        </is>
      </c>
      <c r="H218" s="10" t="inlineStr">
        <is>
          <t>000-0000-0214</t>
        </is>
      </c>
      <c r="I218" s="10" t="inlineStr">
        <is>
          <t>DEMO_GYS_0214</t>
        </is>
      </c>
      <c r="J218" s="11" t="n">
        <v>44.6</v>
      </c>
      <c r="K218" s="11" t="n">
        <v>50</v>
      </c>
      <c r="L218" s="12" t="n">
        <v>100</v>
      </c>
      <c r="M218" s="10" t="inlineStr">
        <is>
          <t>是</t>
        </is>
      </c>
      <c r="N218" s="10" t="inlineStr">
        <is>
          <t>是</t>
        </is>
      </c>
      <c r="O218" s="10" t="inlineStr">
        <is>
          <t>supplier0214@example.com</t>
        </is>
      </c>
      <c r="P218" s="10" t="inlineStr">
        <is>
          <t>https://example.com/supplier/0214</t>
        </is>
      </c>
      <c r="Q218" s="10">
        <f>IF(R218&gt;=85,"A",IF(R218&gt;=70,"B","C"))</f>
        <v/>
      </c>
      <c r="R218" s="13">
        <f>MIN(100,50+IF(M218="是",10,0)+IF(N218="是",10,0)+IF(L218&lt;=100,10,IF(L218&lt;=300,5,0))+IF(J218&lt;=20,10,IF(J218&lt;=50,5,0))+IF(K218-J218&lt;=20,5,0)+IF(F218="企业官网",5,0))</f>
        <v/>
      </c>
      <c r="S218" s="10">
        <f>IF(Q218="A","价格与起订量有优势，建议优先询盘",IF(Q218="B","条件较均衡，可作为备选","起订量或价格需要进一步确认"))</f>
        <v/>
      </c>
      <c r="T218" s="10" t="inlineStr">
        <is>
          <t>未联系</t>
        </is>
      </c>
      <c r="U218" s="10" t="inlineStr">
        <is>
          <t>虚构演示数据</t>
        </is>
      </c>
    </row>
    <row r="219" ht="21" customHeight="1">
      <c r="A219" s="10" t="inlineStr">
        <is>
          <t>GYS-0215</t>
        </is>
      </c>
      <c r="B219" s="10" t="inlineStr">
        <is>
          <t>东莞礼品包装供应链0215有限公司（演示）</t>
        </is>
      </c>
      <c r="C219" s="10" t="inlineStr">
        <is>
          <t>礼品包装</t>
        </is>
      </c>
      <c r="D219" s="10" t="inlineStr">
        <is>
          <t>节日礼盒</t>
        </is>
      </c>
      <c r="E219" s="10" t="inlineStr">
        <is>
          <t>广东东莞</t>
        </is>
      </c>
      <c r="F219" s="10" t="inlineStr">
        <is>
          <t>中国制造网</t>
        </is>
      </c>
      <c r="G219" s="10" t="inlineStr">
        <is>
          <t>刘经理</t>
        </is>
      </c>
      <c r="H219" s="10" t="inlineStr">
        <is>
          <t>000-0000-0215</t>
        </is>
      </c>
      <c r="I219" s="10" t="inlineStr">
        <is>
          <t>DEMO_GYS_0215</t>
        </is>
      </c>
      <c r="J219" s="11" t="n">
        <v>46.3</v>
      </c>
      <c r="K219" s="11" t="n">
        <v>52.8</v>
      </c>
      <c r="L219" s="12" t="n">
        <v>50</v>
      </c>
      <c r="M219" s="10" t="inlineStr">
        <is>
          <t>是</t>
        </is>
      </c>
      <c r="N219" s="10" t="inlineStr">
        <is>
          <t>是</t>
        </is>
      </c>
      <c r="O219" s="10" t="inlineStr">
        <is>
          <t>supplier0215@example.com</t>
        </is>
      </c>
      <c r="P219" s="10" t="inlineStr">
        <is>
          <t>https://example.com/supplier/0215</t>
        </is>
      </c>
      <c r="Q219" s="10">
        <f>IF(R219&gt;=85,"A",IF(R219&gt;=70,"B","C"))</f>
        <v/>
      </c>
      <c r="R219" s="13">
        <f>MIN(100,50+IF(M219="是",10,0)+IF(N219="是",10,0)+IF(L219&lt;=100,10,IF(L219&lt;=300,5,0))+IF(J219&lt;=20,10,IF(J219&lt;=50,5,0))+IF(K219-J219&lt;=20,5,0)+IF(F219="企业官网",5,0))</f>
        <v/>
      </c>
      <c r="S219" s="10">
        <f>IF(Q219="A","价格与起订量有优势，建议优先询盘",IF(Q219="B","条件较均衡，可作为备选","起订量或价格需要进一步确认"))</f>
        <v/>
      </c>
      <c r="T219" s="10" t="inlineStr">
        <is>
          <t>未联系</t>
        </is>
      </c>
      <c r="U219" s="10" t="inlineStr">
        <is>
          <t>虚构演示数据</t>
        </is>
      </c>
    </row>
    <row r="220" ht="21" customHeight="1">
      <c r="A220" s="10" t="inlineStr">
        <is>
          <t>GYS-0216</t>
        </is>
      </c>
      <c r="B220" s="10" t="inlineStr">
        <is>
          <t>厦门五金工具供应链0216有限公司（演示）</t>
        </is>
      </c>
      <c r="C220" s="10" t="inlineStr">
        <is>
          <t>五金工具</t>
        </is>
      </c>
      <c r="D220" s="10" t="inlineStr">
        <is>
          <t>多功能螺丝刀</t>
        </is>
      </c>
      <c r="E220" s="10" t="inlineStr">
        <is>
          <t>福建厦门</t>
        </is>
      </c>
      <c r="F220" s="10" t="inlineStr">
        <is>
          <t>企业官网</t>
        </is>
      </c>
      <c r="G220" s="10" t="inlineStr">
        <is>
          <t>黄经理</t>
        </is>
      </c>
      <c r="H220" s="10" t="inlineStr">
        <is>
          <t>000-0000-0216</t>
        </is>
      </c>
      <c r="I220" s="10" t="inlineStr">
        <is>
          <t>DEMO_GYS_0216</t>
        </is>
      </c>
      <c r="J220" s="11" t="n">
        <v>48</v>
      </c>
      <c r="K220" s="11" t="n">
        <v>55.6</v>
      </c>
      <c r="L220" s="12" t="n">
        <v>20</v>
      </c>
      <c r="M220" s="10" t="inlineStr">
        <is>
          <t>否</t>
        </is>
      </c>
      <c r="N220" s="10" t="inlineStr">
        <is>
          <t>否</t>
        </is>
      </c>
      <c r="O220" s="10" t="inlineStr">
        <is>
          <t>supplier0216@example.com</t>
        </is>
      </c>
      <c r="P220" s="10" t="inlineStr">
        <is>
          <t>https://example.com/supplier/0216</t>
        </is>
      </c>
      <c r="Q220" s="10">
        <f>IF(R220&gt;=85,"A",IF(R220&gt;=70,"B","C"))</f>
        <v/>
      </c>
      <c r="R220" s="13">
        <f>MIN(100,50+IF(M220="是",10,0)+IF(N220="是",10,0)+IF(L220&lt;=100,10,IF(L220&lt;=300,5,0))+IF(J220&lt;=20,10,IF(J220&lt;=50,5,0))+IF(K220-J220&lt;=20,5,0)+IF(F220="企业官网",5,0))</f>
        <v/>
      </c>
      <c r="S220" s="10">
        <f>IF(Q220="A","价格与起订量有优势，建议优先询盘",IF(Q220="B","条件较均衡，可作为备选","起订量或价格需要进一步确认"))</f>
        <v/>
      </c>
      <c r="T220" s="10" t="inlineStr">
        <is>
          <t>未联系</t>
        </is>
      </c>
      <c r="U220" s="10" t="inlineStr">
        <is>
          <t>虚构演示数据</t>
        </is>
      </c>
    </row>
    <row r="221" ht="21" customHeight="1">
      <c r="A221" s="10" t="inlineStr">
        <is>
          <t>GYS-0217</t>
        </is>
      </c>
      <c r="B221" s="10" t="inlineStr">
        <is>
          <t>临沂鞋靴配件供应链0217有限公司（演示）</t>
        </is>
      </c>
      <c r="C221" s="10" t="inlineStr">
        <is>
          <t>鞋靴配件</t>
        </is>
      </c>
      <c r="D221" s="10" t="inlineStr">
        <is>
          <t>防磨脚贴</t>
        </is>
      </c>
      <c r="E221" s="10" t="inlineStr">
        <is>
          <t>山东临沂</t>
        </is>
      </c>
      <c r="F221" s="10" t="inlineStr">
        <is>
          <t>义乌购</t>
        </is>
      </c>
      <c r="G221" s="10" t="inlineStr">
        <is>
          <t>赵经理</t>
        </is>
      </c>
      <c r="H221" s="10" t="inlineStr">
        <is>
          <t>000-0000-0217</t>
        </is>
      </c>
      <c r="I221" s="10" t="inlineStr">
        <is>
          <t>DEMO_GYS_0217</t>
        </is>
      </c>
      <c r="J221" s="11" t="n">
        <v>3.7</v>
      </c>
      <c r="K221" s="11" t="n">
        <v>12.4</v>
      </c>
      <c r="L221" s="12" t="n">
        <v>500</v>
      </c>
      <c r="M221" s="10" t="inlineStr">
        <is>
          <t>是</t>
        </is>
      </c>
      <c r="N221" s="10" t="inlineStr">
        <is>
          <t>是</t>
        </is>
      </c>
      <c r="O221" s="10" t="inlineStr">
        <is>
          <t>supplier0217@example.com</t>
        </is>
      </c>
      <c r="P221" s="10" t="inlineStr">
        <is>
          <t>https://example.com/supplier/0217</t>
        </is>
      </c>
      <c r="Q221" s="10">
        <f>IF(R221&gt;=85,"A",IF(R221&gt;=70,"B","C"))</f>
        <v/>
      </c>
      <c r="R221" s="13">
        <f>MIN(100,50+IF(M221="是",10,0)+IF(N221="是",10,0)+IF(L221&lt;=100,10,IF(L221&lt;=300,5,0))+IF(J221&lt;=20,10,IF(J221&lt;=50,5,0))+IF(K221-J221&lt;=20,5,0)+IF(F221="企业官网",5,0))</f>
        <v/>
      </c>
      <c r="S221" s="10">
        <f>IF(Q221="A","价格与起订量有优势，建议优先询盘",IF(Q221="B","条件较均衡，可作为备选","起订量或价格需要进一步确认"))</f>
        <v/>
      </c>
      <c r="T221" s="10" t="inlineStr">
        <is>
          <t>未联系</t>
        </is>
      </c>
      <c r="U221" s="10" t="inlineStr">
        <is>
          <t>虚构演示数据</t>
        </is>
      </c>
    </row>
    <row r="222" ht="21" customHeight="1">
      <c r="A222" s="10" t="inlineStr">
        <is>
          <t>GYS-0218</t>
        </is>
      </c>
      <c r="B222" s="10" t="inlineStr">
        <is>
          <t>南昌食品包装供应链0218有限公司（演示）</t>
        </is>
      </c>
      <c r="C222" s="10" t="inlineStr">
        <is>
          <t>食品包装</t>
        </is>
      </c>
      <c r="D222" s="10" t="inlineStr">
        <is>
          <t>密封包装袋</t>
        </is>
      </c>
      <c r="E222" s="10" t="inlineStr">
        <is>
          <t>江西南昌</t>
        </is>
      </c>
      <c r="F222" s="10" t="inlineStr">
        <is>
          <t>慧聪网</t>
        </is>
      </c>
      <c r="G222" s="10" t="inlineStr">
        <is>
          <t>周经理</t>
        </is>
      </c>
      <c r="H222" s="10" t="inlineStr">
        <is>
          <t>000-0000-0218</t>
        </is>
      </c>
      <c r="I222" s="10" t="inlineStr">
        <is>
          <t>DEMO_GYS_0218</t>
        </is>
      </c>
      <c r="J222" s="11" t="n">
        <v>5.4</v>
      </c>
      <c r="K222" s="11" t="n">
        <v>15.2</v>
      </c>
      <c r="L222" s="12" t="n">
        <v>300</v>
      </c>
      <c r="M222" s="10" t="inlineStr">
        <is>
          <t>是</t>
        </is>
      </c>
      <c r="N222" s="10" t="inlineStr">
        <is>
          <t>是</t>
        </is>
      </c>
      <c r="O222" s="10" t="inlineStr">
        <is>
          <t>supplier0218@example.com</t>
        </is>
      </c>
      <c r="P222" s="10" t="inlineStr">
        <is>
          <t>https://example.com/supplier/0218</t>
        </is>
      </c>
      <c r="Q222" s="10">
        <f>IF(R222&gt;=85,"A",IF(R222&gt;=70,"B","C"))</f>
        <v/>
      </c>
      <c r="R222" s="13">
        <f>MIN(100,50+IF(M222="是",10,0)+IF(N222="是",10,0)+IF(L222&lt;=100,10,IF(L222&lt;=300,5,0))+IF(J222&lt;=20,10,IF(J222&lt;=50,5,0))+IF(K222-J222&lt;=20,5,0)+IF(F222="企业官网",5,0))</f>
        <v/>
      </c>
      <c r="S222" s="10">
        <f>IF(Q222="A","价格与起订量有优势，建议优先询盘",IF(Q222="B","条件较均衡，可作为备选","起订量或价格需要进一步确认"))</f>
        <v/>
      </c>
      <c r="T222" s="10" t="inlineStr">
        <is>
          <t>未联系</t>
        </is>
      </c>
      <c r="U222" s="10" t="inlineStr">
        <is>
          <t>虚构演示数据</t>
        </is>
      </c>
    </row>
    <row r="223" ht="21" customHeight="1">
      <c r="A223" s="10" t="inlineStr">
        <is>
          <t>GYS-0219</t>
        </is>
      </c>
      <c r="B223" s="10" t="inlineStr">
        <is>
          <t>温州户外照明供应链0219有限公司（演示）</t>
        </is>
      </c>
      <c r="C223" s="10" t="inlineStr">
        <is>
          <t>户外照明</t>
        </is>
      </c>
      <c r="D223" s="10" t="inlineStr">
        <is>
          <t>便携露营灯</t>
        </is>
      </c>
      <c r="E223" s="10" t="inlineStr">
        <is>
          <t>浙江温州</t>
        </is>
      </c>
      <c r="F223" s="10" t="inlineStr">
        <is>
          <t>1688</t>
        </is>
      </c>
      <c r="G223" s="10" t="inlineStr">
        <is>
          <t>吴经理</t>
        </is>
      </c>
      <c r="H223" s="10" t="inlineStr">
        <is>
          <t>000-0000-0219</t>
        </is>
      </c>
      <c r="I223" s="10" t="inlineStr">
        <is>
          <t>DEMO_GYS_0219</t>
        </is>
      </c>
      <c r="J223" s="11" t="n">
        <v>7.1</v>
      </c>
      <c r="K223" s="11" t="n">
        <v>18</v>
      </c>
      <c r="L223" s="12" t="n">
        <v>200</v>
      </c>
      <c r="M223" s="10" t="inlineStr">
        <is>
          <t>是</t>
        </is>
      </c>
      <c r="N223" s="10" t="inlineStr">
        <is>
          <t>否</t>
        </is>
      </c>
      <c r="O223" s="10" t="inlineStr">
        <is>
          <t>supplier0219@example.com</t>
        </is>
      </c>
      <c r="P223" s="10" t="inlineStr">
        <is>
          <t>https://example.com/supplier/0219</t>
        </is>
      </c>
      <c r="Q223" s="10">
        <f>IF(R223&gt;=85,"A",IF(R223&gt;=70,"B","C"))</f>
        <v/>
      </c>
      <c r="R223" s="13">
        <f>MIN(100,50+IF(M223="是",10,0)+IF(N223="是",10,0)+IF(L223&lt;=100,10,IF(L223&lt;=300,5,0))+IF(J223&lt;=20,10,IF(J223&lt;=50,5,0))+IF(K223-J223&lt;=20,5,0)+IF(F223="企业官网",5,0))</f>
        <v/>
      </c>
      <c r="S223" s="10">
        <f>IF(Q223="A","价格与起订量有优势，建议优先询盘",IF(Q223="B","条件较均衡，可作为备选","起订量或价格需要进一步确认"))</f>
        <v/>
      </c>
      <c r="T223" s="10" t="inlineStr">
        <is>
          <t>未联系</t>
        </is>
      </c>
      <c r="U223" s="10" t="inlineStr">
        <is>
          <t>虚构演示数据</t>
        </is>
      </c>
    </row>
    <row r="224" ht="21" customHeight="1">
      <c r="A224" s="10" t="inlineStr">
        <is>
          <t>GYS-0220</t>
        </is>
      </c>
      <c r="B224" s="10" t="inlineStr">
        <is>
          <t>广州健康用品供应链0220有限公司（演示）</t>
        </is>
      </c>
      <c r="C224" s="10" t="inlineStr">
        <is>
          <t>健康用品</t>
        </is>
      </c>
      <c r="D224" s="10" t="inlineStr">
        <is>
          <t>热敷眼罩</t>
        </is>
      </c>
      <c r="E224" s="10" t="inlineStr">
        <is>
          <t>广东广州</t>
        </is>
      </c>
      <c r="F224" s="10" t="inlineStr">
        <is>
          <t>中国制造网</t>
        </is>
      </c>
      <c r="G224" s="10" t="inlineStr">
        <is>
          <t>陈经理</t>
        </is>
      </c>
      <c r="H224" s="10" t="inlineStr">
        <is>
          <t>000-0000-0220</t>
        </is>
      </c>
      <c r="I224" s="10" t="inlineStr">
        <is>
          <t>DEMO_GYS_0220</t>
        </is>
      </c>
      <c r="J224" s="11" t="n">
        <v>8.800000000000001</v>
      </c>
      <c r="K224" s="11" t="n">
        <v>20.8</v>
      </c>
      <c r="L224" s="12" t="n">
        <v>100</v>
      </c>
      <c r="M224" s="10" t="inlineStr">
        <is>
          <t>否</t>
        </is>
      </c>
      <c r="N224" s="10" t="inlineStr">
        <is>
          <t>是</t>
        </is>
      </c>
      <c r="O224" s="10" t="inlineStr">
        <is>
          <t>supplier0220@example.com</t>
        </is>
      </c>
      <c r="P224" s="10" t="inlineStr">
        <is>
          <t>https://example.com/supplier/0220</t>
        </is>
      </c>
      <c r="Q224" s="10">
        <f>IF(R224&gt;=85,"A",IF(R224&gt;=70,"B","C"))</f>
        <v/>
      </c>
      <c r="R224" s="13">
        <f>MIN(100,50+IF(M224="是",10,0)+IF(N224="是",10,0)+IF(L224&lt;=100,10,IF(L224&lt;=300,5,0))+IF(J224&lt;=20,10,IF(J224&lt;=50,5,0))+IF(K224-J224&lt;=20,5,0)+IF(F224="企业官网",5,0))</f>
        <v/>
      </c>
      <c r="S224" s="10">
        <f>IF(Q224="A","价格与起订量有优势，建议优先询盘",IF(Q224="B","条件较均衡，可作为备选","起订量或价格需要进一步确认"))</f>
        <v/>
      </c>
      <c r="T224" s="10" t="inlineStr">
        <is>
          <t>未联系</t>
        </is>
      </c>
      <c r="U224" s="10" t="inlineStr">
        <is>
          <t>虚构演示数据</t>
        </is>
      </c>
    </row>
    <row r="225" ht="21" customHeight="1">
      <c r="A225" s="10" t="inlineStr">
        <is>
          <t>GYS-0221</t>
        </is>
      </c>
      <c r="B225" s="10" t="inlineStr">
        <is>
          <t>泉州服饰内衣供应链0221有限公司（演示）</t>
        </is>
      </c>
      <c r="C225" s="10" t="inlineStr">
        <is>
          <t>服饰内衣</t>
        </is>
      </c>
      <c r="D225" s="10" t="inlineStr">
        <is>
          <t>防滑袜</t>
        </is>
      </c>
      <c r="E225" s="10" t="inlineStr">
        <is>
          <t>福建泉州</t>
        </is>
      </c>
      <c r="F225" s="10" t="inlineStr">
        <is>
          <t>企业官网</t>
        </is>
      </c>
      <c r="G225" s="10" t="inlineStr">
        <is>
          <t>林经理</t>
        </is>
      </c>
      <c r="H225" s="10" t="inlineStr">
        <is>
          <t>000-0000-0221</t>
        </is>
      </c>
      <c r="I225" s="10" t="inlineStr">
        <is>
          <t>DEMO_GYS_0221</t>
        </is>
      </c>
      <c r="J225" s="11" t="n">
        <v>10.5</v>
      </c>
      <c r="K225" s="11" t="n">
        <v>23.6</v>
      </c>
      <c r="L225" s="12" t="n">
        <v>50</v>
      </c>
      <c r="M225" s="10" t="inlineStr">
        <is>
          <t>是</t>
        </is>
      </c>
      <c r="N225" s="10" t="inlineStr">
        <is>
          <t>是</t>
        </is>
      </c>
      <c r="O225" s="10" t="inlineStr">
        <is>
          <t>supplier0221@example.com</t>
        </is>
      </c>
      <c r="P225" s="10" t="inlineStr">
        <is>
          <t>https://example.com/supplier/0221</t>
        </is>
      </c>
      <c r="Q225" s="10">
        <f>IF(R225&gt;=85,"A",IF(R225&gt;=70,"B","C"))</f>
        <v/>
      </c>
      <c r="R225" s="13">
        <f>MIN(100,50+IF(M225="是",10,0)+IF(N225="是",10,0)+IF(L225&lt;=100,10,IF(L225&lt;=300,5,0))+IF(J225&lt;=20,10,IF(J225&lt;=50,5,0))+IF(K225-J225&lt;=20,5,0)+IF(F225="企业官网",5,0))</f>
        <v/>
      </c>
      <c r="S225" s="10">
        <f>IF(Q225="A","价格与起订量有优势，建议优先询盘",IF(Q225="B","条件较均衡，可作为备选","起订量或价格需要进一步确认"))</f>
        <v/>
      </c>
      <c r="T225" s="10" t="inlineStr">
        <is>
          <t>未联系</t>
        </is>
      </c>
      <c r="U225" s="10" t="inlineStr">
        <is>
          <t>虚构演示数据</t>
        </is>
      </c>
    </row>
    <row r="226" ht="21" customHeight="1">
      <c r="A226" s="10" t="inlineStr">
        <is>
          <t>GYS-0222</t>
        </is>
      </c>
      <c r="B226" s="10" t="inlineStr">
        <is>
          <t>南通家居日用供应链0222有限公司（演示）</t>
        </is>
      </c>
      <c r="C226" s="10" t="inlineStr">
        <is>
          <t>家居日用</t>
        </is>
      </c>
      <c r="D226" s="10" t="inlineStr">
        <is>
          <t>折叠收纳箱</t>
        </is>
      </c>
      <c r="E226" s="10" t="inlineStr">
        <is>
          <t>江苏南通</t>
        </is>
      </c>
      <c r="F226" s="10" t="inlineStr">
        <is>
          <t>义乌购</t>
        </is>
      </c>
      <c r="G226" s="10" t="inlineStr">
        <is>
          <t>王经理</t>
        </is>
      </c>
      <c r="H226" s="10" t="inlineStr">
        <is>
          <t>000-0000-0222</t>
        </is>
      </c>
      <c r="I226" s="10" t="inlineStr">
        <is>
          <t>DEMO_GYS_0222</t>
        </is>
      </c>
      <c r="J226" s="11" t="n">
        <v>12.2</v>
      </c>
      <c r="K226" s="11" t="n">
        <v>26.4</v>
      </c>
      <c r="L226" s="12" t="n">
        <v>20</v>
      </c>
      <c r="M226" s="10" t="inlineStr">
        <is>
          <t>是</t>
        </is>
      </c>
      <c r="N226" s="10" t="inlineStr">
        <is>
          <t>否</t>
        </is>
      </c>
      <c r="O226" s="10" t="inlineStr">
        <is>
          <t>supplier0222@example.com</t>
        </is>
      </c>
      <c r="P226" s="10" t="inlineStr">
        <is>
          <t>https://example.com/supplier/0222</t>
        </is>
      </c>
      <c r="Q226" s="10">
        <f>IF(R226&gt;=85,"A",IF(R226&gt;=70,"B","C"))</f>
        <v/>
      </c>
      <c r="R226" s="13">
        <f>MIN(100,50+IF(M226="是",10,0)+IF(N226="是",10,0)+IF(L226&lt;=100,10,IF(L226&lt;=300,5,0))+IF(J226&lt;=20,10,IF(J226&lt;=50,5,0))+IF(K226-J226&lt;=20,5,0)+IF(F226="企业官网",5,0))</f>
        <v/>
      </c>
      <c r="S226" s="10">
        <f>IF(Q226="A","价格与起订量有优势，建议优先询盘",IF(Q226="B","条件较均衡，可作为备选","起订量或价格需要进一步确认"))</f>
        <v/>
      </c>
      <c r="T226" s="10" t="inlineStr">
        <is>
          <t>未联系</t>
        </is>
      </c>
      <c r="U226" s="10" t="inlineStr">
        <is>
          <t>虚构演示数据</t>
        </is>
      </c>
    </row>
    <row r="227" ht="21" customHeight="1">
      <c r="A227" s="10" t="inlineStr">
        <is>
          <t>GYS-0223</t>
        </is>
      </c>
      <c r="B227" s="10" t="inlineStr">
        <is>
          <t>郑州个护清洁供应链0223有限公司（演示）</t>
        </is>
      </c>
      <c r="C227" s="10" t="inlineStr">
        <is>
          <t>个护清洁</t>
        </is>
      </c>
      <c r="D227" s="10" t="inlineStr">
        <is>
          <t>便携洗脸巾</t>
        </is>
      </c>
      <c r="E227" s="10" t="inlineStr">
        <is>
          <t>河南郑州</t>
        </is>
      </c>
      <c r="F227" s="10" t="inlineStr">
        <is>
          <t>慧聪网</t>
        </is>
      </c>
      <c r="G227" s="10" t="inlineStr">
        <is>
          <t>李经理</t>
        </is>
      </c>
      <c r="H227" s="10" t="inlineStr">
        <is>
          <t>000-0000-0223</t>
        </is>
      </c>
      <c r="I227" s="10" t="inlineStr">
        <is>
          <t>DEMO_GYS_0223</t>
        </is>
      </c>
      <c r="J227" s="11" t="n">
        <v>13.9</v>
      </c>
      <c r="K227" s="11" t="n">
        <v>29.2</v>
      </c>
      <c r="L227" s="12" t="n">
        <v>500</v>
      </c>
      <c r="M227" s="10" t="inlineStr">
        <is>
          <t>是</t>
        </is>
      </c>
      <c r="N227" s="10" t="inlineStr">
        <is>
          <t>是</t>
        </is>
      </c>
      <c r="O227" s="10" t="inlineStr">
        <is>
          <t>supplier0223@example.com</t>
        </is>
      </c>
      <c r="P227" s="10" t="inlineStr">
        <is>
          <t>https://example.com/supplier/0223</t>
        </is>
      </c>
      <c r="Q227" s="10">
        <f>IF(R227&gt;=85,"A",IF(R227&gt;=70,"B","C"))</f>
        <v/>
      </c>
      <c r="R227" s="13">
        <f>MIN(100,50+IF(M227="是",10,0)+IF(N227="是",10,0)+IF(L227&lt;=100,10,IF(L227&lt;=300,5,0))+IF(J227&lt;=20,10,IF(J227&lt;=50,5,0))+IF(K227-J227&lt;=20,5,0)+IF(F227="企业官网",5,0))</f>
        <v/>
      </c>
      <c r="S227" s="10">
        <f>IF(Q227="A","价格与起订量有优势，建议优先询盘",IF(Q227="B","条件较均衡，可作为备选","起订量或价格需要进一步确认"))</f>
        <v/>
      </c>
      <c r="T227" s="10" t="inlineStr">
        <is>
          <t>未联系</t>
        </is>
      </c>
      <c r="U227" s="10" t="inlineStr">
        <is>
          <t>虚构演示数据</t>
        </is>
      </c>
    </row>
    <row r="228" ht="21" customHeight="1">
      <c r="A228" s="10" t="inlineStr">
        <is>
          <t>GYS-0224</t>
        </is>
      </c>
      <c r="B228" s="10" t="inlineStr">
        <is>
          <t>宁波厨房用品供应链0224有限公司（演示）</t>
        </is>
      </c>
      <c r="C228" s="10" t="inlineStr">
        <is>
          <t>厨房用品</t>
        </is>
      </c>
      <c r="D228" s="10" t="inlineStr">
        <is>
          <t>硅胶保鲜盒</t>
        </is>
      </c>
      <c r="E228" s="10" t="inlineStr">
        <is>
          <t>浙江宁波</t>
        </is>
      </c>
      <c r="F228" s="10" t="inlineStr">
        <is>
          <t>1688</t>
        </is>
      </c>
      <c r="G228" s="10" t="inlineStr">
        <is>
          <t>张经理</t>
        </is>
      </c>
      <c r="H228" s="10" t="inlineStr">
        <is>
          <t>000-0000-0224</t>
        </is>
      </c>
      <c r="I228" s="10" t="inlineStr">
        <is>
          <t>DEMO_GYS_0224</t>
        </is>
      </c>
      <c r="J228" s="11" t="n">
        <v>15.6</v>
      </c>
      <c r="K228" s="11" t="n">
        <v>32</v>
      </c>
      <c r="L228" s="12" t="n">
        <v>300</v>
      </c>
      <c r="M228" s="10" t="inlineStr">
        <is>
          <t>否</t>
        </is>
      </c>
      <c r="N228" s="10" t="inlineStr">
        <is>
          <t>是</t>
        </is>
      </c>
      <c r="O228" s="10" t="inlineStr">
        <is>
          <t>supplier0224@example.com</t>
        </is>
      </c>
      <c r="P228" s="10" t="inlineStr">
        <is>
          <t>https://example.com/supplier/0224</t>
        </is>
      </c>
      <c r="Q228" s="10">
        <f>IF(R228&gt;=85,"A",IF(R228&gt;=70,"B","C"))</f>
        <v/>
      </c>
      <c r="R228" s="13">
        <f>MIN(100,50+IF(M228="是",10,0)+IF(N228="是",10,0)+IF(L228&lt;=100,10,IF(L228&lt;=300,5,0))+IF(J228&lt;=20,10,IF(J228&lt;=50,5,0))+IF(K228-J228&lt;=20,5,0)+IF(F228="企业官网",5,0))</f>
        <v/>
      </c>
      <c r="S228" s="10">
        <f>IF(Q228="A","价格与起订量有优势，建议优先询盘",IF(Q228="B","条件较均衡，可作为备选","起订量或价格需要进一步确认"))</f>
        <v/>
      </c>
      <c r="T228" s="10" t="inlineStr">
        <is>
          <t>未联系</t>
        </is>
      </c>
      <c r="U228" s="10" t="inlineStr">
        <is>
          <t>虚构演示数据</t>
        </is>
      </c>
    </row>
    <row r="229" ht="21" customHeight="1">
      <c r="A229" s="10" t="inlineStr">
        <is>
          <t>GYS-0225</t>
        </is>
      </c>
      <c r="B229" s="10" t="inlineStr">
        <is>
          <t>深圳数码配件供应链0225有限公司（演示）</t>
        </is>
      </c>
      <c r="C229" s="10" t="inlineStr">
        <is>
          <t>数码配件</t>
        </is>
      </c>
      <c r="D229" s="10" t="inlineStr">
        <is>
          <t>磁吸手机支架</t>
        </is>
      </c>
      <c r="E229" s="10" t="inlineStr">
        <is>
          <t>广东深圳</t>
        </is>
      </c>
      <c r="F229" s="10" t="inlineStr">
        <is>
          <t>中国制造网</t>
        </is>
      </c>
      <c r="G229" s="10" t="inlineStr">
        <is>
          <t>刘经理</t>
        </is>
      </c>
      <c r="H229" s="10" t="inlineStr">
        <is>
          <t>000-0000-0225</t>
        </is>
      </c>
      <c r="I229" s="10" t="inlineStr">
        <is>
          <t>DEMO_GYS_0225</t>
        </is>
      </c>
      <c r="J229" s="11" t="n">
        <v>17.3</v>
      </c>
      <c r="K229" s="11" t="n">
        <v>34.8</v>
      </c>
      <c r="L229" s="12" t="n">
        <v>200</v>
      </c>
      <c r="M229" s="10" t="inlineStr">
        <is>
          <t>是</t>
        </is>
      </c>
      <c r="N229" s="10" t="inlineStr">
        <is>
          <t>否</t>
        </is>
      </c>
      <c r="O229" s="10" t="inlineStr">
        <is>
          <t>supplier0225@example.com</t>
        </is>
      </c>
      <c r="P229" s="10" t="inlineStr">
        <is>
          <t>https://example.com/supplier/0225</t>
        </is>
      </c>
      <c r="Q229" s="10">
        <f>IF(R229&gt;=85,"A",IF(R229&gt;=70,"B","C"))</f>
        <v/>
      </c>
      <c r="R229" s="13">
        <f>MIN(100,50+IF(M229="是",10,0)+IF(N229="是",10,0)+IF(L229&lt;=100,10,IF(L229&lt;=300,5,0))+IF(J229&lt;=20,10,IF(J229&lt;=50,5,0))+IF(K229-J229&lt;=20,5,0)+IF(F229="企业官网",5,0))</f>
        <v/>
      </c>
      <c r="S229" s="10">
        <f>IF(Q229="A","价格与起订量有优势，建议优先询盘",IF(Q229="B","条件较均衡，可作为备选","起订量或价格需要进一步确认"))</f>
        <v/>
      </c>
      <c r="T229" s="10" t="inlineStr">
        <is>
          <t>未联系</t>
        </is>
      </c>
      <c r="U229" s="10" t="inlineStr">
        <is>
          <t>虚构演示数据</t>
        </is>
      </c>
    </row>
    <row r="230" ht="21" customHeight="1">
      <c r="A230" s="10" t="inlineStr">
        <is>
          <t>GYS-0226</t>
        </is>
      </c>
      <c r="B230" s="10" t="inlineStr">
        <is>
          <t>佛山宠物用品供应链0226有限公司（演示）</t>
        </is>
      </c>
      <c r="C230" s="10" t="inlineStr">
        <is>
          <t>宠物用品</t>
        </is>
      </c>
      <c r="D230" s="10" t="inlineStr">
        <is>
          <t>宠物清洁手套</t>
        </is>
      </c>
      <c r="E230" s="10" t="inlineStr">
        <is>
          <t>广东佛山</t>
        </is>
      </c>
      <c r="F230" s="10" t="inlineStr">
        <is>
          <t>企业官网</t>
        </is>
      </c>
      <c r="G230" s="10" t="inlineStr">
        <is>
          <t>黄经理</t>
        </is>
      </c>
      <c r="H230" s="10" t="inlineStr">
        <is>
          <t>000-0000-0226</t>
        </is>
      </c>
      <c r="I230" s="10" t="inlineStr">
        <is>
          <t>DEMO_GYS_0226</t>
        </is>
      </c>
      <c r="J230" s="11" t="n">
        <v>19</v>
      </c>
      <c r="K230" s="11" t="n">
        <v>37.6</v>
      </c>
      <c r="L230" s="12" t="n">
        <v>100</v>
      </c>
      <c r="M230" s="10" t="inlineStr">
        <is>
          <t>是</t>
        </is>
      </c>
      <c r="N230" s="10" t="inlineStr">
        <is>
          <t>是</t>
        </is>
      </c>
      <c r="O230" s="10" t="inlineStr">
        <is>
          <t>supplier0226@example.com</t>
        </is>
      </c>
      <c r="P230" s="10" t="inlineStr">
        <is>
          <t>https://example.com/supplier/0226</t>
        </is>
      </c>
      <c r="Q230" s="10">
        <f>IF(R230&gt;=85,"A",IF(R230&gt;=70,"B","C"))</f>
        <v/>
      </c>
      <c r="R230" s="13">
        <f>MIN(100,50+IF(M230="是",10,0)+IF(N230="是",10,0)+IF(L230&lt;=100,10,IF(L230&lt;=300,5,0))+IF(J230&lt;=20,10,IF(J230&lt;=50,5,0))+IF(K230-J230&lt;=20,5,0)+IF(F230="企业官网",5,0))</f>
        <v/>
      </c>
      <c r="S230" s="10">
        <f>IF(Q230="A","价格与起订量有优势，建议优先询盘",IF(Q230="B","条件较均衡，可作为备选","起订量或价格需要进一步确认"))</f>
        <v/>
      </c>
      <c r="T230" s="10" t="inlineStr">
        <is>
          <t>未联系</t>
        </is>
      </c>
      <c r="U230" s="10" t="inlineStr">
        <is>
          <t>虚构演示数据</t>
        </is>
      </c>
    </row>
    <row r="231" ht="21" customHeight="1">
      <c r="A231" s="10" t="inlineStr">
        <is>
          <t>GYS-0227</t>
        </is>
      </c>
      <c r="B231" s="10" t="inlineStr">
        <is>
          <t>苏州母婴用品供应链0227有限公司（演示）</t>
        </is>
      </c>
      <c r="C231" s="10" t="inlineStr">
        <is>
          <t>母婴用品</t>
        </is>
      </c>
      <c r="D231" s="10" t="inlineStr">
        <is>
          <t>婴儿防撞条</t>
        </is>
      </c>
      <c r="E231" s="10" t="inlineStr">
        <is>
          <t>江苏苏州</t>
        </is>
      </c>
      <c r="F231" s="10" t="inlineStr">
        <is>
          <t>义乌购</t>
        </is>
      </c>
      <c r="G231" s="10" t="inlineStr">
        <is>
          <t>赵经理</t>
        </is>
      </c>
      <c r="H231" s="10" t="inlineStr">
        <is>
          <t>000-0000-0227</t>
        </is>
      </c>
      <c r="I231" s="10" t="inlineStr">
        <is>
          <t>DEMO_GYS_0227</t>
        </is>
      </c>
      <c r="J231" s="11" t="n">
        <v>20.7</v>
      </c>
      <c r="K231" s="11" t="n">
        <v>40.4</v>
      </c>
      <c r="L231" s="12" t="n">
        <v>50</v>
      </c>
      <c r="M231" s="10" t="inlineStr">
        <is>
          <t>是</t>
        </is>
      </c>
      <c r="N231" s="10" t="inlineStr">
        <is>
          <t>是</t>
        </is>
      </c>
      <c r="O231" s="10" t="inlineStr">
        <is>
          <t>supplier0227@example.com</t>
        </is>
      </c>
      <c r="P231" s="10" t="inlineStr">
        <is>
          <t>https://example.com/supplier/0227</t>
        </is>
      </c>
      <c r="Q231" s="10">
        <f>IF(R231&gt;=85,"A",IF(R231&gt;=70,"B","C"))</f>
        <v/>
      </c>
      <c r="R231" s="13">
        <f>MIN(100,50+IF(M231="是",10,0)+IF(N231="是",10,0)+IF(L231&lt;=100,10,IF(L231&lt;=300,5,0))+IF(J231&lt;=20,10,IF(J231&lt;=50,5,0))+IF(K231-J231&lt;=20,5,0)+IF(F231="企业官网",5,0))</f>
        <v/>
      </c>
      <c r="S231" s="10">
        <f>IF(Q231="A","价格与起订量有优势，建议优先询盘",IF(Q231="B","条件较均衡，可作为备选","起订量或价格需要进一步确认"))</f>
        <v/>
      </c>
      <c r="T231" s="10" t="inlineStr">
        <is>
          <t>未联系</t>
        </is>
      </c>
      <c r="U231" s="10" t="inlineStr">
        <is>
          <t>虚构演示数据</t>
        </is>
      </c>
    </row>
    <row r="232" ht="21" customHeight="1">
      <c r="A232" s="10" t="inlineStr">
        <is>
          <t>GYS-0228</t>
        </is>
      </c>
      <c r="B232" s="10" t="inlineStr">
        <is>
          <t>白沟运动户外供应链0228有限公司（演示）</t>
        </is>
      </c>
      <c r="C232" s="10" t="inlineStr">
        <is>
          <t>运动户外</t>
        </is>
      </c>
      <c r="D232" s="10" t="inlineStr">
        <is>
          <t>弹力训练带</t>
        </is>
      </c>
      <c r="E232" s="10" t="inlineStr">
        <is>
          <t>河北白沟</t>
        </is>
      </c>
      <c r="F232" s="10" t="inlineStr">
        <is>
          <t>慧聪网</t>
        </is>
      </c>
      <c r="G232" s="10" t="inlineStr">
        <is>
          <t>周经理</t>
        </is>
      </c>
      <c r="H232" s="10" t="inlineStr">
        <is>
          <t>000-0000-0228</t>
        </is>
      </c>
      <c r="I232" s="10" t="inlineStr">
        <is>
          <t>DEMO_GYS_0228</t>
        </is>
      </c>
      <c r="J232" s="11" t="n">
        <v>22.4</v>
      </c>
      <c r="K232" s="11" t="n">
        <v>43.2</v>
      </c>
      <c r="L232" s="12" t="n">
        <v>20</v>
      </c>
      <c r="M232" s="10" t="inlineStr">
        <is>
          <t>否</t>
        </is>
      </c>
      <c r="N232" s="10" t="inlineStr">
        <is>
          <t>否</t>
        </is>
      </c>
      <c r="O232" s="10" t="inlineStr">
        <is>
          <t>supplier0228@example.com</t>
        </is>
      </c>
      <c r="P232" s="10" t="inlineStr">
        <is>
          <t>https://example.com/supplier/0228</t>
        </is>
      </c>
      <c r="Q232" s="10">
        <f>IF(R232&gt;=85,"A",IF(R232&gt;=70,"B","C"))</f>
        <v/>
      </c>
      <c r="R232" s="13">
        <f>MIN(100,50+IF(M232="是",10,0)+IF(N232="是",10,0)+IF(L232&lt;=100,10,IF(L232&lt;=300,5,0))+IF(J232&lt;=20,10,IF(J232&lt;=50,5,0))+IF(K232-J232&lt;=20,5,0)+IF(F232="企业官网",5,0))</f>
        <v/>
      </c>
      <c r="S232" s="10">
        <f>IF(Q232="A","价格与起订量有优势，建议优先询盘",IF(Q232="B","条件较均衡，可作为备选","起订量或价格需要进一步确认"))</f>
        <v/>
      </c>
      <c r="T232" s="10" t="inlineStr">
        <is>
          <t>未联系</t>
        </is>
      </c>
      <c r="U232" s="10" t="inlineStr">
        <is>
          <t>虚构演示数据</t>
        </is>
      </c>
    </row>
    <row r="233" ht="21" customHeight="1">
      <c r="A233" s="10" t="inlineStr">
        <is>
          <t>GYS-0229</t>
        </is>
      </c>
      <c r="B233" s="10" t="inlineStr">
        <is>
          <t>义乌办公文具供应链0229有限公司（演示）</t>
        </is>
      </c>
      <c r="C233" s="10" t="inlineStr">
        <is>
          <t>办公文具</t>
        </is>
      </c>
      <c r="D233" s="10" t="inlineStr">
        <is>
          <t>桌面收纳架</t>
        </is>
      </c>
      <c r="E233" s="10" t="inlineStr">
        <is>
          <t>浙江义乌</t>
        </is>
      </c>
      <c r="F233" s="10" t="inlineStr">
        <is>
          <t>1688</t>
        </is>
      </c>
      <c r="G233" s="10" t="inlineStr">
        <is>
          <t>吴经理</t>
        </is>
      </c>
      <c r="H233" s="10" t="inlineStr">
        <is>
          <t>000-0000-0229</t>
        </is>
      </c>
      <c r="I233" s="10" t="inlineStr">
        <is>
          <t>DEMO_GYS_0229</t>
        </is>
      </c>
      <c r="J233" s="11" t="n">
        <v>24.1</v>
      </c>
      <c r="K233" s="11" t="n">
        <v>46</v>
      </c>
      <c r="L233" s="12" t="n">
        <v>500</v>
      </c>
      <c r="M233" s="10" t="inlineStr">
        <is>
          <t>是</t>
        </is>
      </c>
      <c r="N233" s="10" t="inlineStr">
        <is>
          <t>是</t>
        </is>
      </c>
      <c r="O233" s="10" t="inlineStr">
        <is>
          <t>supplier0229@example.com</t>
        </is>
      </c>
      <c r="P233" s="10" t="inlineStr">
        <is>
          <t>https://example.com/supplier/0229</t>
        </is>
      </c>
      <c r="Q233" s="10">
        <f>IF(R233&gt;=85,"A",IF(R233&gt;=70,"B","C"))</f>
        <v/>
      </c>
      <c r="R233" s="13">
        <f>MIN(100,50+IF(M233="是",10,0)+IF(N233="是",10,0)+IF(L233&lt;=100,10,IF(L233&lt;=300,5,0))+IF(J233&lt;=20,10,IF(J233&lt;=50,5,0))+IF(K233-J233&lt;=20,5,0)+IF(F233="企业官网",5,0))</f>
        <v/>
      </c>
      <c r="S233" s="10">
        <f>IF(Q233="A","价格与起订量有优势，建议优先询盘",IF(Q233="B","条件较均衡，可作为备选","起订量或价格需要进一步确认"))</f>
        <v/>
      </c>
      <c r="T233" s="10" t="inlineStr">
        <is>
          <t>未联系</t>
        </is>
      </c>
      <c r="U233" s="10" t="inlineStr">
        <is>
          <t>虚构演示数据</t>
        </is>
      </c>
    </row>
    <row r="234" ht="21" customHeight="1">
      <c r="A234" s="10" t="inlineStr">
        <is>
          <t>GYS-0230</t>
        </is>
      </c>
      <c r="B234" s="10" t="inlineStr">
        <is>
          <t>台州汽车用品供应链0230有限公司（演示）</t>
        </is>
      </c>
      <c r="C234" s="10" t="inlineStr">
        <is>
          <t>汽车用品</t>
        </is>
      </c>
      <c r="D234" s="10" t="inlineStr">
        <is>
          <t>车载香薰</t>
        </is>
      </c>
      <c r="E234" s="10" t="inlineStr">
        <is>
          <t>浙江台州</t>
        </is>
      </c>
      <c r="F234" s="10" t="inlineStr">
        <is>
          <t>中国制造网</t>
        </is>
      </c>
      <c r="G234" s="10" t="inlineStr">
        <is>
          <t>陈经理</t>
        </is>
      </c>
      <c r="H234" s="10" t="inlineStr">
        <is>
          <t>000-0000-0230</t>
        </is>
      </c>
      <c r="I234" s="10" t="inlineStr">
        <is>
          <t>DEMO_GYS_0230</t>
        </is>
      </c>
      <c r="J234" s="11" t="n">
        <v>25.8</v>
      </c>
      <c r="K234" s="11" t="n">
        <v>30.8</v>
      </c>
      <c r="L234" s="12" t="n">
        <v>300</v>
      </c>
      <c r="M234" s="10" t="inlineStr">
        <is>
          <t>是</t>
        </is>
      </c>
      <c r="N234" s="10" t="inlineStr">
        <is>
          <t>是</t>
        </is>
      </c>
      <c r="O234" s="10" t="inlineStr">
        <is>
          <t>supplier0230@example.com</t>
        </is>
      </c>
      <c r="P234" s="10" t="inlineStr">
        <is>
          <t>https://example.com/supplier/0230</t>
        </is>
      </c>
      <c r="Q234" s="10">
        <f>IF(R234&gt;=85,"A",IF(R234&gt;=70,"B","C"))</f>
        <v/>
      </c>
      <c r="R234" s="13">
        <f>MIN(100,50+IF(M234="是",10,0)+IF(N234="是",10,0)+IF(L234&lt;=100,10,IF(L234&lt;=300,5,0))+IF(J234&lt;=20,10,IF(J234&lt;=50,5,0))+IF(K234-J234&lt;=20,5,0)+IF(F234="企业官网",5,0))</f>
        <v/>
      </c>
      <c r="S234" s="10">
        <f>IF(Q234="A","价格与起订量有优势，建议优先询盘",IF(Q234="B","条件较均衡，可作为备选","起订量或价格需要进一步确认"))</f>
        <v/>
      </c>
      <c r="T234" s="10" t="inlineStr">
        <is>
          <t>未联系</t>
        </is>
      </c>
      <c r="U234" s="10" t="inlineStr">
        <is>
          <t>虚构演示数据</t>
        </is>
      </c>
    </row>
    <row r="235" ht="21" customHeight="1">
      <c r="A235" s="10" t="inlineStr">
        <is>
          <t>GYS-0231</t>
        </is>
      </c>
      <c r="B235" s="10" t="inlineStr">
        <is>
          <t>东莞美容工具供应链0231有限公司（演示）</t>
        </is>
      </c>
      <c r="C235" s="10" t="inlineStr">
        <is>
          <t>美容工具</t>
        </is>
      </c>
      <c r="D235" s="10" t="inlineStr">
        <is>
          <t>便携化妆镜</t>
        </is>
      </c>
      <c r="E235" s="10" t="inlineStr">
        <is>
          <t>广东东莞</t>
        </is>
      </c>
      <c r="F235" s="10" t="inlineStr">
        <is>
          <t>企业官网</t>
        </is>
      </c>
      <c r="G235" s="10" t="inlineStr">
        <is>
          <t>林经理</t>
        </is>
      </c>
      <c r="H235" s="10" t="inlineStr">
        <is>
          <t>000-0000-0231</t>
        </is>
      </c>
      <c r="I235" s="10" t="inlineStr">
        <is>
          <t>DEMO_GYS_0231</t>
        </is>
      </c>
      <c r="J235" s="11" t="n">
        <v>27.5</v>
      </c>
      <c r="K235" s="11" t="n">
        <v>33.6</v>
      </c>
      <c r="L235" s="12" t="n">
        <v>200</v>
      </c>
      <c r="M235" s="10" t="inlineStr">
        <is>
          <t>是</t>
        </is>
      </c>
      <c r="N235" s="10" t="inlineStr">
        <is>
          <t>否</t>
        </is>
      </c>
      <c r="O235" s="10" t="inlineStr">
        <is>
          <t>supplier0231@example.com</t>
        </is>
      </c>
      <c r="P235" s="10" t="inlineStr">
        <is>
          <t>https://example.com/supplier/0231</t>
        </is>
      </c>
      <c r="Q235" s="10">
        <f>IF(R235&gt;=85,"A",IF(R235&gt;=70,"B","C"))</f>
        <v/>
      </c>
      <c r="R235" s="13">
        <f>MIN(100,50+IF(M235="是",10,0)+IF(N235="是",10,0)+IF(L235&lt;=100,10,IF(L235&lt;=300,5,0))+IF(J235&lt;=20,10,IF(J235&lt;=50,5,0))+IF(K235-J235&lt;=20,5,0)+IF(F235="企业官网",5,0))</f>
        <v/>
      </c>
      <c r="S235" s="10">
        <f>IF(Q235="A","价格与起订量有优势，建议优先询盘",IF(Q235="B","条件较均衡，可作为备选","起订量或价格需要进一步确认"))</f>
        <v/>
      </c>
      <c r="T235" s="10" t="inlineStr">
        <is>
          <t>未联系</t>
        </is>
      </c>
      <c r="U235" s="10" t="inlineStr">
        <is>
          <t>虚构演示数据</t>
        </is>
      </c>
    </row>
    <row r="236" ht="21" customHeight="1">
      <c r="A236" s="10" t="inlineStr">
        <is>
          <t>GYS-0232</t>
        </is>
      </c>
      <c r="B236" s="10" t="inlineStr">
        <is>
          <t>厦门旅行用品供应链0232有限公司（演示）</t>
        </is>
      </c>
      <c r="C236" s="10" t="inlineStr">
        <is>
          <t>旅行用品</t>
        </is>
      </c>
      <c r="D236" s="10" t="inlineStr">
        <is>
          <t>压缩收纳袋</t>
        </is>
      </c>
      <c r="E236" s="10" t="inlineStr">
        <is>
          <t>福建厦门</t>
        </is>
      </c>
      <c r="F236" s="10" t="inlineStr">
        <is>
          <t>义乌购</t>
        </is>
      </c>
      <c r="G236" s="10" t="inlineStr">
        <is>
          <t>王经理</t>
        </is>
      </c>
      <c r="H236" s="10" t="inlineStr">
        <is>
          <t>000-0000-0232</t>
        </is>
      </c>
      <c r="I236" s="10" t="inlineStr">
        <is>
          <t>DEMO_GYS_0232</t>
        </is>
      </c>
      <c r="J236" s="11" t="n">
        <v>29.2</v>
      </c>
      <c r="K236" s="11" t="n">
        <v>36.4</v>
      </c>
      <c r="L236" s="12" t="n">
        <v>100</v>
      </c>
      <c r="M236" s="10" t="inlineStr">
        <is>
          <t>否</t>
        </is>
      </c>
      <c r="N236" s="10" t="inlineStr">
        <is>
          <t>是</t>
        </is>
      </c>
      <c r="O236" s="10" t="inlineStr">
        <is>
          <t>supplier0232@example.com</t>
        </is>
      </c>
      <c r="P236" s="10" t="inlineStr">
        <is>
          <t>https://example.com/supplier/0232</t>
        </is>
      </c>
      <c r="Q236" s="10">
        <f>IF(R236&gt;=85,"A",IF(R236&gt;=70,"B","C"))</f>
        <v/>
      </c>
      <c r="R236" s="13">
        <f>MIN(100,50+IF(M236="是",10,0)+IF(N236="是",10,0)+IF(L236&lt;=100,10,IF(L236&lt;=300,5,0))+IF(J236&lt;=20,10,IF(J236&lt;=50,5,0))+IF(K236-J236&lt;=20,5,0)+IF(F236="企业官网",5,0))</f>
        <v/>
      </c>
      <c r="S236" s="10">
        <f>IF(Q236="A","价格与起订量有优势，建议优先询盘",IF(Q236="B","条件较均衡，可作为备选","起订量或价格需要进一步确认"))</f>
        <v/>
      </c>
      <c r="T236" s="10" t="inlineStr">
        <is>
          <t>未联系</t>
        </is>
      </c>
      <c r="U236" s="10" t="inlineStr">
        <is>
          <t>虚构演示数据</t>
        </is>
      </c>
    </row>
    <row r="237" ht="21" customHeight="1">
      <c r="A237" s="10" t="inlineStr">
        <is>
          <t>GYS-0233</t>
        </is>
      </c>
      <c r="B237" s="10" t="inlineStr">
        <is>
          <t>临沂清洁工具供应链0233有限公司（演示）</t>
        </is>
      </c>
      <c r="C237" s="10" t="inlineStr">
        <is>
          <t>清洁工具</t>
        </is>
      </c>
      <c r="D237" s="10" t="inlineStr">
        <is>
          <t>免手洗拖把</t>
        </is>
      </c>
      <c r="E237" s="10" t="inlineStr">
        <is>
          <t>山东临沂</t>
        </is>
      </c>
      <c r="F237" s="10" t="inlineStr">
        <is>
          <t>慧聪网</t>
        </is>
      </c>
      <c r="G237" s="10" t="inlineStr">
        <is>
          <t>李经理</t>
        </is>
      </c>
      <c r="H237" s="10" t="inlineStr">
        <is>
          <t>000-0000-0233</t>
        </is>
      </c>
      <c r="I237" s="10" t="inlineStr">
        <is>
          <t>DEMO_GYS_0233</t>
        </is>
      </c>
      <c r="J237" s="11" t="n">
        <v>30.9</v>
      </c>
      <c r="K237" s="11" t="n">
        <v>39.2</v>
      </c>
      <c r="L237" s="12" t="n">
        <v>50</v>
      </c>
      <c r="M237" s="10" t="inlineStr">
        <is>
          <t>是</t>
        </is>
      </c>
      <c r="N237" s="10" t="inlineStr">
        <is>
          <t>是</t>
        </is>
      </c>
      <c r="O237" s="10" t="inlineStr">
        <is>
          <t>supplier0233@example.com</t>
        </is>
      </c>
      <c r="P237" s="10" t="inlineStr">
        <is>
          <t>https://example.com/supplier/0233</t>
        </is>
      </c>
      <c r="Q237" s="10">
        <f>IF(R237&gt;=85,"A",IF(R237&gt;=70,"B","C"))</f>
        <v/>
      </c>
      <c r="R237" s="13">
        <f>MIN(100,50+IF(M237="是",10,0)+IF(N237="是",10,0)+IF(L237&lt;=100,10,IF(L237&lt;=300,5,0))+IF(J237&lt;=20,10,IF(J237&lt;=50,5,0))+IF(K237-J237&lt;=20,5,0)+IF(F237="企业官网",5,0))</f>
        <v/>
      </c>
      <c r="S237" s="10">
        <f>IF(Q237="A","价格与起订量有优势，建议优先询盘",IF(Q237="B","条件较均衡，可作为备选","起订量或价格需要进一步确认"))</f>
        <v/>
      </c>
      <c r="T237" s="10" t="inlineStr">
        <is>
          <t>未联系</t>
        </is>
      </c>
      <c r="U237" s="10" t="inlineStr">
        <is>
          <t>虚构演示数据</t>
        </is>
      </c>
    </row>
    <row r="238" ht="21" customHeight="1">
      <c r="A238" s="10" t="inlineStr">
        <is>
          <t>GYS-0234</t>
        </is>
      </c>
      <c r="B238" s="10" t="inlineStr">
        <is>
          <t>南昌小家电供应链0234有限公司（演示）</t>
        </is>
      </c>
      <c r="C238" s="10" t="inlineStr">
        <is>
          <t>小家电</t>
        </is>
      </c>
      <c r="D238" s="10" t="inlineStr">
        <is>
          <t>迷你加湿器</t>
        </is>
      </c>
      <c r="E238" s="10" t="inlineStr">
        <is>
          <t>江西南昌</t>
        </is>
      </c>
      <c r="F238" s="10" t="inlineStr">
        <is>
          <t>1688</t>
        </is>
      </c>
      <c r="G238" s="10" t="inlineStr">
        <is>
          <t>张经理</t>
        </is>
      </c>
      <c r="H238" s="10" t="inlineStr">
        <is>
          <t>000-0000-0234</t>
        </is>
      </c>
      <c r="I238" s="10" t="inlineStr">
        <is>
          <t>DEMO_GYS_0234</t>
        </is>
      </c>
      <c r="J238" s="11" t="n">
        <v>32.6</v>
      </c>
      <c r="K238" s="11" t="n">
        <v>42</v>
      </c>
      <c r="L238" s="12" t="n">
        <v>20</v>
      </c>
      <c r="M238" s="10" t="inlineStr">
        <is>
          <t>是</t>
        </is>
      </c>
      <c r="N238" s="10" t="inlineStr">
        <is>
          <t>否</t>
        </is>
      </c>
      <c r="O238" s="10" t="inlineStr">
        <is>
          <t>supplier0234@example.com</t>
        </is>
      </c>
      <c r="P238" s="10" t="inlineStr">
        <is>
          <t>https://example.com/supplier/0234</t>
        </is>
      </c>
      <c r="Q238" s="10">
        <f>IF(R238&gt;=85,"A",IF(R238&gt;=70,"B","C"))</f>
        <v/>
      </c>
      <c r="R238" s="13">
        <f>MIN(100,50+IF(M238="是",10,0)+IF(N238="是",10,0)+IF(L238&lt;=100,10,IF(L238&lt;=300,5,0))+IF(J238&lt;=20,10,IF(J238&lt;=50,5,0))+IF(K238-J238&lt;=20,5,0)+IF(F238="企业官网",5,0))</f>
        <v/>
      </c>
      <c r="S238" s="10">
        <f>IF(Q238="A","价格与起订量有优势，建议优先询盘",IF(Q238="B","条件较均衡，可作为备选","起订量或价格需要进一步确认"))</f>
        <v/>
      </c>
      <c r="T238" s="10" t="inlineStr">
        <is>
          <t>未联系</t>
        </is>
      </c>
      <c r="U238" s="10" t="inlineStr">
        <is>
          <t>虚构演示数据</t>
        </is>
      </c>
    </row>
    <row r="239" ht="21" customHeight="1">
      <c r="A239" s="10" t="inlineStr">
        <is>
          <t>GYS-0235</t>
        </is>
      </c>
      <c r="B239" s="10" t="inlineStr">
        <is>
          <t>温州礼品包装供应链0235有限公司（演示）</t>
        </is>
      </c>
      <c r="C239" s="10" t="inlineStr">
        <is>
          <t>礼品包装</t>
        </is>
      </c>
      <c r="D239" s="10" t="inlineStr">
        <is>
          <t>节日礼盒</t>
        </is>
      </c>
      <c r="E239" s="10" t="inlineStr">
        <is>
          <t>浙江温州</t>
        </is>
      </c>
      <c r="F239" s="10" t="inlineStr">
        <is>
          <t>中国制造网</t>
        </is>
      </c>
      <c r="G239" s="10" t="inlineStr">
        <is>
          <t>刘经理</t>
        </is>
      </c>
      <c r="H239" s="10" t="inlineStr">
        <is>
          <t>000-0000-0235</t>
        </is>
      </c>
      <c r="I239" s="10" t="inlineStr">
        <is>
          <t>DEMO_GYS_0235</t>
        </is>
      </c>
      <c r="J239" s="11" t="n">
        <v>34.3</v>
      </c>
      <c r="K239" s="11" t="n">
        <v>44.8</v>
      </c>
      <c r="L239" s="12" t="n">
        <v>500</v>
      </c>
      <c r="M239" s="10" t="inlineStr">
        <is>
          <t>是</t>
        </is>
      </c>
      <c r="N239" s="10" t="inlineStr">
        <is>
          <t>是</t>
        </is>
      </c>
      <c r="O239" s="10" t="inlineStr">
        <is>
          <t>supplier0235@example.com</t>
        </is>
      </c>
      <c r="P239" s="10" t="inlineStr">
        <is>
          <t>https://example.com/supplier/0235</t>
        </is>
      </c>
      <c r="Q239" s="10">
        <f>IF(R239&gt;=85,"A",IF(R239&gt;=70,"B","C"))</f>
        <v/>
      </c>
      <c r="R239" s="13">
        <f>MIN(100,50+IF(M239="是",10,0)+IF(N239="是",10,0)+IF(L239&lt;=100,10,IF(L239&lt;=300,5,0))+IF(J239&lt;=20,10,IF(J239&lt;=50,5,0))+IF(K239-J239&lt;=20,5,0)+IF(F239="企业官网",5,0))</f>
        <v/>
      </c>
      <c r="S239" s="10">
        <f>IF(Q239="A","价格与起订量有优势，建议优先询盘",IF(Q239="B","条件较均衡，可作为备选","起订量或价格需要进一步确认"))</f>
        <v/>
      </c>
      <c r="T239" s="10" t="inlineStr">
        <is>
          <t>未联系</t>
        </is>
      </c>
      <c r="U239" s="10" t="inlineStr">
        <is>
          <t>虚构演示数据</t>
        </is>
      </c>
    </row>
    <row r="240" ht="21" customHeight="1">
      <c r="A240" s="10" t="inlineStr">
        <is>
          <t>GYS-0236</t>
        </is>
      </c>
      <c r="B240" s="10" t="inlineStr">
        <is>
          <t>广州五金工具供应链0236有限公司（演示）</t>
        </is>
      </c>
      <c r="C240" s="10" t="inlineStr">
        <is>
          <t>五金工具</t>
        </is>
      </c>
      <c r="D240" s="10" t="inlineStr">
        <is>
          <t>多功能螺丝刀</t>
        </is>
      </c>
      <c r="E240" s="10" t="inlineStr">
        <is>
          <t>广东广州</t>
        </is>
      </c>
      <c r="F240" s="10" t="inlineStr">
        <is>
          <t>企业官网</t>
        </is>
      </c>
      <c r="G240" s="10" t="inlineStr">
        <is>
          <t>黄经理</t>
        </is>
      </c>
      <c r="H240" s="10" t="inlineStr">
        <is>
          <t>000-0000-0236</t>
        </is>
      </c>
      <c r="I240" s="10" t="inlineStr">
        <is>
          <t>DEMO_GYS_0236</t>
        </is>
      </c>
      <c r="J240" s="11" t="n">
        <v>36</v>
      </c>
      <c r="K240" s="11" t="n">
        <v>47.6</v>
      </c>
      <c r="L240" s="12" t="n">
        <v>300</v>
      </c>
      <c r="M240" s="10" t="inlineStr">
        <is>
          <t>否</t>
        </is>
      </c>
      <c r="N240" s="10" t="inlineStr">
        <is>
          <t>是</t>
        </is>
      </c>
      <c r="O240" s="10" t="inlineStr">
        <is>
          <t>supplier0236@example.com</t>
        </is>
      </c>
      <c r="P240" s="10" t="inlineStr">
        <is>
          <t>https://example.com/supplier/0236</t>
        </is>
      </c>
      <c r="Q240" s="10">
        <f>IF(R240&gt;=85,"A",IF(R240&gt;=70,"B","C"))</f>
        <v/>
      </c>
      <c r="R240" s="13">
        <f>MIN(100,50+IF(M240="是",10,0)+IF(N240="是",10,0)+IF(L240&lt;=100,10,IF(L240&lt;=300,5,0))+IF(J240&lt;=20,10,IF(J240&lt;=50,5,0))+IF(K240-J240&lt;=20,5,0)+IF(F240="企业官网",5,0))</f>
        <v/>
      </c>
      <c r="S240" s="10">
        <f>IF(Q240="A","价格与起订量有优势，建议优先询盘",IF(Q240="B","条件较均衡，可作为备选","起订量或价格需要进一步确认"))</f>
        <v/>
      </c>
      <c r="T240" s="10" t="inlineStr">
        <is>
          <t>未联系</t>
        </is>
      </c>
      <c r="U240" s="10" t="inlineStr">
        <is>
          <t>虚构演示数据</t>
        </is>
      </c>
    </row>
    <row r="241" ht="21" customHeight="1">
      <c r="A241" s="10" t="inlineStr">
        <is>
          <t>GYS-0237</t>
        </is>
      </c>
      <c r="B241" s="10" t="inlineStr">
        <is>
          <t>泉州鞋靴配件供应链0237有限公司（演示）</t>
        </is>
      </c>
      <c r="C241" s="10" t="inlineStr">
        <is>
          <t>鞋靴配件</t>
        </is>
      </c>
      <c r="D241" s="10" t="inlineStr">
        <is>
          <t>防磨脚贴</t>
        </is>
      </c>
      <c r="E241" s="10" t="inlineStr">
        <is>
          <t>福建泉州</t>
        </is>
      </c>
      <c r="F241" s="10" t="inlineStr">
        <is>
          <t>义乌购</t>
        </is>
      </c>
      <c r="G241" s="10" t="inlineStr">
        <is>
          <t>赵经理</t>
        </is>
      </c>
      <c r="H241" s="10" t="inlineStr">
        <is>
          <t>000-0000-0237</t>
        </is>
      </c>
      <c r="I241" s="10" t="inlineStr">
        <is>
          <t>DEMO_GYS_0237</t>
        </is>
      </c>
      <c r="J241" s="11" t="n">
        <v>37.7</v>
      </c>
      <c r="K241" s="11" t="n">
        <v>50.4</v>
      </c>
      <c r="L241" s="12" t="n">
        <v>200</v>
      </c>
      <c r="M241" s="10" t="inlineStr">
        <is>
          <t>是</t>
        </is>
      </c>
      <c r="N241" s="10" t="inlineStr">
        <is>
          <t>否</t>
        </is>
      </c>
      <c r="O241" s="10" t="inlineStr">
        <is>
          <t>supplier0237@example.com</t>
        </is>
      </c>
      <c r="P241" s="10" t="inlineStr">
        <is>
          <t>https://example.com/supplier/0237</t>
        </is>
      </c>
      <c r="Q241" s="10">
        <f>IF(R241&gt;=85,"A",IF(R241&gt;=70,"B","C"))</f>
        <v/>
      </c>
      <c r="R241" s="13">
        <f>MIN(100,50+IF(M241="是",10,0)+IF(N241="是",10,0)+IF(L241&lt;=100,10,IF(L241&lt;=300,5,0))+IF(J241&lt;=20,10,IF(J241&lt;=50,5,0))+IF(K241-J241&lt;=20,5,0)+IF(F241="企业官网",5,0))</f>
        <v/>
      </c>
      <c r="S241" s="10">
        <f>IF(Q241="A","价格与起订量有优势，建议优先询盘",IF(Q241="B","条件较均衡，可作为备选","起订量或价格需要进一步确认"))</f>
        <v/>
      </c>
      <c r="T241" s="10" t="inlineStr">
        <is>
          <t>未联系</t>
        </is>
      </c>
      <c r="U241" s="10" t="inlineStr">
        <is>
          <t>虚构演示数据</t>
        </is>
      </c>
    </row>
    <row r="242" ht="21" customHeight="1">
      <c r="A242" s="10" t="inlineStr">
        <is>
          <t>GYS-0238</t>
        </is>
      </c>
      <c r="B242" s="10" t="inlineStr">
        <is>
          <t>南通食品包装供应链0238有限公司（演示）</t>
        </is>
      </c>
      <c r="C242" s="10" t="inlineStr">
        <is>
          <t>食品包装</t>
        </is>
      </c>
      <c r="D242" s="10" t="inlineStr">
        <is>
          <t>密封包装袋</t>
        </is>
      </c>
      <c r="E242" s="10" t="inlineStr">
        <is>
          <t>江苏南通</t>
        </is>
      </c>
      <c r="F242" s="10" t="inlineStr">
        <is>
          <t>慧聪网</t>
        </is>
      </c>
      <c r="G242" s="10" t="inlineStr">
        <is>
          <t>周经理</t>
        </is>
      </c>
      <c r="H242" s="10" t="inlineStr">
        <is>
          <t>000-0000-0238</t>
        </is>
      </c>
      <c r="I242" s="10" t="inlineStr">
        <is>
          <t>DEMO_GYS_0238</t>
        </is>
      </c>
      <c r="J242" s="11" t="n">
        <v>39.4</v>
      </c>
      <c r="K242" s="11" t="n">
        <v>53.2</v>
      </c>
      <c r="L242" s="12" t="n">
        <v>100</v>
      </c>
      <c r="M242" s="10" t="inlineStr">
        <is>
          <t>是</t>
        </is>
      </c>
      <c r="N242" s="10" t="inlineStr">
        <is>
          <t>是</t>
        </is>
      </c>
      <c r="O242" s="10" t="inlineStr">
        <is>
          <t>supplier0238@example.com</t>
        </is>
      </c>
      <c r="P242" s="10" t="inlineStr">
        <is>
          <t>https://example.com/supplier/0238</t>
        </is>
      </c>
      <c r="Q242" s="10">
        <f>IF(R242&gt;=85,"A",IF(R242&gt;=70,"B","C"))</f>
        <v/>
      </c>
      <c r="R242" s="13">
        <f>MIN(100,50+IF(M242="是",10,0)+IF(N242="是",10,0)+IF(L242&lt;=100,10,IF(L242&lt;=300,5,0))+IF(J242&lt;=20,10,IF(J242&lt;=50,5,0))+IF(K242-J242&lt;=20,5,0)+IF(F242="企业官网",5,0))</f>
        <v/>
      </c>
      <c r="S242" s="10">
        <f>IF(Q242="A","价格与起订量有优势，建议优先询盘",IF(Q242="B","条件较均衡，可作为备选","起订量或价格需要进一步确认"))</f>
        <v/>
      </c>
      <c r="T242" s="10" t="inlineStr">
        <is>
          <t>未联系</t>
        </is>
      </c>
      <c r="U242" s="10" t="inlineStr">
        <is>
          <t>虚构演示数据</t>
        </is>
      </c>
    </row>
    <row r="243" ht="21" customHeight="1">
      <c r="A243" s="10" t="inlineStr">
        <is>
          <t>GYS-0239</t>
        </is>
      </c>
      <c r="B243" s="10" t="inlineStr">
        <is>
          <t>郑州户外照明供应链0239有限公司（演示）</t>
        </is>
      </c>
      <c r="C243" s="10" t="inlineStr">
        <is>
          <t>户外照明</t>
        </is>
      </c>
      <c r="D243" s="10" t="inlineStr">
        <is>
          <t>便携露营灯</t>
        </is>
      </c>
      <c r="E243" s="10" t="inlineStr">
        <is>
          <t>河南郑州</t>
        </is>
      </c>
      <c r="F243" s="10" t="inlineStr">
        <is>
          <t>1688</t>
        </is>
      </c>
      <c r="G243" s="10" t="inlineStr">
        <is>
          <t>吴经理</t>
        </is>
      </c>
      <c r="H243" s="10" t="inlineStr">
        <is>
          <t>000-0000-0239</t>
        </is>
      </c>
      <c r="I243" s="10" t="inlineStr">
        <is>
          <t>DEMO_GYS_0239</t>
        </is>
      </c>
      <c r="J243" s="11" t="n">
        <v>41.1</v>
      </c>
      <c r="K243" s="11" t="n">
        <v>56</v>
      </c>
      <c r="L243" s="12" t="n">
        <v>50</v>
      </c>
      <c r="M243" s="10" t="inlineStr">
        <is>
          <t>是</t>
        </is>
      </c>
      <c r="N243" s="10" t="inlineStr">
        <is>
          <t>是</t>
        </is>
      </c>
      <c r="O243" s="10" t="inlineStr">
        <is>
          <t>supplier0239@example.com</t>
        </is>
      </c>
      <c r="P243" s="10" t="inlineStr">
        <is>
          <t>https://example.com/supplier/0239</t>
        </is>
      </c>
      <c r="Q243" s="10">
        <f>IF(R243&gt;=85,"A",IF(R243&gt;=70,"B","C"))</f>
        <v/>
      </c>
      <c r="R243" s="13">
        <f>MIN(100,50+IF(M243="是",10,0)+IF(N243="是",10,0)+IF(L243&lt;=100,10,IF(L243&lt;=300,5,0))+IF(J243&lt;=20,10,IF(J243&lt;=50,5,0))+IF(K243-J243&lt;=20,5,0)+IF(F243="企业官网",5,0))</f>
        <v/>
      </c>
      <c r="S243" s="10">
        <f>IF(Q243="A","价格与起订量有优势，建议优先询盘",IF(Q243="B","条件较均衡，可作为备选","起订量或价格需要进一步确认"))</f>
        <v/>
      </c>
      <c r="T243" s="10" t="inlineStr">
        <is>
          <t>未联系</t>
        </is>
      </c>
      <c r="U243" s="10" t="inlineStr">
        <is>
          <t>虚构演示数据</t>
        </is>
      </c>
    </row>
    <row r="244" ht="21" customHeight="1">
      <c r="A244" s="10" t="inlineStr">
        <is>
          <t>GYS-0240</t>
        </is>
      </c>
      <c r="B244" s="10" t="inlineStr">
        <is>
          <t>宁波健康用品供应链0240有限公司（演示）</t>
        </is>
      </c>
      <c r="C244" s="10" t="inlineStr">
        <is>
          <t>健康用品</t>
        </is>
      </c>
      <c r="D244" s="10" t="inlineStr">
        <is>
          <t>热敷眼罩</t>
        </is>
      </c>
      <c r="E244" s="10" t="inlineStr">
        <is>
          <t>浙江宁波</t>
        </is>
      </c>
      <c r="F244" s="10" t="inlineStr">
        <is>
          <t>中国制造网</t>
        </is>
      </c>
      <c r="G244" s="10" t="inlineStr">
        <is>
          <t>陈经理</t>
        </is>
      </c>
      <c r="H244" s="10" t="inlineStr">
        <is>
          <t>000-0000-0240</t>
        </is>
      </c>
      <c r="I244" s="10" t="inlineStr">
        <is>
          <t>DEMO_GYS_0240</t>
        </is>
      </c>
      <c r="J244" s="11" t="n">
        <v>42.8</v>
      </c>
      <c r="K244" s="11" t="n">
        <v>58.8</v>
      </c>
      <c r="L244" s="12" t="n">
        <v>20</v>
      </c>
      <c r="M244" s="10" t="inlineStr">
        <is>
          <t>否</t>
        </is>
      </c>
      <c r="N244" s="10" t="inlineStr">
        <is>
          <t>否</t>
        </is>
      </c>
      <c r="O244" s="10" t="inlineStr">
        <is>
          <t>supplier0240@example.com</t>
        </is>
      </c>
      <c r="P244" s="10" t="inlineStr">
        <is>
          <t>https://example.com/supplier/0240</t>
        </is>
      </c>
      <c r="Q244" s="10">
        <f>IF(R244&gt;=85,"A",IF(R244&gt;=70,"B","C"))</f>
        <v/>
      </c>
      <c r="R244" s="13">
        <f>MIN(100,50+IF(M244="是",10,0)+IF(N244="是",10,0)+IF(L244&lt;=100,10,IF(L244&lt;=300,5,0))+IF(J244&lt;=20,10,IF(J244&lt;=50,5,0))+IF(K244-J244&lt;=20,5,0)+IF(F244="企业官网",5,0))</f>
        <v/>
      </c>
      <c r="S244" s="10">
        <f>IF(Q244="A","价格与起订量有优势，建议优先询盘",IF(Q244="B","条件较均衡，可作为备选","起订量或价格需要进一步确认"))</f>
        <v/>
      </c>
      <c r="T244" s="10" t="inlineStr">
        <is>
          <t>未联系</t>
        </is>
      </c>
      <c r="U244" s="10" t="inlineStr">
        <is>
          <t>虚构演示数据</t>
        </is>
      </c>
    </row>
    <row r="245" ht="21" customHeight="1">
      <c r="A245" s="10" t="inlineStr">
        <is>
          <t>GYS-0241</t>
        </is>
      </c>
      <c r="B245" s="10" t="inlineStr">
        <is>
          <t>深圳服饰内衣供应链0241有限公司（演示）</t>
        </is>
      </c>
      <c r="C245" s="10" t="inlineStr">
        <is>
          <t>服饰内衣</t>
        </is>
      </c>
      <c r="D245" s="10" t="inlineStr">
        <is>
          <t>防滑袜</t>
        </is>
      </c>
      <c r="E245" s="10" t="inlineStr">
        <is>
          <t>广东深圳</t>
        </is>
      </c>
      <c r="F245" s="10" t="inlineStr">
        <is>
          <t>企业官网</t>
        </is>
      </c>
      <c r="G245" s="10" t="inlineStr">
        <is>
          <t>林经理</t>
        </is>
      </c>
      <c r="H245" s="10" t="inlineStr">
        <is>
          <t>000-0000-0241</t>
        </is>
      </c>
      <c r="I245" s="10" t="inlineStr">
        <is>
          <t>DEMO_GYS_0241</t>
        </is>
      </c>
      <c r="J245" s="11" t="n">
        <v>44.5</v>
      </c>
      <c r="K245" s="11" t="n">
        <v>61.6</v>
      </c>
      <c r="L245" s="12" t="n">
        <v>500</v>
      </c>
      <c r="M245" s="10" t="inlineStr">
        <is>
          <t>是</t>
        </is>
      </c>
      <c r="N245" s="10" t="inlineStr">
        <is>
          <t>是</t>
        </is>
      </c>
      <c r="O245" s="10" t="inlineStr">
        <is>
          <t>supplier0241@example.com</t>
        </is>
      </c>
      <c r="P245" s="10" t="inlineStr">
        <is>
          <t>https://example.com/supplier/0241</t>
        </is>
      </c>
      <c r="Q245" s="10">
        <f>IF(R245&gt;=85,"A",IF(R245&gt;=70,"B","C"))</f>
        <v/>
      </c>
      <c r="R245" s="13">
        <f>MIN(100,50+IF(M245="是",10,0)+IF(N245="是",10,0)+IF(L245&lt;=100,10,IF(L245&lt;=300,5,0))+IF(J245&lt;=20,10,IF(J245&lt;=50,5,0))+IF(K245-J245&lt;=20,5,0)+IF(F245="企业官网",5,0))</f>
        <v/>
      </c>
      <c r="S245" s="10">
        <f>IF(Q245="A","价格与起订量有优势，建议优先询盘",IF(Q245="B","条件较均衡，可作为备选","起订量或价格需要进一步确认"))</f>
        <v/>
      </c>
      <c r="T245" s="10" t="inlineStr">
        <is>
          <t>未联系</t>
        </is>
      </c>
      <c r="U245" s="10" t="inlineStr">
        <is>
          <t>虚构演示数据</t>
        </is>
      </c>
    </row>
    <row r="246" ht="21" customHeight="1">
      <c r="A246" s="10" t="inlineStr">
        <is>
          <t>GYS-0242</t>
        </is>
      </c>
      <c r="B246" s="10" t="inlineStr">
        <is>
          <t>佛山家居日用供应链0242有限公司（演示）</t>
        </is>
      </c>
      <c r="C246" s="10" t="inlineStr">
        <is>
          <t>家居日用</t>
        </is>
      </c>
      <c r="D246" s="10" t="inlineStr">
        <is>
          <t>折叠收纳箱</t>
        </is>
      </c>
      <c r="E246" s="10" t="inlineStr">
        <is>
          <t>广东佛山</t>
        </is>
      </c>
      <c r="F246" s="10" t="inlineStr">
        <is>
          <t>义乌购</t>
        </is>
      </c>
      <c r="G246" s="10" t="inlineStr">
        <is>
          <t>王经理</t>
        </is>
      </c>
      <c r="H246" s="10" t="inlineStr">
        <is>
          <t>000-0000-0242</t>
        </is>
      </c>
      <c r="I246" s="10" t="inlineStr">
        <is>
          <t>DEMO_GYS_0242</t>
        </is>
      </c>
      <c r="J246" s="11" t="n">
        <v>46.2</v>
      </c>
      <c r="K246" s="11" t="n">
        <v>64.40000000000001</v>
      </c>
      <c r="L246" s="12" t="n">
        <v>300</v>
      </c>
      <c r="M246" s="10" t="inlineStr">
        <is>
          <t>是</t>
        </is>
      </c>
      <c r="N246" s="10" t="inlineStr">
        <is>
          <t>是</t>
        </is>
      </c>
      <c r="O246" s="10" t="inlineStr">
        <is>
          <t>supplier0242@example.com</t>
        </is>
      </c>
      <c r="P246" s="10" t="inlineStr">
        <is>
          <t>https://example.com/supplier/0242</t>
        </is>
      </c>
      <c r="Q246" s="10">
        <f>IF(R246&gt;=85,"A",IF(R246&gt;=70,"B","C"))</f>
        <v/>
      </c>
      <c r="R246" s="13">
        <f>MIN(100,50+IF(M246="是",10,0)+IF(N246="是",10,0)+IF(L246&lt;=100,10,IF(L246&lt;=300,5,0))+IF(J246&lt;=20,10,IF(J246&lt;=50,5,0))+IF(K246-J246&lt;=20,5,0)+IF(F246="企业官网",5,0))</f>
        <v/>
      </c>
      <c r="S246" s="10">
        <f>IF(Q246="A","价格与起订量有优势，建议优先询盘",IF(Q246="B","条件较均衡，可作为备选","起订量或价格需要进一步确认"))</f>
        <v/>
      </c>
      <c r="T246" s="10" t="inlineStr">
        <is>
          <t>未联系</t>
        </is>
      </c>
      <c r="U246" s="10" t="inlineStr">
        <is>
          <t>虚构演示数据</t>
        </is>
      </c>
    </row>
    <row r="247" ht="21" customHeight="1">
      <c r="A247" s="10" t="inlineStr">
        <is>
          <t>GYS-0243</t>
        </is>
      </c>
      <c r="B247" s="10" t="inlineStr">
        <is>
          <t>苏州个护清洁供应链0243有限公司（演示）</t>
        </is>
      </c>
      <c r="C247" s="10" t="inlineStr">
        <is>
          <t>个护清洁</t>
        </is>
      </c>
      <c r="D247" s="10" t="inlineStr">
        <is>
          <t>便携洗脸巾</t>
        </is>
      </c>
      <c r="E247" s="10" t="inlineStr">
        <is>
          <t>江苏苏州</t>
        </is>
      </c>
      <c r="F247" s="10" t="inlineStr">
        <is>
          <t>慧聪网</t>
        </is>
      </c>
      <c r="G247" s="10" t="inlineStr">
        <is>
          <t>李经理</t>
        </is>
      </c>
      <c r="H247" s="10" t="inlineStr">
        <is>
          <t>000-0000-0243</t>
        </is>
      </c>
      <c r="I247" s="10" t="inlineStr">
        <is>
          <t>DEMO_GYS_0243</t>
        </is>
      </c>
      <c r="J247" s="11" t="n">
        <v>47.9</v>
      </c>
      <c r="K247" s="11" t="n">
        <v>67.2</v>
      </c>
      <c r="L247" s="12" t="n">
        <v>200</v>
      </c>
      <c r="M247" s="10" t="inlineStr">
        <is>
          <t>是</t>
        </is>
      </c>
      <c r="N247" s="10" t="inlineStr">
        <is>
          <t>否</t>
        </is>
      </c>
      <c r="O247" s="10" t="inlineStr">
        <is>
          <t>supplier0243@example.com</t>
        </is>
      </c>
      <c r="P247" s="10" t="inlineStr">
        <is>
          <t>https://example.com/supplier/0243</t>
        </is>
      </c>
      <c r="Q247" s="10">
        <f>IF(R247&gt;=85,"A",IF(R247&gt;=70,"B","C"))</f>
        <v/>
      </c>
      <c r="R247" s="13">
        <f>MIN(100,50+IF(M247="是",10,0)+IF(N247="是",10,0)+IF(L247&lt;=100,10,IF(L247&lt;=300,5,0))+IF(J247&lt;=20,10,IF(J247&lt;=50,5,0))+IF(K247-J247&lt;=20,5,0)+IF(F247="企业官网",5,0))</f>
        <v/>
      </c>
      <c r="S247" s="10">
        <f>IF(Q247="A","价格与起订量有优势，建议优先询盘",IF(Q247="B","条件较均衡，可作为备选","起订量或价格需要进一步确认"))</f>
        <v/>
      </c>
      <c r="T247" s="10" t="inlineStr">
        <is>
          <t>未联系</t>
        </is>
      </c>
      <c r="U247" s="10" t="inlineStr">
        <is>
          <t>虚构演示数据</t>
        </is>
      </c>
    </row>
    <row r="248" ht="21" customHeight="1">
      <c r="A248" s="10" t="inlineStr">
        <is>
          <t>GYS-0244</t>
        </is>
      </c>
      <c r="B248" s="10" t="inlineStr">
        <is>
          <t>白沟厨房用品供应链0244有限公司（演示）</t>
        </is>
      </c>
      <c r="C248" s="10" t="inlineStr">
        <is>
          <t>厨房用品</t>
        </is>
      </c>
      <c r="D248" s="10" t="inlineStr">
        <is>
          <t>硅胶保鲜盒</t>
        </is>
      </c>
      <c r="E248" s="10" t="inlineStr">
        <is>
          <t>河北白沟</t>
        </is>
      </c>
      <c r="F248" s="10" t="inlineStr">
        <is>
          <t>1688</t>
        </is>
      </c>
      <c r="G248" s="10" t="inlineStr">
        <is>
          <t>张经理</t>
        </is>
      </c>
      <c r="H248" s="10" t="inlineStr">
        <is>
          <t>000-0000-0244</t>
        </is>
      </c>
      <c r="I248" s="10" t="inlineStr">
        <is>
          <t>DEMO_GYS_0244</t>
        </is>
      </c>
      <c r="J248" s="11" t="n">
        <v>3.6</v>
      </c>
      <c r="K248" s="11" t="n">
        <v>24</v>
      </c>
      <c r="L248" s="12" t="n">
        <v>100</v>
      </c>
      <c r="M248" s="10" t="inlineStr">
        <is>
          <t>否</t>
        </is>
      </c>
      <c r="N248" s="10" t="inlineStr">
        <is>
          <t>是</t>
        </is>
      </c>
      <c r="O248" s="10" t="inlineStr">
        <is>
          <t>supplier0244@example.com</t>
        </is>
      </c>
      <c r="P248" s="10" t="inlineStr">
        <is>
          <t>https://example.com/supplier/0244</t>
        </is>
      </c>
      <c r="Q248" s="10">
        <f>IF(R248&gt;=85,"A",IF(R248&gt;=70,"B","C"))</f>
        <v/>
      </c>
      <c r="R248" s="13">
        <f>MIN(100,50+IF(M248="是",10,0)+IF(N248="是",10,0)+IF(L248&lt;=100,10,IF(L248&lt;=300,5,0))+IF(J248&lt;=20,10,IF(J248&lt;=50,5,0))+IF(K248-J248&lt;=20,5,0)+IF(F248="企业官网",5,0))</f>
        <v/>
      </c>
      <c r="S248" s="10">
        <f>IF(Q248="A","价格与起订量有优势，建议优先询盘",IF(Q248="B","条件较均衡，可作为备选","起订量或价格需要进一步确认"))</f>
        <v/>
      </c>
      <c r="T248" s="10" t="inlineStr">
        <is>
          <t>未联系</t>
        </is>
      </c>
      <c r="U248" s="10" t="inlineStr">
        <is>
          <t>虚构演示数据</t>
        </is>
      </c>
    </row>
    <row r="249" ht="21" customHeight="1">
      <c r="A249" s="10" t="inlineStr">
        <is>
          <t>GYS-0245</t>
        </is>
      </c>
      <c r="B249" s="10" t="inlineStr">
        <is>
          <t>义乌数码配件供应链0245有限公司（演示）</t>
        </is>
      </c>
      <c r="C249" s="10" t="inlineStr">
        <is>
          <t>数码配件</t>
        </is>
      </c>
      <c r="D249" s="10" t="inlineStr">
        <is>
          <t>磁吸手机支架</t>
        </is>
      </c>
      <c r="E249" s="10" t="inlineStr">
        <is>
          <t>浙江义乌</t>
        </is>
      </c>
      <c r="F249" s="10" t="inlineStr">
        <is>
          <t>中国制造网</t>
        </is>
      </c>
      <c r="G249" s="10" t="inlineStr">
        <is>
          <t>刘经理</t>
        </is>
      </c>
      <c r="H249" s="10" t="inlineStr">
        <is>
          <t>000-0000-0245</t>
        </is>
      </c>
      <c r="I249" s="10" t="inlineStr">
        <is>
          <t>DEMO_GYS_0245</t>
        </is>
      </c>
      <c r="J249" s="11" t="n">
        <v>5.3</v>
      </c>
      <c r="K249" s="11" t="n">
        <v>26.8</v>
      </c>
      <c r="L249" s="12" t="n">
        <v>50</v>
      </c>
      <c r="M249" s="10" t="inlineStr">
        <is>
          <t>是</t>
        </is>
      </c>
      <c r="N249" s="10" t="inlineStr">
        <is>
          <t>是</t>
        </is>
      </c>
      <c r="O249" s="10" t="inlineStr">
        <is>
          <t>supplier0245@example.com</t>
        </is>
      </c>
      <c r="P249" s="10" t="inlineStr">
        <is>
          <t>https://example.com/supplier/0245</t>
        </is>
      </c>
      <c r="Q249" s="10">
        <f>IF(R249&gt;=85,"A",IF(R249&gt;=70,"B","C"))</f>
        <v/>
      </c>
      <c r="R249" s="13">
        <f>MIN(100,50+IF(M249="是",10,0)+IF(N249="是",10,0)+IF(L249&lt;=100,10,IF(L249&lt;=300,5,0))+IF(J249&lt;=20,10,IF(J249&lt;=50,5,0))+IF(K249-J249&lt;=20,5,0)+IF(F249="企业官网",5,0))</f>
        <v/>
      </c>
      <c r="S249" s="10">
        <f>IF(Q249="A","价格与起订量有优势，建议优先询盘",IF(Q249="B","条件较均衡，可作为备选","起订量或价格需要进一步确认"))</f>
        <v/>
      </c>
      <c r="T249" s="10" t="inlineStr">
        <is>
          <t>未联系</t>
        </is>
      </c>
      <c r="U249" s="10" t="inlineStr">
        <is>
          <t>虚构演示数据</t>
        </is>
      </c>
    </row>
    <row r="250" ht="21" customHeight="1">
      <c r="A250" s="10" t="inlineStr">
        <is>
          <t>GYS-0246</t>
        </is>
      </c>
      <c r="B250" s="10" t="inlineStr">
        <is>
          <t>台州宠物用品供应链0246有限公司（演示）</t>
        </is>
      </c>
      <c r="C250" s="10" t="inlineStr">
        <is>
          <t>宠物用品</t>
        </is>
      </c>
      <c r="D250" s="10" t="inlineStr">
        <is>
          <t>宠物清洁手套</t>
        </is>
      </c>
      <c r="E250" s="10" t="inlineStr">
        <is>
          <t>浙江台州</t>
        </is>
      </c>
      <c r="F250" s="10" t="inlineStr">
        <is>
          <t>企业官网</t>
        </is>
      </c>
      <c r="G250" s="10" t="inlineStr">
        <is>
          <t>黄经理</t>
        </is>
      </c>
      <c r="H250" s="10" t="inlineStr">
        <is>
          <t>000-0000-0246</t>
        </is>
      </c>
      <c r="I250" s="10" t="inlineStr">
        <is>
          <t>DEMO_GYS_0246</t>
        </is>
      </c>
      <c r="J250" s="11" t="n">
        <v>7</v>
      </c>
      <c r="K250" s="11" t="n">
        <v>11.6</v>
      </c>
      <c r="L250" s="12" t="n">
        <v>20</v>
      </c>
      <c r="M250" s="10" t="inlineStr">
        <is>
          <t>是</t>
        </is>
      </c>
      <c r="N250" s="10" t="inlineStr">
        <is>
          <t>否</t>
        </is>
      </c>
      <c r="O250" s="10" t="inlineStr">
        <is>
          <t>supplier0246@example.com</t>
        </is>
      </c>
      <c r="P250" s="10" t="inlineStr">
        <is>
          <t>https://example.com/supplier/0246</t>
        </is>
      </c>
      <c r="Q250" s="10">
        <f>IF(R250&gt;=85,"A",IF(R250&gt;=70,"B","C"))</f>
        <v/>
      </c>
      <c r="R250" s="13">
        <f>MIN(100,50+IF(M250="是",10,0)+IF(N250="是",10,0)+IF(L250&lt;=100,10,IF(L250&lt;=300,5,0))+IF(J250&lt;=20,10,IF(J250&lt;=50,5,0))+IF(K250-J250&lt;=20,5,0)+IF(F250="企业官网",5,0))</f>
        <v/>
      </c>
      <c r="S250" s="10">
        <f>IF(Q250="A","价格与起订量有优势，建议优先询盘",IF(Q250="B","条件较均衡，可作为备选","起订量或价格需要进一步确认"))</f>
        <v/>
      </c>
      <c r="T250" s="10" t="inlineStr">
        <is>
          <t>未联系</t>
        </is>
      </c>
      <c r="U250" s="10" t="inlineStr">
        <is>
          <t>虚构演示数据</t>
        </is>
      </c>
    </row>
    <row r="251" ht="21" customHeight="1">
      <c r="A251" s="10" t="inlineStr">
        <is>
          <t>GYS-0247</t>
        </is>
      </c>
      <c r="B251" s="10" t="inlineStr">
        <is>
          <t>东莞母婴用品供应链0247有限公司（演示）</t>
        </is>
      </c>
      <c r="C251" s="10" t="inlineStr">
        <is>
          <t>母婴用品</t>
        </is>
      </c>
      <c r="D251" s="10" t="inlineStr">
        <is>
          <t>婴儿防撞条</t>
        </is>
      </c>
      <c r="E251" s="10" t="inlineStr">
        <is>
          <t>广东东莞</t>
        </is>
      </c>
      <c r="F251" s="10" t="inlineStr">
        <is>
          <t>义乌购</t>
        </is>
      </c>
      <c r="G251" s="10" t="inlineStr">
        <is>
          <t>赵经理</t>
        </is>
      </c>
      <c r="H251" s="10" t="inlineStr">
        <is>
          <t>000-0000-0247</t>
        </is>
      </c>
      <c r="I251" s="10" t="inlineStr">
        <is>
          <t>DEMO_GYS_0247</t>
        </is>
      </c>
      <c r="J251" s="11" t="n">
        <v>8.699999999999999</v>
      </c>
      <c r="K251" s="11" t="n">
        <v>14.4</v>
      </c>
      <c r="L251" s="12" t="n">
        <v>500</v>
      </c>
      <c r="M251" s="10" t="inlineStr">
        <is>
          <t>是</t>
        </is>
      </c>
      <c r="N251" s="10" t="inlineStr">
        <is>
          <t>是</t>
        </is>
      </c>
      <c r="O251" s="10" t="inlineStr">
        <is>
          <t>supplier0247@example.com</t>
        </is>
      </c>
      <c r="P251" s="10" t="inlineStr">
        <is>
          <t>https://example.com/supplier/0247</t>
        </is>
      </c>
      <c r="Q251" s="10">
        <f>IF(R251&gt;=85,"A",IF(R251&gt;=70,"B","C"))</f>
        <v/>
      </c>
      <c r="R251" s="13">
        <f>MIN(100,50+IF(M251="是",10,0)+IF(N251="是",10,0)+IF(L251&lt;=100,10,IF(L251&lt;=300,5,0))+IF(J251&lt;=20,10,IF(J251&lt;=50,5,0))+IF(K251-J251&lt;=20,5,0)+IF(F251="企业官网",5,0))</f>
        <v/>
      </c>
      <c r="S251" s="10">
        <f>IF(Q251="A","价格与起订量有优势，建议优先询盘",IF(Q251="B","条件较均衡，可作为备选","起订量或价格需要进一步确认"))</f>
        <v/>
      </c>
      <c r="T251" s="10" t="inlineStr">
        <is>
          <t>未联系</t>
        </is>
      </c>
      <c r="U251" s="10" t="inlineStr">
        <is>
          <t>虚构演示数据</t>
        </is>
      </c>
    </row>
    <row r="252" ht="21" customHeight="1">
      <c r="A252" s="10" t="inlineStr">
        <is>
          <t>GYS-0248</t>
        </is>
      </c>
      <c r="B252" s="10" t="inlineStr">
        <is>
          <t>厦门运动户外供应链0248有限公司（演示）</t>
        </is>
      </c>
      <c r="C252" s="10" t="inlineStr">
        <is>
          <t>运动户外</t>
        </is>
      </c>
      <c r="D252" s="10" t="inlineStr">
        <is>
          <t>弹力训练带</t>
        </is>
      </c>
      <c r="E252" s="10" t="inlineStr">
        <is>
          <t>福建厦门</t>
        </is>
      </c>
      <c r="F252" s="10" t="inlineStr">
        <is>
          <t>慧聪网</t>
        </is>
      </c>
      <c r="G252" s="10" t="inlineStr">
        <is>
          <t>周经理</t>
        </is>
      </c>
      <c r="H252" s="10" t="inlineStr">
        <is>
          <t>000-0000-0248</t>
        </is>
      </c>
      <c r="I252" s="10" t="inlineStr">
        <is>
          <t>DEMO_GYS_0248</t>
        </is>
      </c>
      <c r="J252" s="11" t="n">
        <v>10.4</v>
      </c>
      <c r="K252" s="11" t="n">
        <v>17.2</v>
      </c>
      <c r="L252" s="12" t="n">
        <v>300</v>
      </c>
      <c r="M252" s="10" t="inlineStr">
        <is>
          <t>否</t>
        </is>
      </c>
      <c r="N252" s="10" t="inlineStr">
        <is>
          <t>是</t>
        </is>
      </c>
      <c r="O252" s="10" t="inlineStr">
        <is>
          <t>supplier0248@example.com</t>
        </is>
      </c>
      <c r="P252" s="10" t="inlineStr">
        <is>
          <t>https://example.com/supplier/0248</t>
        </is>
      </c>
      <c r="Q252" s="10">
        <f>IF(R252&gt;=85,"A",IF(R252&gt;=70,"B","C"))</f>
        <v/>
      </c>
      <c r="R252" s="13">
        <f>MIN(100,50+IF(M252="是",10,0)+IF(N252="是",10,0)+IF(L252&lt;=100,10,IF(L252&lt;=300,5,0))+IF(J252&lt;=20,10,IF(J252&lt;=50,5,0))+IF(K252-J252&lt;=20,5,0)+IF(F252="企业官网",5,0))</f>
        <v/>
      </c>
      <c r="S252" s="10">
        <f>IF(Q252="A","价格与起订量有优势，建议优先询盘",IF(Q252="B","条件较均衡，可作为备选","起订量或价格需要进一步确认"))</f>
        <v/>
      </c>
      <c r="T252" s="10" t="inlineStr">
        <is>
          <t>未联系</t>
        </is>
      </c>
      <c r="U252" s="10" t="inlineStr">
        <is>
          <t>虚构演示数据</t>
        </is>
      </c>
    </row>
    <row r="253" ht="21" customHeight="1">
      <c r="A253" s="10" t="inlineStr">
        <is>
          <t>GYS-0249</t>
        </is>
      </c>
      <c r="B253" s="10" t="inlineStr">
        <is>
          <t>临沂办公文具供应链0249有限公司（演示）</t>
        </is>
      </c>
      <c r="C253" s="10" t="inlineStr">
        <is>
          <t>办公文具</t>
        </is>
      </c>
      <c r="D253" s="10" t="inlineStr">
        <is>
          <t>桌面收纳架</t>
        </is>
      </c>
      <c r="E253" s="10" t="inlineStr">
        <is>
          <t>山东临沂</t>
        </is>
      </c>
      <c r="F253" s="10" t="inlineStr">
        <is>
          <t>1688</t>
        </is>
      </c>
      <c r="G253" s="10" t="inlineStr">
        <is>
          <t>吴经理</t>
        </is>
      </c>
      <c r="H253" s="10" t="inlineStr">
        <is>
          <t>000-0000-0249</t>
        </is>
      </c>
      <c r="I253" s="10" t="inlineStr">
        <is>
          <t>DEMO_GYS_0249</t>
        </is>
      </c>
      <c r="J253" s="11" t="n">
        <v>12.1</v>
      </c>
      <c r="K253" s="11" t="n">
        <v>20</v>
      </c>
      <c r="L253" s="12" t="n">
        <v>200</v>
      </c>
      <c r="M253" s="10" t="inlineStr">
        <is>
          <t>是</t>
        </is>
      </c>
      <c r="N253" s="10" t="inlineStr">
        <is>
          <t>否</t>
        </is>
      </c>
      <c r="O253" s="10" t="inlineStr">
        <is>
          <t>supplier0249@example.com</t>
        </is>
      </c>
      <c r="P253" s="10" t="inlineStr">
        <is>
          <t>https://example.com/supplier/0249</t>
        </is>
      </c>
      <c r="Q253" s="10">
        <f>IF(R253&gt;=85,"A",IF(R253&gt;=70,"B","C"))</f>
        <v/>
      </c>
      <c r="R253" s="13">
        <f>MIN(100,50+IF(M253="是",10,0)+IF(N253="是",10,0)+IF(L253&lt;=100,10,IF(L253&lt;=300,5,0))+IF(J253&lt;=20,10,IF(J253&lt;=50,5,0))+IF(K253-J253&lt;=20,5,0)+IF(F253="企业官网",5,0))</f>
        <v/>
      </c>
      <c r="S253" s="10">
        <f>IF(Q253="A","价格与起订量有优势，建议优先询盘",IF(Q253="B","条件较均衡，可作为备选","起订量或价格需要进一步确认"))</f>
        <v/>
      </c>
      <c r="T253" s="10" t="inlineStr">
        <is>
          <t>未联系</t>
        </is>
      </c>
      <c r="U253" s="10" t="inlineStr">
        <is>
          <t>虚构演示数据</t>
        </is>
      </c>
    </row>
    <row r="254" ht="21" customHeight="1">
      <c r="A254" s="10" t="inlineStr">
        <is>
          <t>GYS-0250</t>
        </is>
      </c>
      <c r="B254" s="10" t="inlineStr">
        <is>
          <t>南昌汽车用品供应链0250有限公司（演示）</t>
        </is>
      </c>
      <c r="C254" s="10" t="inlineStr">
        <is>
          <t>汽车用品</t>
        </is>
      </c>
      <c r="D254" s="10" t="inlineStr">
        <is>
          <t>车载香薰</t>
        </is>
      </c>
      <c r="E254" s="10" t="inlineStr">
        <is>
          <t>江西南昌</t>
        </is>
      </c>
      <c r="F254" s="10" t="inlineStr">
        <is>
          <t>中国制造网</t>
        </is>
      </c>
      <c r="G254" s="10" t="inlineStr">
        <is>
          <t>陈经理</t>
        </is>
      </c>
      <c r="H254" s="10" t="inlineStr">
        <is>
          <t>000-0000-0250</t>
        </is>
      </c>
      <c r="I254" s="10" t="inlineStr">
        <is>
          <t>DEMO_GYS_0250</t>
        </is>
      </c>
      <c r="J254" s="11" t="n">
        <v>13.8</v>
      </c>
      <c r="K254" s="11" t="n">
        <v>22.8</v>
      </c>
      <c r="L254" s="12" t="n">
        <v>100</v>
      </c>
      <c r="M254" s="10" t="inlineStr">
        <is>
          <t>是</t>
        </is>
      </c>
      <c r="N254" s="10" t="inlineStr">
        <is>
          <t>是</t>
        </is>
      </c>
      <c r="O254" s="10" t="inlineStr">
        <is>
          <t>supplier0250@example.com</t>
        </is>
      </c>
      <c r="P254" s="10" t="inlineStr">
        <is>
          <t>https://example.com/supplier/0250</t>
        </is>
      </c>
      <c r="Q254" s="10">
        <f>IF(R254&gt;=85,"A",IF(R254&gt;=70,"B","C"))</f>
        <v/>
      </c>
      <c r="R254" s="13">
        <f>MIN(100,50+IF(M254="是",10,0)+IF(N254="是",10,0)+IF(L254&lt;=100,10,IF(L254&lt;=300,5,0))+IF(J254&lt;=20,10,IF(J254&lt;=50,5,0))+IF(K254-J254&lt;=20,5,0)+IF(F254="企业官网",5,0))</f>
        <v/>
      </c>
      <c r="S254" s="10">
        <f>IF(Q254="A","价格与起订量有优势，建议优先询盘",IF(Q254="B","条件较均衡，可作为备选","起订量或价格需要进一步确认"))</f>
        <v/>
      </c>
      <c r="T254" s="10" t="inlineStr">
        <is>
          <t>未联系</t>
        </is>
      </c>
      <c r="U254" s="10" t="inlineStr">
        <is>
          <t>虚构演示数据</t>
        </is>
      </c>
    </row>
    <row r="255" ht="21" customHeight="1">
      <c r="A255" s="10" t="inlineStr">
        <is>
          <t>GYS-0251</t>
        </is>
      </c>
      <c r="B255" s="10" t="inlineStr">
        <is>
          <t>温州美容工具供应链0251有限公司（演示）</t>
        </is>
      </c>
      <c r="C255" s="10" t="inlineStr">
        <is>
          <t>美容工具</t>
        </is>
      </c>
      <c r="D255" s="10" t="inlineStr">
        <is>
          <t>便携化妆镜</t>
        </is>
      </c>
      <c r="E255" s="10" t="inlineStr">
        <is>
          <t>浙江温州</t>
        </is>
      </c>
      <c r="F255" s="10" t="inlineStr">
        <is>
          <t>企业官网</t>
        </is>
      </c>
      <c r="G255" s="10" t="inlineStr">
        <is>
          <t>林经理</t>
        </is>
      </c>
      <c r="H255" s="10" t="inlineStr">
        <is>
          <t>000-0000-0251</t>
        </is>
      </c>
      <c r="I255" s="10" t="inlineStr">
        <is>
          <t>DEMO_GYS_0251</t>
        </is>
      </c>
      <c r="J255" s="11" t="n">
        <v>15.5</v>
      </c>
      <c r="K255" s="11" t="n">
        <v>25.6</v>
      </c>
      <c r="L255" s="12" t="n">
        <v>50</v>
      </c>
      <c r="M255" s="10" t="inlineStr">
        <is>
          <t>是</t>
        </is>
      </c>
      <c r="N255" s="10" t="inlineStr">
        <is>
          <t>是</t>
        </is>
      </c>
      <c r="O255" s="10" t="inlineStr">
        <is>
          <t>supplier0251@example.com</t>
        </is>
      </c>
      <c r="P255" s="10" t="inlineStr">
        <is>
          <t>https://example.com/supplier/0251</t>
        </is>
      </c>
      <c r="Q255" s="10">
        <f>IF(R255&gt;=85,"A",IF(R255&gt;=70,"B","C"))</f>
        <v/>
      </c>
      <c r="R255" s="13">
        <f>MIN(100,50+IF(M255="是",10,0)+IF(N255="是",10,0)+IF(L255&lt;=100,10,IF(L255&lt;=300,5,0))+IF(J255&lt;=20,10,IF(J255&lt;=50,5,0))+IF(K255-J255&lt;=20,5,0)+IF(F255="企业官网",5,0))</f>
        <v/>
      </c>
      <c r="S255" s="10">
        <f>IF(Q255="A","价格与起订量有优势，建议优先询盘",IF(Q255="B","条件较均衡，可作为备选","起订量或价格需要进一步确认"))</f>
        <v/>
      </c>
      <c r="T255" s="10" t="inlineStr">
        <is>
          <t>未联系</t>
        </is>
      </c>
      <c r="U255" s="10" t="inlineStr">
        <is>
          <t>虚构演示数据</t>
        </is>
      </c>
    </row>
    <row r="256" ht="21" customHeight="1">
      <c r="A256" s="10" t="inlineStr">
        <is>
          <t>GYS-0252</t>
        </is>
      </c>
      <c r="B256" s="10" t="inlineStr">
        <is>
          <t>广州旅行用品供应链0252有限公司（演示）</t>
        </is>
      </c>
      <c r="C256" s="10" t="inlineStr">
        <is>
          <t>旅行用品</t>
        </is>
      </c>
      <c r="D256" s="10" t="inlineStr">
        <is>
          <t>压缩收纳袋</t>
        </is>
      </c>
      <c r="E256" s="10" t="inlineStr">
        <is>
          <t>广东广州</t>
        </is>
      </c>
      <c r="F256" s="10" t="inlineStr">
        <is>
          <t>义乌购</t>
        </is>
      </c>
      <c r="G256" s="10" t="inlineStr">
        <is>
          <t>王经理</t>
        </is>
      </c>
      <c r="H256" s="10" t="inlineStr">
        <is>
          <t>000-0000-0252</t>
        </is>
      </c>
      <c r="I256" s="10" t="inlineStr">
        <is>
          <t>DEMO_GYS_0252</t>
        </is>
      </c>
      <c r="J256" s="11" t="n">
        <v>17.2</v>
      </c>
      <c r="K256" s="11" t="n">
        <v>28.4</v>
      </c>
      <c r="L256" s="12" t="n">
        <v>20</v>
      </c>
      <c r="M256" s="10" t="inlineStr">
        <is>
          <t>否</t>
        </is>
      </c>
      <c r="N256" s="10" t="inlineStr">
        <is>
          <t>否</t>
        </is>
      </c>
      <c r="O256" s="10" t="inlineStr">
        <is>
          <t>supplier0252@example.com</t>
        </is>
      </c>
      <c r="P256" s="10" t="inlineStr">
        <is>
          <t>https://example.com/supplier/0252</t>
        </is>
      </c>
      <c r="Q256" s="10">
        <f>IF(R256&gt;=85,"A",IF(R256&gt;=70,"B","C"))</f>
        <v/>
      </c>
      <c r="R256" s="13">
        <f>MIN(100,50+IF(M256="是",10,0)+IF(N256="是",10,0)+IF(L256&lt;=100,10,IF(L256&lt;=300,5,0))+IF(J256&lt;=20,10,IF(J256&lt;=50,5,0))+IF(K256-J256&lt;=20,5,0)+IF(F256="企业官网",5,0))</f>
        <v/>
      </c>
      <c r="S256" s="10">
        <f>IF(Q256="A","价格与起订量有优势，建议优先询盘",IF(Q256="B","条件较均衡，可作为备选","起订量或价格需要进一步确认"))</f>
        <v/>
      </c>
      <c r="T256" s="10" t="inlineStr">
        <is>
          <t>未联系</t>
        </is>
      </c>
      <c r="U256" s="10" t="inlineStr">
        <is>
          <t>虚构演示数据</t>
        </is>
      </c>
    </row>
    <row r="257" ht="21" customHeight="1">
      <c r="A257" s="10" t="inlineStr">
        <is>
          <t>GYS-0253</t>
        </is>
      </c>
      <c r="B257" s="10" t="inlineStr">
        <is>
          <t>泉州清洁工具供应链0253有限公司（演示）</t>
        </is>
      </c>
      <c r="C257" s="10" t="inlineStr">
        <is>
          <t>清洁工具</t>
        </is>
      </c>
      <c r="D257" s="10" t="inlineStr">
        <is>
          <t>免手洗拖把</t>
        </is>
      </c>
      <c r="E257" s="10" t="inlineStr">
        <is>
          <t>福建泉州</t>
        </is>
      </c>
      <c r="F257" s="10" t="inlineStr">
        <is>
          <t>慧聪网</t>
        </is>
      </c>
      <c r="G257" s="10" t="inlineStr">
        <is>
          <t>李经理</t>
        </is>
      </c>
      <c r="H257" s="10" t="inlineStr">
        <is>
          <t>000-0000-0253</t>
        </is>
      </c>
      <c r="I257" s="10" t="inlineStr">
        <is>
          <t>DEMO_GYS_0253</t>
        </is>
      </c>
      <c r="J257" s="11" t="n">
        <v>18.9</v>
      </c>
      <c r="K257" s="11" t="n">
        <v>31.2</v>
      </c>
      <c r="L257" s="12" t="n">
        <v>500</v>
      </c>
      <c r="M257" s="10" t="inlineStr">
        <is>
          <t>是</t>
        </is>
      </c>
      <c r="N257" s="10" t="inlineStr">
        <is>
          <t>是</t>
        </is>
      </c>
      <c r="O257" s="10" t="inlineStr">
        <is>
          <t>supplier0253@example.com</t>
        </is>
      </c>
      <c r="P257" s="10" t="inlineStr">
        <is>
          <t>https://example.com/supplier/0253</t>
        </is>
      </c>
      <c r="Q257" s="10">
        <f>IF(R257&gt;=85,"A",IF(R257&gt;=70,"B","C"))</f>
        <v/>
      </c>
      <c r="R257" s="13">
        <f>MIN(100,50+IF(M257="是",10,0)+IF(N257="是",10,0)+IF(L257&lt;=100,10,IF(L257&lt;=300,5,0))+IF(J257&lt;=20,10,IF(J257&lt;=50,5,0))+IF(K257-J257&lt;=20,5,0)+IF(F257="企业官网",5,0))</f>
        <v/>
      </c>
      <c r="S257" s="10">
        <f>IF(Q257="A","价格与起订量有优势，建议优先询盘",IF(Q257="B","条件较均衡，可作为备选","起订量或价格需要进一步确认"))</f>
        <v/>
      </c>
      <c r="T257" s="10" t="inlineStr">
        <is>
          <t>未联系</t>
        </is>
      </c>
      <c r="U257" s="10" t="inlineStr">
        <is>
          <t>虚构演示数据</t>
        </is>
      </c>
    </row>
    <row r="258" ht="21" customHeight="1">
      <c r="A258" s="10" t="inlineStr">
        <is>
          <t>GYS-0254</t>
        </is>
      </c>
      <c r="B258" s="10" t="inlineStr">
        <is>
          <t>南通小家电供应链0254有限公司（演示）</t>
        </is>
      </c>
      <c r="C258" s="10" t="inlineStr">
        <is>
          <t>小家电</t>
        </is>
      </c>
      <c r="D258" s="10" t="inlineStr">
        <is>
          <t>迷你加湿器</t>
        </is>
      </c>
      <c r="E258" s="10" t="inlineStr">
        <is>
          <t>江苏南通</t>
        </is>
      </c>
      <c r="F258" s="10" t="inlineStr">
        <is>
          <t>1688</t>
        </is>
      </c>
      <c r="G258" s="10" t="inlineStr">
        <is>
          <t>张经理</t>
        </is>
      </c>
      <c r="H258" s="10" t="inlineStr">
        <is>
          <t>000-0000-0254</t>
        </is>
      </c>
      <c r="I258" s="10" t="inlineStr">
        <is>
          <t>DEMO_GYS_0254</t>
        </is>
      </c>
      <c r="J258" s="11" t="n">
        <v>20.6</v>
      </c>
      <c r="K258" s="11" t="n">
        <v>34</v>
      </c>
      <c r="L258" s="12" t="n">
        <v>300</v>
      </c>
      <c r="M258" s="10" t="inlineStr">
        <is>
          <t>是</t>
        </is>
      </c>
      <c r="N258" s="10" t="inlineStr">
        <is>
          <t>是</t>
        </is>
      </c>
      <c r="O258" s="10" t="inlineStr">
        <is>
          <t>supplier0254@example.com</t>
        </is>
      </c>
      <c r="P258" s="10" t="inlineStr">
        <is>
          <t>https://example.com/supplier/0254</t>
        </is>
      </c>
      <c r="Q258" s="10">
        <f>IF(R258&gt;=85,"A",IF(R258&gt;=70,"B","C"))</f>
        <v/>
      </c>
      <c r="R258" s="13">
        <f>MIN(100,50+IF(M258="是",10,0)+IF(N258="是",10,0)+IF(L258&lt;=100,10,IF(L258&lt;=300,5,0))+IF(J258&lt;=20,10,IF(J258&lt;=50,5,0))+IF(K258-J258&lt;=20,5,0)+IF(F258="企业官网",5,0))</f>
        <v/>
      </c>
      <c r="S258" s="10">
        <f>IF(Q258="A","价格与起订量有优势，建议优先询盘",IF(Q258="B","条件较均衡，可作为备选","起订量或价格需要进一步确认"))</f>
        <v/>
      </c>
      <c r="T258" s="10" t="inlineStr">
        <is>
          <t>未联系</t>
        </is>
      </c>
      <c r="U258" s="10" t="inlineStr">
        <is>
          <t>虚构演示数据</t>
        </is>
      </c>
    </row>
    <row r="259" ht="21" customHeight="1">
      <c r="A259" s="10" t="inlineStr">
        <is>
          <t>GYS-0255</t>
        </is>
      </c>
      <c r="B259" s="10" t="inlineStr">
        <is>
          <t>郑州礼品包装供应链0255有限公司（演示）</t>
        </is>
      </c>
      <c r="C259" s="10" t="inlineStr">
        <is>
          <t>礼品包装</t>
        </is>
      </c>
      <c r="D259" s="10" t="inlineStr">
        <is>
          <t>节日礼盒</t>
        </is>
      </c>
      <c r="E259" s="10" t="inlineStr">
        <is>
          <t>河南郑州</t>
        </is>
      </c>
      <c r="F259" s="10" t="inlineStr">
        <is>
          <t>中国制造网</t>
        </is>
      </c>
      <c r="G259" s="10" t="inlineStr">
        <is>
          <t>刘经理</t>
        </is>
      </c>
      <c r="H259" s="10" t="inlineStr">
        <is>
          <t>000-0000-0255</t>
        </is>
      </c>
      <c r="I259" s="10" t="inlineStr">
        <is>
          <t>DEMO_GYS_0255</t>
        </is>
      </c>
      <c r="J259" s="11" t="n">
        <v>22.3</v>
      </c>
      <c r="K259" s="11" t="n">
        <v>36.8</v>
      </c>
      <c r="L259" s="12" t="n">
        <v>200</v>
      </c>
      <c r="M259" s="10" t="inlineStr">
        <is>
          <t>是</t>
        </is>
      </c>
      <c r="N259" s="10" t="inlineStr">
        <is>
          <t>否</t>
        </is>
      </c>
      <c r="O259" s="10" t="inlineStr">
        <is>
          <t>supplier0255@example.com</t>
        </is>
      </c>
      <c r="P259" s="10" t="inlineStr">
        <is>
          <t>https://example.com/supplier/0255</t>
        </is>
      </c>
      <c r="Q259" s="10">
        <f>IF(R259&gt;=85,"A",IF(R259&gt;=70,"B","C"))</f>
        <v/>
      </c>
      <c r="R259" s="13">
        <f>MIN(100,50+IF(M259="是",10,0)+IF(N259="是",10,0)+IF(L259&lt;=100,10,IF(L259&lt;=300,5,0))+IF(J259&lt;=20,10,IF(J259&lt;=50,5,0))+IF(K259-J259&lt;=20,5,0)+IF(F259="企业官网",5,0))</f>
        <v/>
      </c>
      <c r="S259" s="10">
        <f>IF(Q259="A","价格与起订量有优势，建议优先询盘",IF(Q259="B","条件较均衡，可作为备选","起订量或价格需要进一步确认"))</f>
        <v/>
      </c>
      <c r="T259" s="10" t="inlineStr">
        <is>
          <t>未联系</t>
        </is>
      </c>
      <c r="U259" s="10" t="inlineStr">
        <is>
          <t>虚构演示数据</t>
        </is>
      </c>
    </row>
    <row r="260" ht="21" customHeight="1">
      <c r="A260" s="10" t="inlineStr">
        <is>
          <t>GYS-0256</t>
        </is>
      </c>
      <c r="B260" s="10" t="inlineStr">
        <is>
          <t>宁波五金工具供应链0256有限公司（演示）</t>
        </is>
      </c>
      <c r="C260" s="10" t="inlineStr">
        <is>
          <t>五金工具</t>
        </is>
      </c>
      <c r="D260" s="10" t="inlineStr">
        <is>
          <t>多功能螺丝刀</t>
        </is>
      </c>
      <c r="E260" s="10" t="inlineStr">
        <is>
          <t>浙江宁波</t>
        </is>
      </c>
      <c r="F260" s="10" t="inlineStr">
        <is>
          <t>企业官网</t>
        </is>
      </c>
      <c r="G260" s="10" t="inlineStr">
        <is>
          <t>黄经理</t>
        </is>
      </c>
      <c r="H260" s="10" t="inlineStr">
        <is>
          <t>000-0000-0256</t>
        </is>
      </c>
      <c r="I260" s="10" t="inlineStr">
        <is>
          <t>DEMO_GYS_0256</t>
        </is>
      </c>
      <c r="J260" s="11" t="n">
        <v>24</v>
      </c>
      <c r="K260" s="11" t="n">
        <v>39.6</v>
      </c>
      <c r="L260" s="12" t="n">
        <v>100</v>
      </c>
      <c r="M260" s="10" t="inlineStr">
        <is>
          <t>否</t>
        </is>
      </c>
      <c r="N260" s="10" t="inlineStr">
        <is>
          <t>是</t>
        </is>
      </c>
      <c r="O260" s="10" t="inlineStr">
        <is>
          <t>supplier0256@example.com</t>
        </is>
      </c>
      <c r="P260" s="10" t="inlineStr">
        <is>
          <t>https://example.com/supplier/0256</t>
        </is>
      </c>
      <c r="Q260" s="10">
        <f>IF(R260&gt;=85,"A",IF(R260&gt;=70,"B","C"))</f>
        <v/>
      </c>
      <c r="R260" s="13">
        <f>MIN(100,50+IF(M260="是",10,0)+IF(N260="是",10,0)+IF(L260&lt;=100,10,IF(L260&lt;=300,5,0))+IF(J260&lt;=20,10,IF(J260&lt;=50,5,0))+IF(K260-J260&lt;=20,5,0)+IF(F260="企业官网",5,0))</f>
        <v/>
      </c>
      <c r="S260" s="10">
        <f>IF(Q260="A","价格与起订量有优势，建议优先询盘",IF(Q260="B","条件较均衡，可作为备选","起订量或价格需要进一步确认"))</f>
        <v/>
      </c>
      <c r="T260" s="10" t="inlineStr">
        <is>
          <t>未联系</t>
        </is>
      </c>
      <c r="U260" s="10" t="inlineStr">
        <is>
          <t>虚构演示数据</t>
        </is>
      </c>
    </row>
    <row r="261" ht="21" customHeight="1">
      <c r="A261" s="10" t="inlineStr">
        <is>
          <t>GYS-0257</t>
        </is>
      </c>
      <c r="B261" s="10" t="inlineStr">
        <is>
          <t>深圳鞋靴配件供应链0257有限公司（演示）</t>
        </is>
      </c>
      <c r="C261" s="10" t="inlineStr">
        <is>
          <t>鞋靴配件</t>
        </is>
      </c>
      <c r="D261" s="10" t="inlineStr">
        <is>
          <t>防磨脚贴</t>
        </is>
      </c>
      <c r="E261" s="10" t="inlineStr">
        <is>
          <t>广东深圳</t>
        </is>
      </c>
      <c r="F261" s="10" t="inlineStr">
        <is>
          <t>义乌购</t>
        </is>
      </c>
      <c r="G261" s="10" t="inlineStr">
        <is>
          <t>赵经理</t>
        </is>
      </c>
      <c r="H261" s="10" t="inlineStr">
        <is>
          <t>000-0000-0257</t>
        </is>
      </c>
      <c r="I261" s="10" t="inlineStr">
        <is>
          <t>DEMO_GYS_0257</t>
        </is>
      </c>
      <c r="J261" s="11" t="n">
        <v>25.7</v>
      </c>
      <c r="K261" s="11" t="n">
        <v>42.4</v>
      </c>
      <c r="L261" s="12" t="n">
        <v>50</v>
      </c>
      <c r="M261" s="10" t="inlineStr">
        <is>
          <t>是</t>
        </is>
      </c>
      <c r="N261" s="10" t="inlineStr">
        <is>
          <t>是</t>
        </is>
      </c>
      <c r="O261" s="10" t="inlineStr">
        <is>
          <t>supplier0257@example.com</t>
        </is>
      </c>
      <c r="P261" s="10" t="inlineStr">
        <is>
          <t>https://example.com/supplier/0257</t>
        </is>
      </c>
      <c r="Q261" s="10">
        <f>IF(R261&gt;=85,"A",IF(R261&gt;=70,"B","C"))</f>
        <v/>
      </c>
      <c r="R261" s="13">
        <f>MIN(100,50+IF(M261="是",10,0)+IF(N261="是",10,0)+IF(L261&lt;=100,10,IF(L261&lt;=300,5,0))+IF(J261&lt;=20,10,IF(J261&lt;=50,5,0))+IF(K261-J261&lt;=20,5,0)+IF(F261="企业官网",5,0))</f>
        <v/>
      </c>
      <c r="S261" s="10">
        <f>IF(Q261="A","价格与起订量有优势，建议优先询盘",IF(Q261="B","条件较均衡，可作为备选","起订量或价格需要进一步确认"))</f>
        <v/>
      </c>
      <c r="T261" s="10" t="inlineStr">
        <is>
          <t>未联系</t>
        </is>
      </c>
      <c r="U261" s="10" t="inlineStr">
        <is>
          <t>虚构演示数据</t>
        </is>
      </c>
    </row>
    <row r="262" ht="21" customHeight="1">
      <c r="A262" s="10" t="inlineStr">
        <is>
          <t>GYS-0258</t>
        </is>
      </c>
      <c r="B262" s="10" t="inlineStr">
        <is>
          <t>佛山食品包装供应链0258有限公司（演示）</t>
        </is>
      </c>
      <c r="C262" s="10" t="inlineStr">
        <is>
          <t>食品包装</t>
        </is>
      </c>
      <c r="D262" s="10" t="inlineStr">
        <is>
          <t>密封包装袋</t>
        </is>
      </c>
      <c r="E262" s="10" t="inlineStr">
        <is>
          <t>广东佛山</t>
        </is>
      </c>
      <c r="F262" s="10" t="inlineStr">
        <is>
          <t>慧聪网</t>
        </is>
      </c>
      <c r="G262" s="10" t="inlineStr">
        <is>
          <t>周经理</t>
        </is>
      </c>
      <c r="H262" s="10" t="inlineStr">
        <is>
          <t>000-0000-0258</t>
        </is>
      </c>
      <c r="I262" s="10" t="inlineStr">
        <is>
          <t>DEMO_GYS_0258</t>
        </is>
      </c>
      <c r="J262" s="11" t="n">
        <v>27.4</v>
      </c>
      <c r="K262" s="11" t="n">
        <v>45.2</v>
      </c>
      <c r="L262" s="12" t="n">
        <v>20</v>
      </c>
      <c r="M262" s="10" t="inlineStr">
        <is>
          <t>是</t>
        </is>
      </c>
      <c r="N262" s="10" t="inlineStr">
        <is>
          <t>否</t>
        </is>
      </c>
      <c r="O262" s="10" t="inlineStr">
        <is>
          <t>supplier0258@example.com</t>
        </is>
      </c>
      <c r="P262" s="10" t="inlineStr">
        <is>
          <t>https://example.com/supplier/0258</t>
        </is>
      </c>
      <c r="Q262" s="10">
        <f>IF(R262&gt;=85,"A",IF(R262&gt;=70,"B","C"))</f>
        <v/>
      </c>
      <c r="R262" s="13">
        <f>MIN(100,50+IF(M262="是",10,0)+IF(N262="是",10,0)+IF(L262&lt;=100,10,IF(L262&lt;=300,5,0))+IF(J262&lt;=20,10,IF(J262&lt;=50,5,0))+IF(K262-J262&lt;=20,5,0)+IF(F262="企业官网",5,0))</f>
        <v/>
      </c>
      <c r="S262" s="10">
        <f>IF(Q262="A","价格与起订量有优势，建议优先询盘",IF(Q262="B","条件较均衡，可作为备选","起订量或价格需要进一步确认"))</f>
        <v/>
      </c>
      <c r="T262" s="10" t="inlineStr">
        <is>
          <t>未联系</t>
        </is>
      </c>
      <c r="U262" s="10" t="inlineStr">
        <is>
          <t>虚构演示数据</t>
        </is>
      </c>
    </row>
    <row r="263" ht="21" customHeight="1">
      <c r="A263" s="10" t="inlineStr">
        <is>
          <t>GYS-0259</t>
        </is>
      </c>
      <c r="B263" s="10" t="inlineStr">
        <is>
          <t>苏州户外照明供应链0259有限公司（演示）</t>
        </is>
      </c>
      <c r="C263" s="10" t="inlineStr">
        <is>
          <t>户外照明</t>
        </is>
      </c>
      <c r="D263" s="10" t="inlineStr">
        <is>
          <t>便携露营灯</t>
        </is>
      </c>
      <c r="E263" s="10" t="inlineStr">
        <is>
          <t>江苏苏州</t>
        </is>
      </c>
      <c r="F263" s="10" t="inlineStr">
        <is>
          <t>1688</t>
        </is>
      </c>
      <c r="G263" s="10" t="inlineStr">
        <is>
          <t>吴经理</t>
        </is>
      </c>
      <c r="H263" s="10" t="inlineStr">
        <is>
          <t>000-0000-0259</t>
        </is>
      </c>
      <c r="I263" s="10" t="inlineStr">
        <is>
          <t>DEMO_GYS_0259</t>
        </is>
      </c>
      <c r="J263" s="11" t="n">
        <v>29.1</v>
      </c>
      <c r="K263" s="11" t="n">
        <v>48</v>
      </c>
      <c r="L263" s="12" t="n">
        <v>500</v>
      </c>
      <c r="M263" s="10" t="inlineStr">
        <is>
          <t>是</t>
        </is>
      </c>
      <c r="N263" s="10" t="inlineStr">
        <is>
          <t>是</t>
        </is>
      </c>
      <c r="O263" s="10" t="inlineStr">
        <is>
          <t>supplier0259@example.com</t>
        </is>
      </c>
      <c r="P263" s="10" t="inlineStr">
        <is>
          <t>https://example.com/supplier/0259</t>
        </is>
      </c>
      <c r="Q263" s="10">
        <f>IF(R263&gt;=85,"A",IF(R263&gt;=70,"B","C"))</f>
        <v/>
      </c>
      <c r="R263" s="13">
        <f>MIN(100,50+IF(M263="是",10,0)+IF(N263="是",10,0)+IF(L263&lt;=100,10,IF(L263&lt;=300,5,0))+IF(J263&lt;=20,10,IF(J263&lt;=50,5,0))+IF(K263-J263&lt;=20,5,0)+IF(F263="企业官网",5,0))</f>
        <v/>
      </c>
      <c r="S263" s="10">
        <f>IF(Q263="A","价格与起订量有优势，建议优先询盘",IF(Q263="B","条件较均衡，可作为备选","起订量或价格需要进一步确认"))</f>
        <v/>
      </c>
      <c r="T263" s="10" t="inlineStr">
        <is>
          <t>未联系</t>
        </is>
      </c>
      <c r="U263" s="10" t="inlineStr">
        <is>
          <t>虚构演示数据</t>
        </is>
      </c>
    </row>
    <row r="264" ht="21" customHeight="1">
      <c r="A264" s="10" t="inlineStr">
        <is>
          <t>GYS-0260</t>
        </is>
      </c>
      <c r="B264" s="10" t="inlineStr">
        <is>
          <t>白沟健康用品供应链0260有限公司（演示）</t>
        </is>
      </c>
      <c r="C264" s="10" t="inlineStr">
        <is>
          <t>健康用品</t>
        </is>
      </c>
      <c r="D264" s="10" t="inlineStr">
        <is>
          <t>热敷眼罩</t>
        </is>
      </c>
      <c r="E264" s="10" t="inlineStr">
        <is>
          <t>河北白沟</t>
        </is>
      </c>
      <c r="F264" s="10" t="inlineStr">
        <is>
          <t>中国制造网</t>
        </is>
      </c>
      <c r="G264" s="10" t="inlineStr">
        <is>
          <t>陈经理</t>
        </is>
      </c>
      <c r="H264" s="10" t="inlineStr">
        <is>
          <t>000-0000-0260</t>
        </is>
      </c>
      <c r="I264" s="10" t="inlineStr">
        <is>
          <t>DEMO_GYS_0260</t>
        </is>
      </c>
      <c r="J264" s="11" t="n">
        <v>30.8</v>
      </c>
      <c r="K264" s="11" t="n">
        <v>50.8</v>
      </c>
      <c r="L264" s="12" t="n">
        <v>300</v>
      </c>
      <c r="M264" s="10" t="inlineStr">
        <is>
          <t>否</t>
        </is>
      </c>
      <c r="N264" s="10" t="inlineStr">
        <is>
          <t>是</t>
        </is>
      </c>
      <c r="O264" s="10" t="inlineStr">
        <is>
          <t>supplier0260@example.com</t>
        </is>
      </c>
      <c r="P264" s="10" t="inlineStr">
        <is>
          <t>https://example.com/supplier/0260</t>
        </is>
      </c>
      <c r="Q264" s="10">
        <f>IF(R264&gt;=85,"A",IF(R264&gt;=70,"B","C"))</f>
        <v/>
      </c>
      <c r="R264" s="13">
        <f>MIN(100,50+IF(M264="是",10,0)+IF(N264="是",10,0)+IF(L264&lt;=100,10,IF(L264&lt;=300,5,0))+IF(J264&lt;=20,10,IF(J264&lt;=50,5,0))+IF(K264-J264&lt;=20,5,0)+IF(F264="企业官网",5,0))</f>
        <v/>
      </c>
      <c r="S264" s="10">
        <f>IF(Q264="A","价格与起订量有优势，建议优先询盘",IF(Q264="B","条件较均衡，可作为备选","起订量或价格需要进一步确认"))</f>
        <v/>
      </c>
      <c r="T264" s="10" t="inlineStr">
        <is>
          <t>未联系</t>
        </is>
      </c>
      <c r="U264" s="10" t="inlineStr">
        <is>
          <t>虚构演示数据</t>
        </is>
      </c>
    </row>
    <row r="265" ht="21" customHeight="1">
      <c r="A265" s="10" t="inlineStr">
        <is>
          <t>GYS-0261</t>
        </is>
      </c>
      <c r="B265" s="10" t="inlineStr">
        <is>
          <t>义乌服饰内衣供应链0261有限公司（演示）</t>
        </is>
      </c>
      <c r="C265" s="10" t="inlineStr">
        <is>
          <t>服饰内衣</t>
        </is>
      </c>
      <c r="D265" s="10" t="inlineStr">
        <is>
          <t>防滑袜</t>
        </is>
      </c>
      <c r="E265" s="10" t="inlineStr">
        <is>
          <t>浙江义乌</t>
        </is>
      </c>
      <c r="F265" s="10" t="inlineStr">
        <is>
          <t>企业官网</t>
        </is>
      </c>
      <c r="G265" s="10" t="inlineStr">
        <is>
          <t>林经理</t>
        </is>
      </c>
      <c r="H265" s="10" t="inlineStr">
        <is>
          <t>000-0000-0261</t>
        </is>
      </c>
      <c r="I265" s="10" t="inlineStr">
        <is>
          <t>DEMO_GYS_0261</t>
        </is>
      </c>
      <c r="J265" s="11" t="n">
        <v>32.5</v>
      </c>
      <c r="K265" s="11" t="n">
        <v>53.6</v>
      </c>
      <c r="L265" s="12" t="n">
        <v>200</v>
      </c>
      <c r="M265" s="10" t="inlineStr">
        <is>
          <t>是</t>
        </is>
      </c>
      <c r="N265" s="10" t="inlineStr">
        <is>
          <t>否</t>
        </is>
      </c>
      <c r="O265" s="10" t="inlineStr">
        <is>
          <t>supplier0261@example.com</t>
        </is>
      </c>
      <c r="P265" s="10" t="inlineStr">
        <is>
          <t>https://example.com/supplier/0261</t>
        </is>
      </c>
      <c r="Q265" s="10">
        <f>IF(R265&gt;=85,"A",IF(R265&gt;=70,"B","C"))</f>
        <v/>
      </c>
      <c r="R265" s="13">
        <f>MIN(100,50+IF(M265="是",10,0)+IF(N265="是",10,0)+IF(L265&lt;=100,10,IF(L265&lt;=300,5,0))+IF(J265&lt;=20,10,IF(J265&lt;=50,5,0))+IF(K265-J265&lt;=20,5,0)+IF(F265="企业官网",5,0))</f>
        <v/>
      </c>
      <c r="S265" s="10">
        <f>IF(Q265="A","价格与起订量有优势，建议优先询盘",IF(Q265="B","条件较均衡，可作为备选","起订量或价格需要进一步确认"))</f>
        <v/>
      </c>
      <c r="T265" s="10" t="inlineStr">
        <is>
          <t>未联系</t>
        </is>
      </c>
      <c r="U265" s="10" t="inlineStr">
        <is>
          <t>虚构演示数据</t>
        </is>
      </c>
    </row>
    <row r="266" ht="21" customHeight="1">
      <c r="A266" s="10" t="inlineStr">
        <is>
          <t>GYS-0262</t>
        </is>
      </c>
      <c r="B266" s="10" t="inlineStr">
        <is>
          <t>台州家居日用供应链0262有限公司（演示）</t>
        </is>
      </c>
      <c r="C266" s="10" t="inlineStr">
        <is>
          <t>家居日用</t>
        </is>
      </c>
      <c r="D266" s="10" t="inlineStr">
        <is>
          <t>折叠收纳箱</t>
        </is>
      </c>
      <c r="E266" s="10" t="inlineStr">
        <is>
          <t>浙江台州</t>
        </is>
      </c>
      <c r="F266" s="10" t="inlineStr">
        <is>
          <t>义乌购</t>
        </is>
      </c>
      <c r="G266" s="10" t="inlineStr">
        <is>
          <t>王经理</t>
        </is>
      </c>
      <c r="H266" s="10" t="inlineStr">
        <is>
          <t>000-0000-0262</t>
        </is>
      </c>
      <c r="I266" s="10" t="inlineStr">
        <is>
          <t>DEMO_GYS_0262</t>
        </is>
      </c>
      <c r="J266" s="11" t="n">
        <v>34.2</v>
      </c>
      <c r="K266" s="11" t="n">
        <v>38.4</v>
      </c>
      <c r="L266" s="12" t="n">
        <v>100</v>
      </c>
      <c r="M266" s="10" t="inlineStr">
        <is>
          <t>是</t>
        </is>
      </c>
      <c r="N266" s="10" t="inlineStr">
        <is>
          <t>是</t>
        </is>
      </c>
      <c r="O266" s="10" t="inlineStr">
        <is>
          <t>supplier0262@example.com</t>
        </is>
      </c>
      <c r="P266" s="10" t="inlineStr">
        <is>
          <t>https://example.com/supplier/0262</t>
        </is>
      </c>
      <c r="Q266" s="10">
        <f>IF(R266&gt;=85,"A",IF(R266&gt;=70,"B","C"))</f>
        <v/>
      </c>
      <c r="R266" s="13">
        <f>MIN(100,50+IF(M266="是",10,0)+IF(N266="是",10,0)+IF(L266&lt;=100,10,IF(L266&lt;=300,5,0))+IF(J266&lt;=20,10,IF(J266&lt;=50,5,0))+IF(K266-J266&lt;=20,5,0)+IF(F266="企业官网",5,0))</f>
        <v/>
      </c>
      <c r="S266" s="10">
        <f>IF(Q266="A","价格与起订量有优势，建议优先询盘",IF(Q266="B","条件较均衡，可作为备选","起订量或价格需要进一步确认"))</f>
        <v/>
      </c>
      <c r="T266" s="10" t="inlineStr">
        <is>
          <t>未联系</t>
        </is>
      </c>
      <c r="U266" s="10" t="inlineStr">
        <is>
          <t>虚构演示数据</t>
        </is>
      </c>
    </row>
    <row r="267" ht="21" customHeight="1">
      <c r="A267" s="10" t="inlineStr">
        <is>
          <t>GYS-0263</t>
        </is>
      </c>
      <c r="B267" s="10" t="inlineStr">
        <is>
          <t>东莞个护清洁供应链0263有限公司（演示）</t>
        </is>
      </c>
      <c r="C267" s="10" t="inlineStr">
        <is>
          <t>个护清洁</t>
        </is>
      </c>
      <c r="D267" s="10" t="inlineStr">
        <is>
          <t>便携洗脸巾</t>
        </is>
      </c>
      <c r="E267" s="10" t="inlineStr">
        <is>
          <t>广东东莞</t>
        </is>
      </c>
      <c r="F267" s="10" t="inlineStr">
        <is>
          <t>慧聪网</t>
        </is>
      </c>
      <c r="G267" s="10" t="inlineStr">
        <is>
          <t>李经理</t>
        </is>
      </c>
      <c r="H267" s="10" t="inlineStr">
        <is>
          <t>000-0000-0263</t>
        </is>
      </c>
      <c r="I267" s="10" t="inlineStr">
        <is>
          <t>DEMO_GYS_0263</t>
        </is>
      </c>
      <c r="J267" s="11" t="n">
        <v>35.9</v>
      </c>
      <c r="K267" s="11" t="n">
        <v>41.2</v>
      </c>
      <c r="L267" s="12" t="n">
        <v>50</v>
      </c>
      <c r="M267" s="10" t="inlineStr">
        <is>
          <t>是</t>
        </is>
      </c>
      <c r="N267" s="10" t="inlineStr">
        <is>
          <t>是</t>
        </is>
      </c>
      <c r="O267" s="10" t="inlineStr">
        <is>
          <t>supplier0263@example.com</t>
        </is>
      </c>
      <c r="P267" s="10" t="inlineStr">
        <is>
          <t>https://example.com/supplier/0263</t>
        </is>
      </c>
      <c r="Q267" s="10">
        <f>IF(R267&gt;=85,"A",IF(R267&gt;=70,"B","C"))</f>
        <v/>
      </c>
      <c r="R267" s="13">
        <f>MIN(100,50+IF(M267="是",10,0)+IF(N267="是",10,0)+IF(L267&lt;=100,10,IF(L267&lt;=300,5,0))+IF(J267&lt;=20,10,IF(J267&lt;=50,5,0))+IF(K267-J267&lt;=20,5,0)+IF(F267="企业官网",5,0))</f>
        <v/>
      </c>
      <c r="S267" s="10">
        <f>IF(Q267="A","价格与起订量有优势，建议优先询盘",IF(Q267="B","条件较均衡，可作为备选","起订量或价格需要进一步确认"))</f>
        <v/>
      </c>
      <c r="T267" s="10" t="inlineStr">
        <is>
          <t>未联系</t>
        </is>
      </c>
      <c r="U267" s="10" t="inlineStr">
        <is>
          <t>虚构演示数据</t>
        </is>
      </c>
    </row>
    <row r="268" ht="21" customHeight="1">
      <c r="A268" s="10" t="inlineStr">
        <is>
          <t>GYS-0264</t>
        </is>
      </c>
      <c r="B268" s="10" t="inlineStr">
        <is>
          <t>厦门厨房用品供应链0264有限公司（演示）</t>
        </is>
      </c>
      <c r="C268" s="10" t="inlineStr">
        <is>
          <t>厨房用品</t>
        </is>
      </c>
      <c r="D268" s="10" t="inlineStr">
        <is>
          <t>硅胶保鲜盒</t>
        </is>
      </c>
      <c r="E268" s="10" t="inlineStr">
        <is>
          <t>福建厦门</t>
        </is>
      </c>
      <c r="F268" s="10" t="inlineStr">
        <is>
          <t>1688</t>
        </is>
      </c>
      <c r="G268" s="10" t="inlineStr">
        <is>
          <t>张经理</t>
        </is>
      </c>
      <c r="H268" s="10" t="inlineStr">
        <is>
          <t>000-0000-0264</t>
        </is>
      </c>
      <c r="I268" s="10" t="inlineStr">
        <is>
          <t>DEMO_GYS_0264</t>
        </is>
      </c>
      <c r="J268" s="11" t="n">
        <v>37.6</v>
      </c>
      <c r="K268" s="11" t="n">
        <v>44</v>
      </c>
      <c r="L268" s="12" t="n">
        <v>20</v>
      </c>
      <c r="M268" s="10" t="inlineStr">
        <is>
          <t>否</t>
        </is>
      </c>
      <c r="N268" s="10" t="inlineStr">
        <is>
          <t>否</t>
        </is>
      </c>
      <c r="O268" s="10" t="inlineStr">
        <is>
          <t>supplier0264@example.com</t>
        </is>
      </c>
      <c r="P268" s="10" t="inlineStr">
        <is>
          <t>https://example.com/supplier/0264</t>
        </is>
      </c>
      <c r="Q268" s="10">
        <f>IF(R268&gt;=85,"A",IF(R268&gt;=70,"B","C"))</f>
        <v/>
      </c>
      <c r="R268" s="13">
        <f>MIN(100,50+IF(M268="是",10,0)+IF(N268="是",10,0)+IF(L268&lt;=100,10,IF(L268&lt;=300,5,0))+IF(J268&lt;=20,10,IF(J268&lt;=50,5,0))+IF(K268-J268&lt;=20,5,0)+IF(F268="企业官网",5,0))</f>
        <v/>
      </c>
      <c r="S268" s="10">
        <f>IF(Q268="A","价格与起订量有优势，建议优先询盘",IF(Q268="B","条件较均衡，可作为备选","起订量或价格需要进一步确认"))</f>
        <v/>
      </c>
      <c r="T268" s="10" t="inlineStr">
        <is>
          <t>未联系</t>
        </is>
      </c>
      <c r="U268" s="10" t="inlineStr">
        <is>
          <t>虚构演示数据</t>
        </is>
      </c>
    </row>
    <row r="269" ht="21" customHeight="1">
      <c r="A269" s="10" t="inlineStr">
        <is>
          <t>GYS-0265</t>
        </is>
      </c>
      <c r="B269" s="10" t="inlineStr">
        <is>
          <t>临沂数码配件供应链0265有限公司（演示）</t>
        </is>
      </c>
      <c r="C269" s="10" t="inlineStr">
        <is>
          <t>数码配件</t>
        </is>
      </c>
      <c r="D269" s="10" t="inlineStr">
        <is>
          <t>磁吸手机支架</t>
        </is>
      </c>
      <c r="E269" s="10" t="inlineStr">
        <is>
          <t>山东临沂</t>
        </is>
      </c>
      <c r="F269" s="10" t="inlineStr">
        <is>
          <t>中国制造网</t>
        </is>
      </c>
      <c r="G269" s="10" t="inlineStr">
        <is>
          <t>刘经理</t>
        </is>
      </c>
      <c r="H269" s="10" t="inlineStr">
        <is>
          <t>000-0000-0265</t>
        </is>
      </c>
      <c r="I269" s="10" t="inlineStr">
        <is>
          <t>DEMO_GYS_0265</t>
        </is>
      </c>
      <c r="J269" s="11" t="n">
        <v>39.3</v>
      </c>
      <c r="K269" s="11" t="n">
        <v>46.8</v>
      </c>
      <c r="L269" s="12" t="n">
        <v>500</v>
      </c>
      <c r="M269" s="10" t="inlineStr">
        <is>
          <t>是</t>
        </is>
      </c>
      <c r="N269" s="10" t="inlineStr">
        <is>
          <t>是</t>
        </is>
      </c>
      <c r="O269" s="10" t="inlineStr">
        <is>
          <t>supplier0265@example.com</t>
        </is>
      </c>
      <c r="P269" s="10" t="inlineStr">
        <is>
          <t>https://example.com/supplier/0265</t>
        </is>
      </c>
      <c r="Q269" s="10">
        <f>IF(R269&gt;=85,"A",IF(R269&gt;=70,"B","C"))</f>
        <v/>
      </c>
      <c r="R269" s="13">
        <f>MIN(100,50+IF(M269="是",10,0)+IF(N269="是",10,0)+IF(L269&lt;=100,10,IF(L269&lt;=300,5,0))+IF(J269&lt;=20,10,IF(J269&lt;=50,5,0))+IF(K269-J269&lt;=20,5,0)+IF(F269="企业官网",5,0))</f>
        <v/>
      </c>
      <c r="S269" s="10">
        <f>IF(Q269="A","价格与起订量有优势，建议优先询盘",IF(Q269="B","条件较均衡，可作为备选","起订量或价格需要进一步确认"))</f>
        <v/>
      </c>
      <c r="T269" s="10" t="inlineStr">
        <is>
          <t>未联系</t>
        </is>
      </c>
      <c r="U269" s="10" t="inlineStr">
        <is>
          <t>虚构演示数据</t>
        </is>
      </c>
    </row>
    <row r="270" ht="21" customHeight="1">
      <c r="A270" s="10" t="inlineStr">
        <is>
          <t>GYS-0266</t>
        </is>
      </c>
      <c r="B270" s="10" t="inlineStr">
        <is>
          <t>南昌宠物用品供应链0266有限公司（演示）</t>
        </is>
      </c>
      <c r="C270" s="10" t="inlineStr">
        <is>
          <t>宠物用品</t>
        </is>
      </c>
      <c r="D270" s="10" t="inlineStr">
        <is>
          <t>宠物清洁手套</t>
        </is>
      </c>
      <c r="E270" s="10" t="inlineStr">
        <is>
          <t>江西南昌</t>
        </is>
      </c>
      <c r="F270" s="10" t="inlineStr">
        <is>
          <t>企业官网</t>
        </is>
      </c>
      <c r="G270" s="10" t="inlineStr">
        <is>
          <t>黄经理</t>
        </is>
      </c>
      <c r="H270" s="10" t="inlineStr">
        <is>
          <t>000-0000-0266</t>
        </is>
      </c>
      <c r="I270" s="10" t="inlineStr">
        <is>
          <t>DEMO_GYS_0266</t>
        </is>
      </c>
      <c r="J270" s="11" t="n">
        <v>41</v>
      </c>
      <c r="K270" s="11" t="n">
        <v>49.6</v>
      </c>
      <c r="L270" s="12" t="n">
        <v>300</v>
      </c>
      <c r="M270" s="10" t="inlineStr">
        <is>
          <t>是</t>
        </is>
      </c>
      <c r="N270" s="10" t="inlineStr">
        <is>
          <t>是</t>
        </is>
      </c>
      <c r="O270" s="10" t="inlineStr">
        <is>
          <t>supplier0266@example.com</t>
        </is>
      </c>
      <c r="P270" s="10" t="inlineStr">
        <is>
          <t>https://example.com/supplier/0266</t>
        </is>
      </c>
      <c r="Q270" s="10">
        <f>IF(R270&gt;=85,"A",IF(R270&gt;=70,"B","C"))</f>
        <v/>
      </c>
      <c r="R270" s="13">
        <f>MIN(100,50+IF(M270="是",10,0)+IF(N270="是",10,0)+IF(L270&lt;=100,10,IF(L270&lt;=300,5,0))+IF(J270&lt;=20,10,IF(J270&lt;=50,5,0))+IF(K270-J270&lt;=20,5,0)+IF(F270="企业官网",5,0))</f>
        <v/>
      </c>
      <c r="S270" s="10">
        <f>IF(Q270="A","价格与起订量有优势，建议优先询盘",IF(Q270="B","条件较均衡，可作为备选","起订量或价格需要进一步确认"))</f>
        <v/>
      </c>
      <c r="T270" s="10" t="inlineStr">
        <is>
          <t>未联系</t>
        </is>
      </c>
      <c r="U270" s="10" t="inlineStr">
        <is>
          <t>虚构演示数据</t>
        </is>
      </c>
    </row>
    <row r="271" ht="21" customHeight="1">
      <c r="A271" s="10" t="inlineStr">
        <is>
          <t>GYS-0267</t>
        </is>
      </c>
      <c r="B271" s="10" t="inlineStr">
        <is>
          <t>温州母婴用品供应链0267有限公司（演示）</t>
        </is>
      </c>
      <c r="C271" s="10" t="inlineStr">
        <is>
          <t>母婴用品</t>
        </is>
      </c>
      <c r="D271" s="10" t="inlineStr">
        <is>
          <t>婴儿防撞条</t>
        </is>
      </c>
      <c r="E271" s="10" t="inlineStr">
        <is>
          <t>浙江温州</t>
        </is>
      </c>
      <c r="F271" s="10" t="inlineStr">
        <is>
          <t>义乌购</t>
        </is>
      </c>
      <c r="G271" s="10" t="inlineStr">
        <is>
          <t>赵经理</t>
        </is>
      </c>
      <c r="H271" s="10" t="inlineStr">
        <is>
          <t>000-0000-0267</t>
        </is>
      </c>
      <c r="I271" s="10" t="inlineStr">
        <is>
          <t>DEMO_GYS_0267</t>
        </is>
      </c>
      <c r="J271" s="11" t="n">
        <v>42.7</v>
      </c>
      <c r="K271" s="11" t="n">
        <v>52.4</v>
      </c>
      <c r="L271" s="12" t="n">
        <v>200</v>
      </c>
      <c r="M271" s="10" t="inlineStr">
        <is>
          <t>是</t>
        </is>
      </c>
      <c r="N271" s="10" t="inlineStr">
        <is>
          <t>否</t>
        </is>
      </c>
      <c r="O271" s="10" t="inlineStr">
        <is>
          <t>supplier0267@example.com</t>
        </is>
      </c>
      <c r="P271" s="10" t="inlineStr">
        <is>
          <t>https://example.com/supplier/0267</t>
        </is>
      </c>
      <c r="Q271" s="10">
        <f>IF(R271&gt;=85,"A",IF(R271&gt;=70,"B","C"))</f>
        <v/>
      </c>
      <c r="R271" s="13">
        <f>MIN(100,50+IF(M271="是",10,0)+IF(N271="是",10,0)+IF(L271&lt;=100,10,IF(L271&lt;=300,5,0))+IF(J271&lt;=20,10,IF(J271&lt;=50,5,0))+IF(K271-J271&lt;=20,5,0)+IF(F271="企业官网",5,0))</f>
        <v/>
      </c>
      <c r="S271" s="10">
        <f>IF(Q271="A","价格与起订量有优势，建议优先询盘",IF(Q271="B","条件较均衡，可作为备选","起订量或价格需要进一步确认"))</f>
        <v/>
      </c>
      <c r="T271" s="10" t="inlineStr">
        <is>
          <t>未联系</t>
        </is>
      </c>
      <c r="U271" s="10" t="inlineStr">
        <is>
          <t>虚构演示数据</t>
        </is>
      </c>
    </row>
    <row r="272" ht="21" customHeight="1">
      <c r="A272" s="10" t="inlineStr">
        <is>
          <t>GYS-0268</t>
        </is>
      </c>
      <c r="B272" s="10" t="inlineStr">
        <is>
          <t>广州运动户外供应链0268有限公司（演示）</t>
        </is>
      </c>
      <c r="C272" s="10" t="inlineStr">
        <is>
          <t>运动户外</t>
        </is>
      </c>
      <c r="D272" s="10" t="inlineStr">
        <is>
          <t>弹力训练带</t>
        </is>
      </c>
      <c r="E272" s="10" t="inlineStr">
        <is>
          <t>广东广州</t>
        </is>
      </c>
      <c r="F272" s="10" t="inlineStr">
        <is>
          <t>慧聪网</t>
        </is>
      </c>
      <c r="G272" s="10" t="inlineStr">
        <is>
          <t>周经理</t>
        </is>
      </c>
      <c r="H272" s="10" t="inlineStr">
        <is>
          <t>000-0000-0268</t>
        </is>
      </c>
      <c r="I272" s="10" t="inlineStr">
        <is>
          <t>DEMO_GYS_0268</t>
        </is>
      </c>
      <c r="J272" s="11" t="n">
        <v>44.4</v>
      </c>
      <c r="K272" s="11" t="n">
        <v>55.2</v>
      </c>
      <c r="L272" s="12" t="n">
        <v>100</v>
      </c>
      <c r="M272" s="10" t="inlineStr">
        <is>
          <t>否</t>
        </is>
      </c>
      <c r="N272" s="10" t="inlineStr">
        <is>
          <t>是</t>
        </is>
      </c>
      <c r="O272" s="10" t="inlineStr">
        <is>
          <t>supplier0268@example.com</t>
        </is>
      </c>
      <c r="P272" s="10" t="inlineStr">
        <is>
          <t>https://example.com/supplier/0268</t>
        </is>
      </c>
      <c r="Q272" s="10">
        <f>IF(R272&gt;=85,"A",IF(R272&gt;=70,"B","C"))</f>
        <v/>
      </c>
      <c r="R272" s="13">
        <f>MIN(100,50+IF(M272="是",10,0)+IF(N272="是",10,0)+IF(L272&lt;=100,10,IF(L272&lt;=300,5,0))+IF(J272&lt;=20,10,IF(J272&lt;=50,5,0))+IF(K272-J272&lt;=20,5,0)+IF(F272="企业官网",5,0))</f>
        <v/>
      </c>
      <c r="S272" s="10">
        <f>IF(Q272="A","价格与起订量有优势，建议优先询盘",IF(Q272="B","条件较均衡，可作为备选","起订量或价格需要进一步确认"))</f>
        <v/>
      </c>
      <c r="T272" s="10" t="inlineStr">
        <is>
          <t>未联系</t>
        </is>
      </c>
      <c r="U272" s="10" t="inlineStr">
        <is>
          <t>虚构演示数据</t>
        </is>
      </c>
    </row>
    <row r="273" ht="21" customHeight="1">
      <c r="A273" s="10" t="inlineStr">
        <is>
          <t>GYS-0269</t>
        </is>
      </c>
      <c r="B273" s="10" t="inlineStr">
        <is>
          <t>泉州办公文具供应链0269有限公司（演示）</t>
        </is>
      </c>
      <c r="C273" s="10" t="inlineStr">
        <is>
          <t>办公文具</t>
        </is>
      </c>
      <c r="D273" s="10" t="inlineStr">
        <is>
          <t>桌面收纳架</t>
        </is>
      </c>
      <c r="E273" s="10" t="inlineStr">
        <is>
          <t>福建泉州</t>
        </is>
      </c>
      <c r="F273" s="10" t="inlineStr">
        <is>
          <t>1688</t>
        </is>
      </c>
      <c r="G273" s="10" t="inlineStr">
        <is>
          <t>吴经理</t>
        </is>
      </c>
      <c r="H273" s="10" t="inlineStr">
        <is>
          <t>000-0000-0269</t>
        </is>
      </c>
      <c r="I273" s="10" t="inlineStr">
        <is>
          <t>DEMO_GYS_0269</t>
        </is>
      </c>
      <c r="J273" s="11" t="n">
        <v>46.1</v>
      </c>
      <c r="K273" s="11" t="n">
        <v>58</v>
      </c>
      <c r="L273" s="12" t="n">
        <v>50</v>
      </c>
      <c r="M273" s="10" t="inlineStr">
        <is>
          <t>是</t>
        </is>
      </c>
      <c r="N273" s="10" t="inlineStr">
        <is>
          <t>是</t>
        </is>
      </c>
      <c r="O273" s="10" t="inlineStr">
        <is>
          <t>supplier0269@example.com</t>
        </is>
      </c>
      <c r="P273" s="10" t="inlineStr">
        <is>
          <t>https://example.com/supplier/0269</t>
        </is>
      </c>
      <c r="Q273" s="10">
        <f>IF(R273&gt;=85,"A",IF(R273&gt;=70,"B","C"))</f>
        <v/>
      </c>
      <c r="R273" s="13">
        <f>MIN(100,50+IF(M273="是",10,0)+IF(N273="是",10,0)+IF(L273&lt;=100,10,IF(L273&lt;=300,5,0))+IF(J273&lt;=20,10,IF(J273&lt;=50,5,0))+IF(K273-J273&lt;=20,5,0)+IF(F273="企业官网",5,0))</f>
        <v/>
      </c>
      <c r="S273" s="10">
        <f>IF(Q273="A","价格与起订量有优势，建议优先询盘",IF(Q273="B","条件较均衡，可作为备选","起订量或价格需要进一步确认"))</f>
        <v/>
      </c>
      <c r="T273" s="10" t="inlineStr">
        <is>
          <t>未联系</t>
        </is>
      </c>
      <c r="U273" s="10" t="inlineStr">
        <is>
          <t>虚构演示数据</t>
        </is>
      </c>
    </row>
    <row r="274" ht="21" customHeight="1">
      <c r="A274" s="10" t="inlineStr">
        <is>
          <t>GYS-0270</t>
        </is>
      </c>
      <c r="B274" s="10" t="inlineStr">
        <is>
          <t>南通汽车用品供应链0270有限公司（演示）</t>
        </is>
      </c>
      <c r="C274" s="10" t="inlineStr">
        <is>
          <t>汽车用品</t>
        </is>
      </c>
      <c r="D274" s="10" t="inlineStr">
        <is>
          <t>车载香薰</t>
        </is>
      </c>
      <c r="E274" s="10" t="inlineStr">
        <is>
          <t>江苏南通</t>
        </is>
      </c>
      <c r="F274" s="10" t="inlineStr">
        <is>
          <t>中国制造网</t>
        </is>
      </c>
      <c r="G274" s="10" t="inlineStr">
        <is>
          <t>陈经理</t>
        </is>
      </c>
      <c r="H274" s="10" t="inlineStr">
        <is>
          <t>000-0000-0270</t>
        </is>
      </c>
      <c r="I274" s="10" t="inlineStr">
        <is>
          <t>DEMO_GYS_0270</t>
        </is>
      </c>
      <c r="J274" s="11" t="n">
        <v>47.8</v>
      </c>
      <c r="K274" s="11" t="n">
        <v>60.8</v>
      </c>
      <c r="L274" s="12" t="n">
        <v>20</v>
      </c>
      <c r="M274" s="10" t="inlineStr">
        <is>
          <t>是</t>
        </is>
      </c>
      <c r="N274" s="10" t="inlineStr">
        <is>
          <t>否</t>
        </is>
      </c>
      <c r="O274" s="10" t="inlineStr">
        <is>
          <t>supplier0270@example.com</t>
        </is>
      </c>
      <c r="P274" s="10" t="inlineStr">
        <is>
          <t>https://example.com/supplier/0270</t>
        </is>
      </c>
      <c r="Q274" s="10">
        <f>IF(R274&gt;=85,"A",IF(R274&gt;=70,"B","C"))</f>
        <v/>
      </c>
      <c r="R274" s="13">
        <f>MIN(100,50+IF(M274="是",10,0)+IF(N274="是",10,0)+IF(L274&lt;=100,10,IF(L274&lt;=300,5,0))+IF(J274&lt;=20,10,IF(J274&lt;=50,5,0))+IF(K274-J274&lt;=20,5,0)+IF(F274="企业官网",5,0))</f>
        <v/>
      </c>
      <c r="S274" s="10">
        <f>IF(Q274="A","价格与起订量有优势，建议优先询盘",IF(Q274="B","条件较均衡，可作为备选","起订量或价格需要进一步确认"))</f>
        <v/>
      </c>
      <c r="T274" s="10" t="inlineStr">
        <is>
          <t>未联系</t>
        </is>
      </c>
      <c r="U274" s="10" t="inlineStr">
        <is>
          <t>虚构演示数据</t>
        </is>
      </c>
    </row>
    <row r="275" ht="21" customHeight="1">
      <c r="A275" s="10" t="inlineStr">
        <is>
          <t>GYS-0271</t>
        </is>
      </c>
      <c r="B275" s="10" t="inlineStr">
        <is>
          <t>郑州美容工具供应链0271有限公司（演示）</t>
        </is>
      </c>
      <c r="C275" s="10" t="inlineStr">
        <is>
          <t>美容工具</t>
        </is>
      </c>
      <c r="D275" s="10" t="inlineStr">
        <is>
          <t>便携化妆镜</t>
        </is>
      </c>
      <c r="E275" s="10" t="inlineStr">
        <is>
          <t>河南郑州</t>
        </is>
      </c>
      <c r="F275" s="10" t="inlineStr">
        <is>
          <t>企业官网</t>
        </is>
      </c>
      <c r="G275" s="10" t="inlineStr">
        <is>
          <t>林经理</t>
        </is>
      </c>
      <c r="H275" s="10" t="inlineStr">
        <is>
          <t>000-0000-0271</t>
        </is>
      </c>
      <c r="I275" s="10" t="inlineStr">
        <is>
          <t>DEMO_GYS_0271</t>
        </is>
      </c>
      <c r="J275" s="11" t="n">
        <v>3.5</v>
      </c>
      <c r="K275" s="11" t="n">
        <v>17.6</v>
      </c>
      <c r="L275" s="12" t="n">
        <v>500</v>
      </c>
      <c r="M275" s="10" t="inlineStr">
        <is>
          <t>是</t>
        </is>
      </c>
      <c r="N275" s="10" t="inlineStr">
        <is>
          <t>是</t>
        </is>
      </c>
      <c r="O275" s="10" t="inlineStr">
        <is>
          <t>supplier0271@example.com</t>
        </is>
      </c>
      <c r="P275" s="10" t="inlineStr">
        <is>
          <t>https://example.com/supplier/0271</t>
        </is>
      </c>
      <c r="Q275" s="10">
        <f>IF(R275&gt;=85,"A",IF(R275&gt;=70,"B","C"))</f>
        <v/>
      </c>
      <c r="R275" s="13">
        <f>MIN(100,50+IF(M275="是",10,0)+IF(N275="是",10,0)+IF(L275&lt;=100,10,IF(L275&lt;=300,5,0))+IF(J275&lt;=20,10,IF(J275&lt;=50,5,0))+IF(K275-J275&lt;=20,5,0)+IF(F275="企业官网",5,0))</f>
        <v/>
      </c>
      <c r="S275" s="10">
        <f>IF(Q275="A","价格与起订量有优势，建议优先询盘",IF(Q275="B","条件较均衡，可作为备选","起订量或价格需要进一步确认"))</f>
        <v/>
      </c>
      <c r="T275" s="10" t="inlineStr">
        <is>
          <t>未联系</t>
        </is>
      </c>
      <c r="U275" s="10" t="inlineStr">
        <is>
          <t>虚构演示数据</t>
        </is>
      </c>
    </row>
    <row r="276" ht="21" customHeight="1">
      <c r="A276" s="10" t="inlineStr">
        <is>
          <t>GYS-0272</t>
        </is>
      </c>
      <c r="B276" s="10" t="inlineStr">
        <is>
          <t>宁波旅行用品供应链0272有限公司（演示）</t>
        </is>
      </c>
      <c r="C276" s="10" t="inlineStr">
        <is>
          <t>旅行用品</t>
        </is>
      </c>
      <c r="D276" s="10" t="inlineStr">
        <is>
          <t>压缩收纳袋</t>
        </is>
      </c>
      <c r="E276" s="10" t="inlineStr">
        <is>
          <t>浙江宁波</t>
        </is>
      </c>
      <c r="F276" s="10" t="inlineStr">
        <is>
          <t>义乌购</t>
        </is>
      </c>
      <c r="G276" s="10" t="inlineStr">
        <is>
          <t>王经理</t>
        </is>
      </c>
      <c r="H276" s="10" t="inlineStr">
        <is>
          <t>000-0000-0272</t>
        </is>
      </c>
      <c r="I276" s="10" t="inlineStr">
        <is>
          <t>DEMO_GYS_0272</t>
        </is>
      </c>
      <c r="J276" s="11" t="n">
        <v>5.2</v>
      </c>
      <c r="K276" s="11" t="n">
        <v>20.4</v>
      </c>
      <c r="L276" s="12" t="n">
        <v>300</v>
      </c>
      <c r="M276" s="10" t="inlineStr">
        <is>
          <t>否</t>
        </is>
      </c>
      <c r="N276" s="10" t="inlineStr">
        <is>
          <t>是</t>
        </is>
      </c>
      <c r="O276" s="10" t="inlineStr">
        <is>
          <t>supplier0272@example.com</t>
        </is>
      </c>
      <c r="P276" s="10" t="inlineStr">
        <is>
          <t>https://example.com/supplier/0272</t>
        </is>
      </c>
      <c r="Q276" s="10">
        <f>IF(R276&gt;=85,"A",IF(R276&gt;=70,"B","C"))</f>
        <v/>
      </c>
      <c r="R276" s="13">
        <f>MIN(100,50+IF(M276="是",10,0)+IF(N276="是",10,0)+IF(L276&lt;=100,10,IF(L276&lt;=300,5,0))+IF(J276&lt;=20,10,IF(J276&lt;=50,5,0))+IF(K276-J276&lt;=20,5,0)+IF(F276="企业官网",5,0))</f>
        <v/>
      </c>
      <c r="S276" s="10">
        <f>IF(Q276="A","价格与起订量有优势，建议优先询盘",IF(Q276="B","条件较均衡，可作为备选","起订量或价格需要进一步确认"))</f>
        <v/>
      </c>
      <c r="T276" s="10" t="inlineStr">
        <is>
          <t>未联系</t>
        </is>
      </c>
      <c r="U276" s="10" t="inlineStr">
        <is>
          <t>虚构演示数据</t>
        </is>
      </c>
    </row>
    <row r="277" ht="21" customHeight="1">
      <c r="A277" s="10" t="inlineStr">
        <is>
          <t>GYS-0273</t>
        </is>
      </c>
      <c r="B277" s="10" t="inlineStr">
        <is>
          <t>深圳清洁工具供应链0273有限公司（演示）</t>
        </is>
      </c>
      <c r="C277" s="10" t="inlineStr">
        <is>
          <t>清洁工具</t>
        </is>
      </c>
      <c r="D277" s="10" t="inlineStr">
        <is>
          <t>免手洗拖把</t>
        </is>
      </c>
      <c r="E277" s="10" t="inlineStr">
        <is>
          <t>广东深圳</t>
        </is>
      </c>
      <c r="F277" s="10" t="inlineStr">
        <is>
          <t>慧聪网</t>
        </is>
      </c>
      <c r="G277" s="10" t="inlineStr">
        <is>
          <t>李经理</t>
        </is>
      </c>
      <c r="H277" s="10" t="inlineStr">
        <is>
          <t>000-0000-0273</t>
        </is>
      </c>
      <c r="I277" s="10" t="inlineStr">
        <is>
          <t>DEMO_GYS_0273</t>
        </is>
      </c>
      <c r="J277" s="11" t="n">
        <v>6.9</v>
      </c>
      <c r="K277" s="11" t="n">
        <v>23.2</v>
      </c>
      <c r="L277" s="12" t="n">
        <v>200</v>
      </c>
      <c r="M277" s="10" t="inlineStr">
        <is>
          <t>是</t>
        </is>
      </c>
      <c r="N277" s="10" t="inlineStr">
        <is>
          <t>否</t>
        </is>
      </c>
      <c r="O277" s="10" t="inlineStr">
        <is>
          <t>supplier0273@example.com</t>
        </is>
      </c>
      <c r="P277" s="10" t="inlineStr">
        <is>
          <t>https://example.com/supplier/0273</t>
        </is>
      </c>
      <c r="Q277" s="10">
        <f>IF(R277&gt;=85,"A",IF(R277&gt;=70,"B","C"))</f>
        <v/>
      </c>
      <c r="R277" s="13">
        <f>MIN(100,50+IF(M277="是",10,0)+IF(N277="是",10,0)+IF(L277&lt;=100,10,IF(L277&lt;=300,5,0))+IF(J277&lt;=20,10,IF(J277&lt;=50,5,0))+IF(K277-J277&lt;=20,5,0)+IF(F277="企业官网",5,0))</f>
        <v/>
      </c>
      <c r="S277" s="10">
        <f>IF(Q277="A","价格与起订量有优势，建议优先询盘",IF(Q277="B","条件较均衡，可作为备选","起订量或价格需要进一步确认"))</f>
        <v/>
      </c>
      <c r="T277" s="10" t="inlineStr">
        <is>
          <t>未联系</t>
        </is>
      </c>
      <c r="U277" s="10" t="inlineStr">
        <is>
          <t>虚构演示数据</t>
        </is>
      </c>
    </row>
    <row r="278" ht="21" customHeight="1">
      <c r="A278" s="10" t="inlineStr">
        <is>
          <t>GYS-0274</t>
        </is>
      </c>
      <c r="B278" s="10" t="inlineStr">
        <is>
          <t>佛山小家电供应链0274有限公司（演示）</t>
        </is>
      </c>
      <c r="C278" s="10" t="inlineStr">
        <is>
          <t>小家电</t>
        </is>
      </c>
      <c r="D278" s="10" t="inlineStr">
        <is>
          <t>迷你加湿器</t>
        </is>
      </c>
      <c r="E278" s="10" t="inlineStr">
        <is>
          <t>广东佛山</t>
        </is>
      </c>
      <c r="F278" s="10" t="inlineStr">
        <is>
          <t>1688</t>
        </is>
      </c>
      <c r="G278" s="10" t="inlineStr">
        <is>
          <t>张经理</t>
        </is>
      </c>
      <c r="H278" s="10" t="inlineStr">
        <is>
          <t>000-0000-0274</t>
        </is>
      </c>
      <c r="I278" s="10" t="inlineStr">
        <is>
          <t>DEMO_GYS_0274</t>
        </is>
      </c>
      <c r="J278" s="11" t="n">
        <v>8.6</v>
      </c>
      <c r="K278" s="11" t="n">
        <v>26</v>
      </c>
      <c r="L278" s="12" t="n">
        <v>100</v>
      </c>
      <c r="M278" s="10" t="inlineStr">
        <is>
          <t>是</t>
        </is>
      </c>
      <c r="N278" s="10" t="inlineStr">
        <is>
          <t>是</t>
        </is>
      </c>
      <c r="O278" s="10" t="inlineStr">
        <is>
          <t>supplier0274@example.com</t>
        </is>
      </c>
      <c r="P278" s="10" t="inlineStr">
        <is>
          <t>https://example.com/supplier/0274</t>
        </is>
      </c>
      <c r="Q278" s="10">
        <f>IF(R278&gt;=85,"A",IF(R278&gt;=70,"B","C"))</f>
        <v/>
      </c>
      <c r="R278" s="13">
        <f>MIN(100,50+IF(M278="是",10,0)+IF(N278="是",10,0)+IF(L278&lt;=100,10,IF(L278&lt;=300,5,0))+IF(J278&lt;=20,10,IF(J278&lt;=50,5,0))+IF(K278-J278&lt;=20,5,0)+IF(F278="企业官网",5,0))</f>
        <v/>
      </c>
      <c r="S278" s="10">
        <f>IF(Q278="A","价格与起订量有优势，建议优先询盘",IF(Q278="B","条件较均衡，可作为备选","起订量或价格需要进一步确认"))</f>
        <v/>
      </c>
      <c r="T278" s="10" t="inlineStr">
        <is>
          <t>未联系</t>
        </is>
      </c>
      <c r="U278" s="10" t="inlineStr">
        <is>
          <t>虚构演示数据</t>
        </is>
      </c>
    </row>
    <row r="279" ht="21" customHeight="1">
      <c r="A279" s="10" t="inlineStr">
        <is>
          <t>GYS-0275</t>
        </is>
      </c>
      <c r="B279" s="10" t="inlineStr">
        <is>
          <t>苏州礼品包装供应链0275有限公司（演示）</t>
        </is>
      </c>
      <c r="C279" s="10" t="inlineStr">
        <is>
          <t>礼品包装</t>
        </is>
      </c>
      <c r="D279" s="10" t="inlineStr">
        <is>
          <t>节日礼盒</t>
        </is>
      </c>
      <c r="E279" s="10" t="inlineStr">
        <is>
          <t>江苏苏州</t>
        </is>
      </c>
      <c r="F279" s="10" t="inlineStr">
        <is>
          <t>中国制造网</t>
        </is>
      </c>
      <c r="G279" s="10" t="inlineStr">
        <is>
          <t>刘经理</t>
        </is>
      </c>
      <c r="H279" s="10" t="inlineStr">
        <is>
          <t>000-0000-0275</t>
        </is>
      </c>
      <c r="I279" s="10" t="inlineStr">
        <is>
          <t>DEMO_GYS_0275</t>
        </is>
      </c>
      <c r="J279" s="11" t="n">
        <v>10.3</v>
      </c>
      <c r="K279" s="11" t="n">
        <v>28.8</v>
      </c>
      <c r="L279" s="12" t="n">
        <v>50</v>
      </c>
      <c r="M279" s="10" t="inlineStr">
        <is>
          <t>是</t>
        </is>
      </c>
      <c r="N279" s="10" t="inlineStr">
        <is>
          <t>是</t>
        </is>
      </c>
      <c r="O279" s="10" t="inlineStr">
        <is>
          <t>supplier0275@example.com</t>
        </is>
      </c>
      <c r="P279" s="10" t="inlineStr">
        <is>
          <t>https://example.com/supplier/0275</t>
        </is>
      </c>
      <c r="Q279" s="10">
        <f>IF(R279&gt;=85,"A",IF(R279&gt;=70,"B","C"))</f>
        <v/>
      </c>
      <c r="R279" s="13">
        <f>MIN(100,50+IF(M279="是",10,0)+IF(N279="是",10,0)+IF(L279&lt;=100,10,IF(L279&lt;=300,5,0))+IF(J279&lt;=20,10,IF(J279&lt;=50,5,0))+IF(K279-J279&lt;=20,5,0)+IF(F279="企业官网",5,0))</f>
        <v/>
      </c>
      <c r="S279" s="10">
        <f>IF(Q279="A","价格与起订量有优势，建议优先询盘",IF(Q279="B","条件较均衡，可作为备选","起订量或价格需要进一步确认"))</f>
        <v/>
      </c>
      <c r="T279" s="10" t="inlineStr">
        <is>
          <t>未联系</t>
        </is>
      </c>
      <c r="U279" s="10" t="inlineStr">
        <is>
          <t>虚构演示数据</t>
        </is>
      </c>
    </row>
    <row r="280" ht="21" customHeight="1">
      <c r="A280" s="10" t="inlineStr">
        <is>
          <t>GYS-0276</t>
        </is>
      </c>
      <c r="B280" s="10" t="inlineStr">
        <is>
          <t>白沟五金工具供应链0276有限公司（演示）</t>
        </is>
      </c>
      <c r="C280" s="10" t="inlineStr">
        <is>
          <t>五金工具</t>
        </is>
      </c>
      <c r="D280" s="10" t="inlineStr">
        <is>
          <t>多功能螺丝刀</t>
        </is>
      </c>
      <c r="E280" s="10" t="inlineStr">
        <is>
          <t>河北白沟</t>
        </is>
      </c>
      <c r="F280" s="10" t="inlineStr">
        <is>
          <t>企业官网</t>
        </is>
      </c>
      <c r="G280" s="10" t="inlineStr">
        <is>
          <t>黄经理</t>
        </is>
      </c>
      <c r="H280" s="10" t="inlineStr">
        <is>
          <t>000-0000-0276</t>
        </is>
      </c>
      <c r="I280" s="10" t="inlineStr">
        <is>
          <t>DEMO_GYS_0276</t>
        </is>
      </c>
      <c r="J280" s="11" t="n">
        <v>12</v>
      </c>
      <c r="K280" s="11" t="n">
        <v>31.6</v>
      </c>
      <c r="L280" s="12" t="n">
        <v>20</v>
      </c>
      <c r="M280" s="10" t="inlineStr">
        <is>
          <t>否</t>
        </is>
      </c>
      <c r="N280" s="10" t="inlineStr">
        <is>
          <t>否</t>
        </is>
      </c>
      <c r="O280" s="10" t="inlineStr">
        <is>
          <t>supplier0276@example.com</t>
        </is>
      </c>
      <c r="P280" s="10" t="inlineStr">
        <is>
          <t>https://example.com/supplier/0276</t>
        </is>
      </c>
      <c r="Q280" s="10">
        <f>IF(R280&gt;=85,"A",IF(R280&gt;=70,"B","C"))</f>
        <v/>
      </c>
      <c r="R280" s="13">
        <f>MIN(100,50+IF(M280="是",10,0)+IF(N280="是",10,0)+IF(L280&lt;=100,10,IF(L280&lt;=300,5,0))+IF(J280&lt;=20,10,IF(J280&lt;=50,5,0))+IF(K280-J280&lt;=20,5,0)+IF(F280="企业官网",5,0))</f>
        <v/>
      </c>
      <c r="S280" s="10">
        <f>IF(Q280="A","价格与起订量有优势，建议优先询盘",IF(Q280="B","条件较均衡，可作为备选","起订量或价格需要进一步确认"))</f>
        <v/>
      </c>
      <c r="T280" s="10" t="inlineStr">
        <is>
          <t>未联系</t>
        </is>
      </c>
      <c r="U280" s="10" t="inlineStr">
        <is>
          <t>虚构演示数据</t>
        </is>
      </c>
    </row>
    <row r="281" ht="21" customHeight="1">
      <c r="A281" s="10" t="inlineStr">
        <is>
          <t>GYS-0277</t>
        </is>
      </c>
      <c r="B281" s="10" t="inlineStr">
        <is>
          <t>义乌鞋靴配件供应链0277有限公司（演示）</t>
        </is>
      </c>
      <c r="C281" s="10" t="inlineStr">
        <is>
          <t>鞋靴配件</t>
        </is>
      </c>
      <c r="D281" s="10" t="inlineStr">
        <is>
          <t>防磨脚贴</t>
        </is>
      </c>
      <c r="E281" s="10" t="inlineStr">
        <is>
          <t>浙江义乌</t>
        </is>
      </c>
      <c r="F281" s="10" t="inlineStr">
        <is>
          <t>义乌购</t>
        </is>
      </c>
      <c r="G281" s="10" t="inlineStr">
        <is>
          <t>赵经理</t>
        </is>
      </c>
      <c r="H281" s="10" t="inlineStr">
        <is>
          <t>000-0000-0277</t>
        </is>
      </c>
      <c r="I281" s="10" t="inlineStr">
        <is>
          <t>DEMO_GYS_0277</t>
        </is>
      </c>
      <c r="J281" s="11" t="n">
        <v>13.7</v>
      </c>
      <c r="K281" s="11" t="n">
        <v>34.4</v>
      </c>
      <c r="L281" s="12" t="n">
        <v>500</v>
      </c>
      <c r="M281" s="10" t="inlineStr">
        <is>
          <t>是</t>
        </is>
      </c>
      <c r="N281" s="10" t="inlineStr">
        <is>
          <t>是</t>
        </is>
      </c>
      <c r="O281" s="10" t="inlineStr">
        <is>
          <t>supplier0277@example.com</t>
        </is>
      </c>
      <c r="P281" s="10" t="inlineStr">
        <is>
          <t>https://example.com/supplier/0277</t>
        </is>
      </c>
      <c r="Q281" s="10">
        <f>IF(R281&gt;=85,"A",IF(R281&gt;=70,"B","C"))</f>
        <v/>
      </c>
      <c r="R281" s="13">
        <f>MIN(100,50+IF(M281="是",10,0)+IF(N281="是",10,0)+IF(L281&lt;=100,10,IF(L281&lt;=300,5,0))+IF(J281&lt;=20,10,IF(J281&lt;=50,5,0))+IF(K281-J281&lt;=20,5,0)+IF(F281="企业官网",5,0))</f>
        <v/>
      </c>
      <c r="S281" s="10">
        <f>IF(Q281="A","价格与起订量有优势，建议优先询盘",IF(Q281="B","条件较均衡，可作为备选","起订量或价格需要进一步确认"))</f>
        <v/>
      </c>
      <c r="T281" s="10" t="inlineStr">
        <is>
          <t>未联系</t>
        </is>
      </c>
      <c r="U281" s="10" t="inlineStr">
        <is>
          <t>虚构演示数据</t>
        </is>
      </c>
    </row>
    <row r="282" ht="21" customHeight="1">
      <c r="A282" s="10" t="inlineStr">
        <is>
          <t>GYS-0278</t>
        </is>
      </c>
      <c r="B282" s="10" t="inlineStr">
        <is>
          <t>台州食品包装供应链0278有限公司（演示）</t>
        </is>
      </c>
      <c r="C282" s="10" t="inlineStr">
        <is>
          <t>食品包装</t>
        </is>
      </c>
      <c r="D282" s="10" t="inlineStr">
        <is>
          <t>密封包装袋</t>
        </is>
      </c>
      <c r="E282" s="10" t="inlineStr">
        <is>
          <t>浙江台州</t>
        </is>
      </c>
      <c r="F282" s="10" t="inlineStr">
        <is>
          <t>慧聪网</t>
        </is>
      </c>
      <c r="G282" s="10" t="inlineStr">
        <is>
          <t>周经理</t>
        </is>
      </c>
      <c r="H282" s="10" t="inlineStr">
        <is>
          <t>000-0000-0278</t>
        </is>
      </c>
      <c r="I282" s="10" t="inlineStr">
        <is>
          <t>DEMO_GYS_0278</t>
        </is>
      </c>
      <c r="J282" s="11" t="n">
        <v>15.4</v>
      </c>
      <c r="K282" s="11" t="n">
        <v>37.2</v>
      </c>
      <c r="L282" s="12" t="n">
        <v>300</v>
      </c>
      <c r="M282" s="10" t="inlineStr">
        <is>
          <t>是</t>
        </is>
      </c>
      <c r="N282" s="10" t="inlineStr">
        <is>
          <t>是</t>
        </is>
      </c>
      <c r="O282" s="10" t="inlineStr">
        <is>
          <t>supplier0278@example.com</t>
        </is>
      </c>
      <c r="P282" s="10" t="inlineStr">
        <is>
          <t>https://example.com/supplier/0278</t>
        </is>
      </c>
      <c r="Q282" s="10">
        <f>IF(R282&gt;=85,"A",IF(R282&gt;=70,"B","C"))</f>
        <v/>
      </c>
      <c r="R282" s="13">
        <f>MIN(100,50+IF(M282="是",10,0)+IF(N282="是",10,0)+IF(L282&lt;=100,10,IF(L282&lt;=300,5,0))+IF(J282&lt;=20,10,IF(J282&lt;=50,5,0))+IF(K282-J282&lt;=20,5,0)+IF(F282="企业官网",5,0))</f>
        <v/>
      </c>
      <c r="S282" s="10">
        <f>IF(Q282="A","价格与起订量有优势，建议优先询盘",IF(Q282="B","条件较均衡，可作为备选","起订量或价格需要进一步确认"))</f>
        <v/>
      </c>
      <c r="T282" s="10" t="inlineStr">
        <is>
          <t>未联系</t>
        </is>
      </c>
      <c r="U282" s="10" t="inlineStr">
        <is>
          <t>虚构演示数据</t>
        </is>
      </c>
    </row>
    <row r="283" ht="21" customHeight="1">
      <c r="A283" s="10" t="inlineStr">
        <is>
          <t>GYS-0279</t>
        </is>
      </c>
      <c r="B283" s="10" t="inlineStr">
        <is>
          <t>东莞户外照明供应链0279有限公司（演示）</t>
        </is>
      </c>
      <c r="C283" s="10" t="inlineStr">
        <is>
          <t>户外照明</t>
        </is>
      </c>
      <c r="D283" s="10" t="inlineStr">
        <is>
          <t>便携露营灯</t>
        </is>
      </c>
      <c r="E283" s="10" t="inlineStr">
        <is>
          <t>广东东莞</t>
        </is>
      </c>
      <c r="F283" s="10" t="inlineStr">
        <is>
          <t>1688</t>
        </is>
      </c>
      <c r="G283" s="10" t="inlineStr">
        <is>
          <t>吴经理</t>
        </is>
      </c>
      <c r="H283" s="10" t="inlineStr">
        <is>
          <t>000-0000-0279</t>
        </is>
      </c>
      <c r="I283" s="10" t="inlineStr">
        <is>
          <t>DEMO_GYS_0279</t>
        </is>
      </c>
      <c r="J283" s="11" t="n">
        <v>17.1</v>
      </c>
      <c r="K283" s="11" t="n">
        <v>22</v>
      </c>
      <c r="L283" s="12" t="n">
        <v>200</v>
      </c>
      <c r="M283" s="10" t="inlineStr">
        <is>
          <t>是</t>
        </is>
      </c>
      <c r="N283" s="10" t="inlineStr">
        <is>
          <t>否</t>
        </is>
      </c>
      <c r="O283" s="10" t="inlineStr">
        <is>
          <t>supplier0279@example.com</t>
        </is>
      </c>
      <c r="P283" s="10" t="inlineStr">
        <is>
          <t>https://example.com/supplier/0279</t>
        </is>
      </c>
      <c r="Q283" s="10">
        <f>IF(R283&gt;=85,"A",IF(R283&gt;=70,"B","C"))</f>
        <v/>
      </c>
      <c r="R283" s="13">
        <f>MIN(100,50+IF(M283="是",10,0)+IF(N283="是",10,0)+IF(L283&lt;=100,10,IF(L283&lt;=300,5,0))+IF(J283&lt;=20,10,IF(J283&lt;=50,5,0))+IF(K283-J283&lt;=20,5,0)+IF(F283="企业官网",5,0))</f>
        <v/>
      </c>
      <c r="S283" s="10">
        <f>IF(Q283="A","价格与起订量有优势，建议优先询盘",IF(Q283="B","条件较均衡，可作为备选","起订量或价格需要进一步确认"))</f>
        <v/>
      </c>
      <c r="T283" s="10" t="inlineStr">
        <is>
          <t>未联系</t>
        </is>
      </c>
      <c r="U283" s="10" t="inlineStr">
        <is>
          <t>虚构演示数据</t>
        </is>
      </c>
    </row>
    <row r="284" ht="21" customHeight="1">
      <c r="A284" s="10" t="inlineStr">
        <is>
          <t>GYS-0280</t>
        </is>
      </c>
      <c r="B284" s="10" t="inlineStr">
        <is>
          <t>厦门健康用品供应链0280有限公司（演示）</t>
        </is>
      </c>
      <c r="C284" s="10" t="inlineStr">
        <is>
          <t>健康用品</t>
        </is>
      </c>
      <c r="D284" s="10" t="inlineStr">
        <is>
          <t>热敷眼罩</t>
        </is>
      </c>
      <c r="E284" s="10" t="inlineStr">
        <is>
          <t>福建厦门</t>
        </is>
      </c>
      <c r="F284" s="10" t="inlineStr">
        <is>
          <t>中国制造网</t>
        </is>
      </c>
      <c r="G284" s="10" t="inlineStr">
        <is>
          <t>陈经理</t>
        </is>
      </c>
      <c r="H284" s="10" t="inlineStr">
        <is>
          <t>000-0000-0280</t>
        </is>
      </c>
      <c r="I284" s="10" t="inlineStr">
        <is>
          <t>DEMO_GYS_0280</t>
        </is>
      </c>
      <c r="J284" s="11" t="n">
        <v>18.8</v>
      </c>
      <c r="K284" s="11" t="n">
        <v>24.8</v>
      </c>
      <c r="L284" s="12" t="n">
        <v>100</v>
      </c>
      <c r="M284" s="10" t="inlineStr">
        <is>
          <t>否</t>
        </is>
      </c>
      <c r="N284" s="10" t="inlineStr">
        <is>
          <t>是</t>
        </is>
      </c>
      <c r="O284" s="10" t="inlineStr">
        <is>
          <t>supplier0280@example.com</t>
        </is>
      </c>
      <c r="P284" s="10" t="inlineStr">
        <is>
          <t>https://example.com/supplier/0280</t>
        </is>
      </c>
      <c r="Q284" s="10">
        <f>IF(R284&gt;=85,"A",IF(R284&gt;=70,"B","C"))</f>
        <v/>
      </c>
      <c r="R284" s="13">
        <f>MIN(100,50+IF(M284="是",10,0)+IF(N284="是",10,0)+IF(L284&lt;=100,10,IF(L284&lt;=300,5,0))+IF(J284&lt;=20,10,IF(J284&lt;=50,5,0))+IF(K284-J284&lt;=20,5,0)+IF(F284="企业官网",5,0))</f>
        <v/>
      </c>
      <c r="S284" s="10">
        <f>IF(Q284="A","价格与起订量有优势，建议优先询盘",IF(Q284="B","条件较均衡，可作为备选","起订量或价格需要进一步确认"))</f>
        <v/>
      </c>
      <c r="T284" s="10" t="inlineStr">
        <is>
          <t>未联系</t>
        </is>
      </c>
      <c r="U284" s="10" t="inlineStr">
        <is>
          <t>虚构演示数据</t>
        </is>
      </c>
    </row>
    <row r="285" ht="21" customHeight="1">
      <c r="A285" s="10" t="inlineStr">
        <is>
          <t>GYS-0281</t>
        </is>
      </c>
      <c r="B285" s="10" t="inlineStr">
        <is>
          <t>临沂服饰内衣供应链0281有限公司（演示）</t>
        </is>
      </c>
      <c r="C285" s="10" t="inlineStr">
        <is>
          <t>服饰内衣</t>
        </is>
      </c>
      <c r="D285" s="10" t="inlineStr">
        <is>
          <t>防滑袜</t>
        </is>
      </c>
      <c r="E285" s="10" t="inlineStr">
        <is>
          <t>山东临沂</t>
        </is>
      </c>
      <c r="F285" s="10" t="inlineStr">
        <is>
          <t>企业官网</t>
        </is>
      </c>
      <c r="G285" s="10" t="inlineStr">
        <is>
          <t>林经理</t>
        </is>
      </c>
      <c r="H285" s="10" t="inlineStr">
        <is>
          <t>000-0000-0281</t>
        </is>
      </c>
      <c r="I285" s="10" t="inlineStr">
        <is>
          <t>DEMO_GYS_0281</t>
        </is>
      </c>
      <c r="J285" s="11" t="n">
        <v>20.5</v>
      </c>
      <c r="K285" s="11" t="n">
        <v>27.6</v>
      </c>
      <c r="L285" s="12" t="n">
        <v>50</v>
      </c>
      <c r="M285" s="10" t="inlineStr">
        <is>
          <t>是</t>
        </is>
      </c>
      <c r="N285" s="10" t="inlineStr">
        <is>
          <t>是</t>
        </is>
      </c>
      <c r="O285" s="10" t="inlineStr">
        <is>
          <t>supplier0281@example.com</t>
        </is>
      </c>
      <c r="P285" s="10" t="inlineStr">
        <is>
          <t>https://example.com/supplier/0281</t>
        </is>
      </c>
      <c r="Q285" s="10">
        <f>IF(R285&gt;=85,"A",IF(R285&gt;=70,"B","C"))</f>
        <v/>
      </c>
      <c r="R285" s="13">
        <f>MIN(100,50+IF(M285="是",10,0)+IF(N285="是",10,0)+IF(L285&lt;=100,10,IF(L285&lt;=300,5,0))+IF(J285&lt;=20,10,IF(J285&lt;=50,5,0))+IF(K285-J285&lt;=20,5,0)+IF(F285="企业官网",5,0))</f>
        <v/>
      </c>
      <c r="S285" s="10">
        <f>IF(Q285="A","价格与起订量有优势，建议优先询盘",IF(Q285="B","条件较均衡，可作为备选","起订量或价格需要进一步确认"))</f>
        <v/>
      </c>
      <c r="T285" s="10" t="inlineStr">
        <is>
          <t>未联系</t>
        </is>
      </c>
      <c r="U285" s="10" t="inlineStr">
        <is>
          <t>虚构演示数据</t>
        </is>
      </c>
    </row>
    <row r="286" ht="21" customHeight="1">
      <c r="A286" s="10" t="inlineStr">
        <is>
          <t>GYS-0282</t>
        </is>
      </c>
      <c r="B286" s="10" t="inlineStr">
        <is>
          <t>南昌家居日用供应链0282有限公司（演示）</t>
        </is>
      </c>
      <c r="C286" s="10" t="inlineStr">
        <is>
          <t>家居日用</t>
        </is>
      </c>
      <c r="D286" s="10" t="inlineStr">
        <is>
          <t>折叠收纳箱</t>
        </is>
      </c>
      <c r="E286" s="10" t="inlineStr">
        <is>
          <t>江西南昌</t>
        </is>
      </c>
      <c r="F286" s="10" t="inlineStr">
        <is>
          <t>义乌购</t>
        </is>
      </c>
      <c r="G286" s="10" t="inlineStr">
        <is>
          <t>王经理</t>
        </is>
      </c>
      <c r="H286" s="10" t="inlineStr">
        <is>
          <t>000-0000-0282</t>
        </is>
      </c>
      <c r="I286" s="10" t="inlineStr">
        <is>
          <t>DEMO_GYS_0282</t>
        </is>
      </c>
      <c r="J286" s="11" t="n">
        <v>22.2</v>
      </c>
      <c r="K286" s="11" t="n">
        <v>30.4</v>
      </c>
      <c r="L286" s="12" t="n">
        <v>20</v>
      </c>
      <c r="M286" s="10" t="inlineStr">
        <is>
          <t>是</t>
        </is>
      </c>
      <c r="N286" s="10" t="inlineStr">
        <is>
          <t>否</t>
        </is>
      </c>
      <c r="O286" s="10" t="inlineStr">
        <is>
          <t>supplier0282@example.com</t>
        </is>
      </c>
      <c r="P286" s="10" t="inlineStr">
        <is>
          <t>https://example.com/supplier/0282</t>
        </is>
      </c>
      <c r="Q286" s="10">
        <f>IF(R286&gt;=85,"A",IF(R286&gt;=70,"B","C"))</f>
        <v/>
      </c>
      <c r="R286" s="13">
        <f>MIN(100,50+IF(M286="是",10,0)+IF(N286="是",10,0)+IF(L286&lt;=100,10,IF(L286&lt;=300,5,0))+IF(J286&lt;=20,10,IF(J286&lt;=50,5,0))+IF(K286-J286&lt;=20,5,0)+IF(F286="企业官网",5,0))</f>
        <v/>
      </c>
      <c r="S286" s="10">
        <f>IF(Q286="A","价格与起订量有优势，建议优先询盘",IF(Q286="B","条件较均衡，可作为备选","起订量或价格需要进一步确认"))</f>
        <v/>
      </c>
      <c r="T286" s="10" t="inlineStr">
        <is>
          <t>未联系</t>
        </is>
      </c>
      <c r="U286" s="10" t="inlineStr">
        <is>
          <t>虚构演示数据</t>
        </is>
      </c>
    </row>
    <row r="287" ht="21" customHeight="1">
      <c r="A287" s="10" t="inlineStr">
        <is>
          <t>GYS-0283</t>
        </is>
      </c>
      <c r="B287" s="10" t="inlineStr">
        <is>
          <t>温州个护清洁供应链0283有限公司（演示）</t>
        </is>
      </c>
      <c r="C287" s="10" t="inlineStr">
        <is>
          <t>个护清洁</t>
        </is>
      </c>
      <c r="D287" s="10" t="inlineStr">
        <is>
          <t>便携洗脸巾</t>
        </is>
      </c>
      <c r="E287" s="10" t="inlineStr">
        <is>
          <t>浙江温州</t>
        </is>
      </c>
      <c r="F287" s="10" t="inlineStr">
        <is>
          <t>慧聪网</t>
        </is>
      </c>
      <c r="G287" s="10" t="inlineStr">
        <is>
          <t>李经理</t>
        </is>
      </c>
      <c r="H287" s="10" t="inlineStr">
        <is>
          <t>000-0000-0283</t>
        </is>
      </c>
      <c r="I287" s="10" t="inlineStr">
        <is>
          <t>DEMO_GYS_0283</t>
        </is>
      </c>
      <c r="J287" s="11" t="n">
        <v>23.9</v>
      </c>
      <c r="K287" s="11" t="n">
        <v>33.2</v>
      </c>
      <c r="L287" s="12" t="n">
        <v>500</v>
      </c>
      <c r="M287" s="10" t="inlineStr">
        <is>
          <t>是</t>
        </is>
      </c>
      <c r="N287" s="10" t="inlineStr">
        <is>
          <t>是</t>
        </is>
      </c>
      <c r="O287" s="10" t="inlineStr">
        <is>
          <t>supplier0283@example.com</t>
        </is>
      </c>
      <c r="P287" s="10" t="inlineStr">
        <is>
          <t>https://example.com/supplier/0283</t>
        </is>
      </c>
      <c r="Q287" s="10">
        <f>IF(R287&gt;=85,"A",IF(R287&gt;=70,"B","C"))</f>
        <v/>
      </c>
      <c r="R287" s="13">
        <f>MIN(100,50+IF(M287="是",10,0)+IF(N287="是",10,0)+IF(L287&lt;=100,10,IF(L287&lt;=300,5,0))+IF(J287&lt;=20,10,IF(J287&lt;=50,5,0))+IF(K287-J287&lt;=20,5,0)+IF(F287="企业官网",5,0))</f>
        <v/>
      </c>
      <c r="S287" s="10">
        <f>IF(Q287="A","价格与起订量有优势，建议优先询盘",IF(Q287="B","条件较均衡，可作为备选","起订量或价格需要进一步确认"))</f>
        <v/>
      </c>
      <c r="T287" s="10" t="inlineStr">
        <is>
          <t>未联系</t>
        </is>
      </c>
      <c r="U287" s="10" t="inlineStr">
        <is>
          <t>虚构演示数据</t>
        </is>
      </c>
    </row>
    <row r="288" ht="21" customHeight="1">
      <c r="A288" s="10" t="inlineStr">
        <is>
          <t>GYS-0284</t>
        </is>
      </c>
      <c r="B288" s="10" t="inlineStr">
        <is>
          <t>广州厨房用品供应链0284有限公司（演示）</t>
        </is>
      </c>
      <c r="C288" s="10" t="inlineStr">
        <is>
          <t>厨房用品</t>
        </is>
      </c>
      <c r="D288" s="10" t="inlineStr">
        <is>
          <t>硅胶保鲜盒</t>
        </is>
      </c>
      <c r="E288" s="10" t="inlineStr">
        <is>
          <t>广东广州</t>
        </is>
      </c>
      <c r="F288" s="10" t="inlineStr">
        <is>
          <t>1688</t>
        </is>
      </c>
      <c r="G288" s="10" t="inlineStr">
        <is>
          <t>张经理</t>
        </is>
      </c>
      <c r="H288" s="10" t="inlineStr">
        <is>
          <t>000-0000-0284</t>
        </is>
      </c>
      <c r="I288" s="10" t="inlineStr">
        <is>
          <t>DEMO_GYS_0284</t>
        </is>
      </c>
      <c r="J288" s="11" t="n">
        <v>25.6</v>
      </c>
      <c r="K288" s="11" t="n">
        <v>36</v>
      </c>
      <c r="L288" s="12" t="n">
        <v>300</v>
      </c>
      <c r="M288" s="10" t="inlineStr">
        <is>
          <t>否</t>
        </is>
      </c>
      <c r="N288" s="10" t="inlineStr">
        <is>
          <t>是</t>
        </is>
      </c>
      <c r="O288" s="10" t="inlineStr">
        <is>
          <t>supplier0284@example.com</t>
        </is>
      </c>
      <c r="P288" s="10" t="inlineStr">
        <is>
          <t>https://example.com/supplier/0284</t>
        </is>
      </c>
      <c r="Q288" s="10">
        <f>IF(R288&gt;=85,"A",IF(R288&gt;=70,"B","C"))</f>
        <v/>
      </c>
      <c r="R288" s="13">
        <f>MIN(100,50+IF(M288="是",10,0)+IF(N288="是",10,0)+IF(L288&lt;=100,10,IF(L288&lt;=300,5,0))+IF(J288&lt;=20,10,IF(J288&lt;=50,5,0))+IF(K288-J288&lt;=20,5,0)+IF(F288="企业官网",5,0))</f>
        <v/>
      </c>
      <c r="S288" s="10">
        <f>IF(Q288="A","价格与起订量有优势，建议优先询盘",IF(Q288="B","条件较均衡，可作为备选","起订量或价格需要进一步确认"))</f>
        <v/>
      </c>
      <c r="T288" s="10" t="inlineStr">
        <is>
          <t>未联系</t>
        </is>
      </c>
      <c r="U288" s="10" t="inlineStr">
        <is>
          <t>虚构演示数据</t>
        </is>
      </c>
    </row>
    <row r="289" ht="21" customHeight="1">
      <c r="A289" s="10" t="inlineStr">
        <is>
          <t>GYS-0285</t>
        </is>
      </c>
      <c r="B289" s="10" t="inlineStr">
        <is>
          <t>泉州数码配件供应链0285有限公司（演示）</t>
        </is>
      </c>
      <c r="C289" s="10" t="inlineStr">
        <is>
          <t>数码配件</t>
        </is>
      </c>
      <c r="D289" s="10" t="inlineStr">
        <is>
          <t>磁吸手机支架</t>
        </is>
      </c>
      <c r="E289" s="10" t="inlineStr">
        <is>
          <t>福建泉州</t>
        </is>
      </c>
      <c r="F289" s="10" t="inlineStr">
        <is>
          <t>中国制造网</t>
        </is>
      </c>
      <c r="G289" s="10" t="inlineStr">
        <is>
          <t>刘经理</t>
        </is>
      </c>
      <c r="H289" s="10" t="inlineStr">
        <is>
          <t>000-0000-0285</t>
        </is>
      </c>
      <c r="I289" s="10" t="inlineStr">
        <is>
          <t>DEMO_GYS_0285</t>
        </is>
      </c>
      <c r="J289" s="11" t="n">
        <v>27.3</v>
      </c>
      <c r="K289" s="11" t="n">
        <v>38.8</v>
      </c>
      <c r="L289" s="12" t="n">
        <v>200</v>
      </c>
      <c r="M289" s="10" t="inlineStr">
        <is>
          <t>是</t>
        </is>
      </c>
      <c r="N289" s="10" t="inlineStr">
        <is>
          <t>否</t>
        </is>
      </c>
      <c r="O289" s="10" t="inlineStr">
        <is>
          <t>supplier0285@example.com</t>
        </is>
      </c>
      <c r="P289" s="10" t="inlineStr">
        <is>
          <t>https://example.com/supplier/0285</t>
        </is>
      </c>
      <c r="Q289" s="10">
        <f>IF(R289&gt;=85,"A",IF(R289&gt;=70,"B","C"))</f>
        <v/>
      </c>
      <c r="R289" s="13">
        <f>MIN(100,50+IF(M289="是",10,0)+IF(N289="是",10,0)+IF(L289&lt;=100,10,IF(L289&lt;=300,5,0))+IF(J289&lt;=20,10,IF(J289&lt;=50,5,0))+IF(K289-J289&lt;=20,5,0)+IF(F289="企业官网",5,0))</f>
        <v/>
      </c>
      <c r="S289" s="10">
        <f>IF(Q289="A","价格与起订量有优势，建议优先询盘",IF(Q289="B","条件较均衡，可作为备选","起订量或价格需要进一步确认"))</f>
        <v/>
      </c>
      <c r="T289" s="10" t="inlineStr">
        <is>
          <t>未联系</t>
        </is>
      </c>
      <c r="U289" s="10" t="inlineStr">
        <is>
          <t>虚构演示数据</t>
        </is>
      </c>
    </row>
    <row r="290" ht="21" customHeight="1">
      <c r="A290" s="10" t="inlineStr">
        <is>
          <t>GYS-0286</t>
        </is>
      </c>
      <c r="B290" s="10" t="inlineStr">
        <is>
          <t>南通宠物用品供应链0286有限公司（演示）</t>
        </is>
      </c>
      <c r="C290" s="10" t="inlineStr">
        <is>
          <t>宠物用品</t>
        </is>
      </c>
      <c r="D290" s="10" t="inlineStr">
        <is>
          <t>宠物清洁手套</t>
        </is>
      </c>
      <c r="E290" s="10" t="inlineStr">
        <is>
          <t>江苏南通</t>
        </is>
      </c>
      <c r="F290" s="10" t="inlineStr">
        <is>
          <t>企业官网</t>
        </is>
      </c>
      <c r="G290" s="10" t="inlineStr">
        <is>
          <t>黄经理</t>
        </is>
      </c>
      <c r="H290" s="10" t="inlineStr">
        <is>
          <t>000-0000-0286</t>
        </is>
      </c>
      <c r="I290" s="10" t="inlineStr">
        <is>
          <t>DEMO_GYS_0286</t>
        </is>
      </c>
      <c r="J290" s="11" t="n">
        <v>29</v>
      </c>
      <c r="K290" s="11" t="n">
        <v>41.6</v>
      </c>
      <c r="L290" s="12" t="n">
        <v>100</v>
      </c>
      <c r="M290" s="10" t="inlineStr">
        <is>
          <t>是</t>
        </is>
      </c>
      <c r="N290" s="10" t="inlineStr">
        <is>
          <t>是</t>
        </is>
      </c>
      <c r="O290" s="10" t="inlineStr">
        <is>
          <t>supplier0286@example.com</t>
        </is>
      </c>
      <c r="P290" s="10" t="inlineStr">
        <is>
          <t>https://example.com/supplier/0286</t>
        </is>
      </c>
      <c r="Q290" s="10">
        <f>IF(R290&gt;=85,"A",IF(R290&gt;=70,"B","C"))</f>
        <v/>
      </c>
      <c r="R290" s="13">
        <f>MIN(100,50+IF(M290="是",10,0)+IF(N290="是",10,0)+IF(L290&lt;=100,10,IF(L290&lt;=300,5,0))+IF(J290&lt;=20,10,IF(J290&lt;=50,5,0))+IF(K290-J290&lt;=20,5,0)+IF(F290="企业官网",5,0))</f>
        <v/>
      </c>
      <c r="S290" s="10">
        <f>IF(Q290="A","价格与起订量有优势，建议优先询盘",IF(Q290="B","条件较均衡，可作为备选","起订量或价格需要进一步确认"))</f>
        <v/>
      </c>
      <c r="T290" s="10" t="inlineStr">
        <is>
          <t>未联系</t>
        </is>
      </c>
      <c r="U290" s="10" t="inlineStr">
        <is>
          <t>虚构演示数据</t>
        </is>
      </c>
    </row>
    <row r="291" ht="21" customHeight="1">
      <c r="A291" s="10" t="inlineStr">
        <is>
          <t>GYS-0287</t>
        </is>
      </c>
      <c r="B291" s="10" t="inlineStr">
        <is>
          <t>郑州母婴用品供应链0287有限公司（演示）</t>
        </is>
      </c>
      <c r="C291" s="10" t="inlineStr">
        <is>
          <t>母婴用品</t>
        </is>
      </c>
      <c r="D291" s="10" t="inlineStr">
        <is>
          <t>婴儿防撞条</t>
        </is>
      </c>
      <c r="E291" s="10" t="inlineStr">
        <is>
          <t>河南郑州</t>
        </is>
      </c>
      <c r="F291" s="10" t="inlineStr">
        <is>
          <t>义乌购</t>
        </is>
      </c>
      <c r="G291" s="10" t="inlineStr">
        <is>
          <t>赵经理</t>
        </is>
      </c>
      <c r="H291" s="10" t="inlineStr">
        <is>
          <t>000-0000-0287</t>
        </is>
      </c>
      <c r="I291" s="10" t="inlineStr">
        <is>
          <t>DEMO_GYS_0287</t>
        </is>
      </c>
      <c r="J291" s="11" t="n">
        <v>30.7</v>
      </c>
      <c r="K291" s="11" t="n">
        <v>44.4</v>
      </c>
      <c r="L291" s="12" t="n">
        <v>50</v>
      </c>
      <c r="M291" s="10" t="inlineStr">
        <is>
          <t>是</t>
        </is>
      </c>
      <c r="N291" s="10" t="inlineStr">
        <is>
          <t>是</t>
        </is>
      </c>
      <c r="O291" s="10" t="inlineStr">
        <is>
          <t>supplier0287@example.com</t>
        </is>
      </c>
      <c r="P291" s="10" t="inlineStr">
        <is>
          <t>https://example.com/supplier/0287</t>
        </is>
      </c>
      <c r="Q291" s="10">
        <f>IF(R291&gt;=85,"A",IF(R291&gt;=70,"B","C"))</f>
        <v/>
      </c>
      <c r="R291" s="13">
        <f>MIN(100,50+IF(M291="是",10,0)+IF(N291="是",10,0)+IF(L291&lt;=100,10,IF(L291&lt;=300,5,0))+IF(J291&lt;=20,10,IF(J291&lt;=50,5,0))+IF(K291-J291&lt;=20,5,0)+IF(F291="企业官网",5,0))</f>
        <v/>
      </c>
      <c r="S291" s="10">
        <f>IF(Q291="A","价格与起订量有优势，建议优先询盘",IF(Q291="B","条件较均衡，可作为备选","起订量或价格需要进一步确认"))</f>
        <v/>
      </c>
      <c r="T291" s="10" t="inlineStr">
        <is>
          <t>未联系</t>
        </is>
      </c>
      <c r="U291" s="10" t="inlineStr">
        <is>
          <t>虚构演示数据</t>
        </is>
      </c>
    </row>
    <row r="292" ht="21" customHeight="1">
      <c r="A292" s="10" t="inlineStr">
        <is>
          <t>GYS-0288</t>
        </is>
      </c>
      <c r="B292" s="10" t="inlineStr">
        <is>
          <t>宁波运动户外供应链0288有限公司（演示）</t>
        </is>
      </c>
      <c r="C292" s="10" t="inlineStr">
        <is>
          <t>运动户外</t>
        </is>
      </c>
      <c r="D292" s="10" t="inlineStr">
        <is>
          <t>弹力训练带</t>
        </is>
      </c>
      <c r="E292" s="10" t="inlineStr">
        <is>
          <t>浙江宁波</t>
        </is>
      </c>
      <c r="F292" s="10" t="inlineStr">
        <is>
          <t>慧聪网</t>
        </is>
      </c>
      <c r="G292" s="10" t="inlineStr">
        <is>
          <t>周经理</t>
        </is>
      </c>
      <c r="H292" s="10" t="inlineStr">
        <is>
          <t>000-0000-0288</t>
        </is>
      </c>
      <c r="I292" s="10" t="inlineStr">
        <is>
          <t>DEMO_GYS_0288</t>
        </is>
      </c>
      <c r="J292" s="11" t="n">
        <v>32.4</v>
      </c>
      <c r="K292" s="11" t="n">
        <v>47.2</v>
      </c>
      <c r="L292" s="12" t="n">
        <v>20</v>
      </c>
      <c r="M292" s="10" t="inlineStr">
        <is>
          <t>否</t>
        </is>
      </c>
      <c r="N292" s="10" t="inlineStr">
        <is>
          <t>否</t>
        </is>
      </c>
      <c r="O292" s="10" t="inlineStr">
        <is>
          <t>supplier0288@example.com</t>
        </is>
      </c>
      <c r="P292" s="10" t="inlineStr">
        <is>
          <t>https://example.com/supplier/0288</t>
        </is>
      </c>
      <c r="Q292" s="10">
        <f>IF(R292&gt;=85,"A",IF(R292&gt;=70,"B","C"))</f>
        <v/>
      </c>
      <c r="R292" s="13">
        <f>MIN(100,50+IF(M292="是",10,0)+IF(N292="是",10,0)+IF(L292&lt;=100,10,IF(L292&lt;=300,5,0))+IF(J292&lt;=20,10,IF(J292&lt;=50,5,0))+IF(K292-J292&lt;=20,5,0)+IF(F292="企业官网",5,0))</f>
        <v/>
      </c>
      <c r="S292" s="10">
        <f>IF(Q292="A","价格与起订量有优势，建议优先询盘",IF(Q292="B","条件较均衡，可作为备选","起订量或价格需要进一步确认"))</f>
        <v/>
      </c>
      <c r="T292" s="10" t="inlineStr">
        <is>
          <t>未联系</t>
        </is>
      </c>
      <c r="U292" s="10" t="inlineStr">
        <is>
          <t>虚构演示数据</t>
        </is>
      </c>
    </row>
    <row r="293" ht="21" customHeight="1">
      <c r="A293" s="10" t="inlineStr">
        <is>
          <t>GYS-0289</t>
        </is>
      </c>
      <c r="B293" s="10" t="inlineStr">
        <is>
          <t>深圳办公文具供应链0289有限公司（演示）</t>
        </is>
      </c>
      <c r="C293" s="10" t="inlineStr">
        <is>
          <t>办公文具</t>
        </is>
      </c>
      <c r="D293" s="10" t="inlineStr">
        <is>
          <t>桌面收纳架</t>
        </is>
      </c>
      <c r="E293" s="10" t="inlineStr">
        <is>
          <t>广东深圳</t>
        </is>
      </c>
      <c r="F293" s="10" t="inlineStr">
        <is>
          <t>1688</t>
        </is>
      </c>
      <c r="G293" s="10" t="inlineStr">
        <is>
          <t>吴经理</t>
        </is>
      </c>
      <c r="H293" s="10" t="inlineStr">
        <is>
          <t>000-0000-0289</t>
        </is>
      </c>
      <c r="I293" s="10" t="inlineStr">
        <is>
          <t>DEMO_GYS_0289</t>
        </is>
      </c>
      <c r="J293" s="11" t="n">
        <v>34.1</v>
      </c>
      <c r="K293" s="11" t="n">
        <v>50</v>
      </c>
      <c r="L293" s="12" t="n">
        <v>500</v>
      </c>
      <c r="M293" s="10" t="inlineStr">
        <is>
          <t>是</t>
        </is>
      </c>
      <c r="N293" s="10" t="inlineStr">
        <is>
          <t>是</t>
        </is>
      </c>
      <c r="O293" s="10" t="inlineStr">
        <is>
          <t>supplier0289@example.com</t>
        </is>
      </c>
      <c r="P293" s="10" t="inlineStr">
        <is>
          <t>https://example.com/supplier/0289</t>
        </is>
      </c>
      <c r="Q293" s="10">
        <f>IF(R293&gt;=85,"A",IF(R293&gt;=70,"B","C"))</f>
        <v/>
      </c>
      <c r="R293" s="13">
        <f>MIN(100,50+IF(M293="是",10,0)+IF(N293="是",10,0)+IF(L293&lt;=100,10,IF(L293&lt;=300,5,0))+IF(J293&lt;=20,10,IF(J293&lt;=50,5,0))+IF(K293-J293&lt;=20,5,0)+IF(F293="企业官网",5,0))</f>
        <v/>
      </c>
      <c r="S293" s="10">
        <f>IF(Q293="A","价格与起订量有优势，建议优先询盘",IF(Q293="B","条件较均衡，可作为备选","起订量或价格需要进一步确认"))</f>
        <v/>
      </c>
      <c r="T293" s="10" t="inlineStr">
        <is>
          <t>未联系</t>
        </is>
      </c>
      <c r="U293" s="10" t="inlineStr">
        <is>
          <t>虚构演示数据</t>
        </is>
      </c>
    </row>
    <row r="294" ht="21" customHeight="1">
      <c r="A294" s="10" t="inlineStr">
        <is>
          <t>GYS-0290</t>
        </is>
      </c>
      <c r="B294" s="10" t="inlineStr">
        <is>
          <t>佛山汽车用品供应链0290有限公司（演示）</t>
        </is>
      </c>
      <c r="C294" s="10" t="inlineStr">
        <is>
          <t>汽车用品</t>
        </is>
      </c>
      <c r="D294" s="10" t="inlineStr">
        <is>
          <t>车载香薰</t>
        </is>
      </c>
      <c r="E294" s="10" t="inlineStr">
        <is>
          <t>广东佛山</t>
        </is>
      </c>
      <c r="F294" s="10" t="inlineStr">
        <is>
          <t>中国制造网</t>
        </is>
      </c>
      <c r="G294" s="10" t="inlineStr">
        <is>
          <t>陈经理</t>
        </is>
      </c>
      <c r="H294" s="10" t="inlineStr">
        <is>
          <t>000-0000-0290</t>
        </is>
      </c>
      <c r="I294" s="10" t="inlineStr">
        <is>
          <t>DEMO_GYS_0290</t>
        </is>
      </c>
      <c r="J294" s="11" t="n">
        <v>35.8</v>
      </c>
      <c r="K294" s="11" t="n">
        <v>52.8</v>
      </c>
      <c r="L294" s="12" t="n">
        <v>300</v>
      </c>
      <c r="M294" s="10" t="inlineStr">
        <is>
          <t>是</t>
        </is>
      </c>
      <c r="N294" s="10" t="inlineStr">
        <is>
          <t>是</t>
        </is>
      </c>
      <c r="O294" s="10" t="inlineStr">
        <is>
          <t>supplier0290@example.com</t>
        </is>
      </c>
      <c r="P294" s="10" t="inlineStr">
        <is>
          <t>https://example.com/supplier/0290</t>
        </is>
      </c>
      <c r="Q294" s="10">
        <f>IF(R294&gt;=85,"A",IF(R294&gt;=70,"B","C"))</f>
        <v/>
      </c>
      <c r="R294" s="13">
        <f>MIN(100,50+IF(M294="是",10,0)+IF(N294="是",10,0)+IF(L294&lt;=100,10,IF(L294&lt;=300,5,0))+IF(J294&lt;=20,10,IF(J294&lt;=50,5,0))+IF(K294-J294&lt;=20,5,0)+IF(F294="企业官网",5,0))</f>
        <v/>
      </c>
      <c r="S294" s="10">
        <f>IF(Q294="A","价格与起订量有优势，建议优先询盘",IF(Q294="B","条件较均衡，可作为备选","起订量或价格需要进一步确认"))</f>
        <v/>
      </c>
      <c r="T294" s="10" t="inlineStr">
        <is>
          <t>未联系</t>
        </is>
      </c>
      <c r="U294" s="10" t="inlineStr">
        <is>
          <t>虚构演示数据</t>
        </is>
      </c>
    </row>
    <row r="295" ht="21" customHeight="1">
      <c r="A295" s="10" t="inlineStr">
        <is>
          <t>GYS-0291</t>
        </is>
      </c>
      <c r="B295" s="10" t="inlineStr">
        <is>
          <t>苏州美容工具供应链0291有限公司（演示）</t>
        </is>
      </c>
      <c r="C295" s="10" t="inlineStr">
        <is>
          <t>美容工具</t>
        </is>
      </c>
      <c r="D295" s="10" t="inlineStr">
        <is>
          <t>便携化妆镜</t>
        </is>
      </c>
      <c r="E295" s="10" t="inlineStr">
        <is>
          <t>江苏苏州</t>
        </is>
      </c>
      <c r="F295" s="10" t="inlineStr">
        <is>
          <t>企业官网</t>
        </is>
      </c>
      <c r="G295" s="10" t="inlineStr">
        <is>
          <t>林经理</t>
        </is>
      </c>
      <c r="H295" s="10" t="inlineStr">
        <is>
          <t>000-0000-0291</t>
        </is>
      </c>
      <c r="I295" s="10" t="inlineStr">
        <is>
          <t>DEMO_GYS_0291</t>
        </is>
      </c>
      <c r="J295" s="11" t="n">
        <v>37.5</v>
      </c>
      <c r="K295" s="11" t="n">
        <v>55.6</v>
      </c>
      <c r="L295" s="12" t="n">
        <v>200</v>
      </c>
      <c r="M295" s="10" t="inlineStr">
        <is>
          <t>是</t>
        </is>
      </c>
      <c r="N295" s="10" t="inlineStr">
        <is>
          <t>否</t>
        </is>
      </c>
      <c r="O295" s="10" t="inlineStr">
        <is>
          <t>supplier0291@example.com</t>
        </is>
      </c>
      <c r="P295" s="10" t="inlineStr">
        <is>
          <t>https://example.com/supplier/0291</t>
        </is>
      </c>
      <c r="Q295" s="10">
        <f>IF(R295&gt;=85,"A",IF(R295&gt;=70,"B","C"))</f>
        <v/>
      </c>
      <c r="R295" s="13">
        <f>MIN(100,50+IF(M295="是",10,0)+IF(N295="是",10,0)+IF(L295&lt;=100,10,IF(L295&lt;=300,5,0))+IF(J295&lt;=20,10,IF(J295&lt;=50,5,0))+IF(K295-J295&lt;=20,5,0)+IF(F295="企业官网",5,0))</f>
        <v/>
      </c>
      <c r="S295" s="10">
        <f>IF(Q295="A","价格与起订量有优势，建议优先询盘",IF(Q295="B","条件较均衡，可作为备选","起订量或价格需要进一步确认"))</f>
        <v/>
      </c>
      <c r="T295" s="10" t="inlineStr">
        <is>
          <t>未联系</t>
        </is>
      </c>
      <c r="U295" s="10" t="inlineStr">
        <is>
          <t>虚构演示数据</t>
        </is>
      </c>
    </row>
    <row r="296" ht="21" customHeight="1">
      <c r="A296" s="10" t="inlineStr">
        <is>
          <t>GYS-0292</t>
        </is>
      </c>
      <c r="B296" s="10" t="inlineStr">
        <is>
          <t>白沟旅行用品供应链0292有限公司（演示）</t>
        </is>
      </c>
      <c r="C296" s="10" t="inlineStr">
        <is>
          <t>旅行用品</t>
        </is>
      </c>
      <c r="D296" s="10" t="inlineStr">
        <is>
          <t>压缩收纳袋</t>
        </is>
      </c>
      <c r="E296" s="10" t="inlineStr">
        <is>
          <t>河北白沟</t>
        </is>
      </c>
      <c r="F296" s="10" t="inlineStr">
        <is>
          <t>义乌购</t>
        </is>
      </c>
      <c r="G296" s="10" t="inlineStr">
        <is>
          <t>王经理</t>
        </is>
      </c>
      <c r="H296" s="10" t="inlineStr">
        <is>
          <t>000-0000-0292</t>
        </is>
      </c>
      <c r="I296" s="10" t="inlineStr">
        <is>
          <t>DEMO_GYS_0292</t>
        </is>
      </c>
      <c r="J296" s="11" t="n">
        <v>39.2</v>
      </c>
      <c r="K296" s="11" t="n">
        <v>58.4</v>
      </c>
      <c r="L296" s="12" t="n">
        <v>100</v>
      </c>
      <c r="M296" s="10" t="inlineStr">
        <is>
          <t>否</t>
        </is>
      </c>
      <c r="N296" s="10" t="inlineStr">
        <is>
          <t>是</t>
        </is>
      </c>
      <c r="O296" s="10" t="inlineStr">
        <is>
          <t>supplier0292@example.com</t>
        </is>
      </c>
      <c r="P296" s="10" t="inlineStr">
        <is>
          <t>https://example.com/supplier/0292</t>
        </is>
      </c>
      <c r="Q296" s="10">
        <f>IF(R296&gt;=85,"A",IF(R296&gt;=70,"B","C"))</f>
        <v/>
      </c>
      <c r="R296" s="13">
        <f>MIN(100,50+IF(M296="是",10,0)+IF(N296="是",10,0)+IF(L296&lt;=100,10,IF(L296&lt;=300,5,0))+IF(J296&lt;=20,10,IF(J296&lt;=50,5,0))+IF(K296-J296&lt;=20,5,0)+IF(F296="企业官网",5,0))</f>
        <v/>
      </c>
      <c r="S296" s="10">
        <f>IF(Q296="A","价格与起订量有优势，建议优先询盘",IF(Q296="B","条件较均衡，可作为备选","起订量或价格需要进一步确认"))</f>
        <v/>
      </c>
      <c r="T296" s="10" t="inlineStr">
        <is>
          <t>未联系</t>
        </is>
      </c>
      <c r="U296" s="10" t="inlineStr">
        <is>
          <t>虚构演示数据</t>
        </is>
      </c>
    </row>
    <row r="297" ht="21" customHeight="1">
      <c r="A297" s="10" t="inlineStr">
        <is>
          <t>GYS-0293</t>
        </is>
      </c>
      <c r="B297" s="10" t="inlineStr">
        <is>
          <t>义乌清洁工具供应链0293有限公司（演示）</t>
        </is>
      </c>
      <c r="C297" s="10" t="inlineStr">
        <is>
          <t>清洁工具</t>
        </is>
      </c>
      <c r="D297" s="10" t="inlineStr">
        <is>
          <t>免手洗拖把</t>
        </is>
      </c>
      <c r="E297" s="10" t="inlineStr">
        <is>
          <t>浙江义乌</t>
        </is>
      </c>
      <c r="F297" s="10" t="inlineStr">
        <is>
          <t>慧聪网</t>
        </is>
      </c>
      <c r="G297" s="10" t="inlineStr">
        <is>
          <t>李经理</t>
        </is>
      </c>
      <c r="H297" s="10" t="inlineStr">
        <is>
          <t>000-0000-0293</t>
        </is>
      </c>
      <c r="I297" s="10" t="inlineStr">
        <is>
          <t>DEMO_GYS_0293</t>
        </is>
      </c>
      <c r="J297" s="11" t="n">
        <v>40.9</v>
      </c>
      <c r="K297" s="11" t="n">
        <v>61.2</v>
      </c>
      <c r="L297" s="12" t="n">
        <v>50</v>
      </c>
      <c r="M297" s="10" t="inlineStr">
        <is>
          <t>是</t>
        </is>
      </c>
      <c r="N297" s="10" t="inlineStr">
        <is>
          <t>是</t>
        </is>
      </c>
      <c r="O297" s="10" t="inlineStr">
        <is>
          <t>supplier0293@example.com</t>
        </is>
      </c>
      <c r="P297" s="10" t="inlineStr">
        <is>
          <t>https://example.com/supplier/0293</t>
        </is>
      </c>
      <c r="Q297" s="10">
        <f>IF(R297&gt;=85,"A",IF(R297&gt;=70,"B","C"))</f>
        <v/>
      </c>
      <c r="R297" s="13">
        <f>MIN(100,50+IF(M297="是",10,0)+IF(N297="是",10,0)+IF(L297&lt;=100,10,IF(L297&lt;=300,5,0))+IF(J297&lt;=20,10,IF(J297&lt;=50,5,0))+IF(K297-J297&lt;=20,5,0)+IF(F297="企业官网",5,0))</f>
        <v/>
      </c>
      <c r="S297" s="10">
        <f>IF(Q297="A","价格与起订量有优势，建议优先询盘",IF(Q297="B","条件较均衡，可作为备选","起订量或价格需要进一步确认"))</f>
        <v/>
      </c>
      <c r="T297" s="10" t="inlineStr">
        <is>
          <t>未联系</t>
        </is>
      </c>
      <c r="U297" s="10" t="inlineStr">
        <is>
          <t>虚构演示数据</t>
        </is>
      </c>
    </row>
    <row r="298" ht="21" customHeight="1">
      <c r="A298" s="10" t="inlineStr">
        <is>
          <t>GYS-0294</t>
        </is>
      </c>
      <c r="B298" s="10" t="inlineStr">
        <is>
          <t>台州小家电供应链0294有限公司（演示）</t>
        </is>
      </c>
      <c r="C298" s="10" t="inlineStr">
        <is>
          <t>小家电</t>
        </is>
      </c>
      <c r="D298" s="10" t="inlineStr">
        <is>
          <t>迷你加湿器</t>
        </is>
      </c>
      <c r="E298" s="10" t="inlineStr">
        <is>
          <t>浙江台州</t>
        </is>
      </c>
      <c r="F298" s="10" t="inlineStr">
        <is>
          <t>1688</t>
        </is>
      </c>
      <c r="G298" s="10" t="inlineStr">
        <is>
          <t>张经理</t>
        </is>
      </c>
      <c r="H298" s="10" t="inlineStr">
        <is>
          <t>000-0000-0294</t>
        </is>
      </c>
      <c r="I298" s="10" t="inlineStr">
        <is>
          <t>DEMO_GYS_0294</t>
        </is>
      </c>
      <c r="J298" s="11" t="n">
        <v>42.6</v>
      </c>
      <c r="K298" s="11" t="n">
        <v>64</v>
      </c>
      <c r="L298" s="12" t="n">
        <v>20</v>
      </c>
      <c r="M298" s="10" t="inlineStr">
        <is>
          <t>是</t>
        </is>
      </c>
      <c r="N298" s="10" t="inlineStr">
        <is>
          <t>否</t>
        </is>
      </c>
      <c r="O298" s="10" t="inlineStr">
        <is>
          <t>supplier0294@example.com</t>
        </is>
      </c>
      <c r="P298" s="10" t="inlineStr">
        <is>
          <t>https://example.com/supplier/0294</t>
        </is>
      </c>
      <c r="Q298" s="10">
        <f>IF(R298&gt;=85,"A",IF(R298&gt;=70,"B","C"))</f>
        <v/>
      </c>
      <c r="R298" s="13">
        <f>MIN(100,50+IF(M298="是",10,0)+IF(N298="是",10,0)+IF(L298&lt;=100,10,IF(L298&lt;=300,5,0))+IF(J298&lt;=20,10,IF(J298&lt;=50,5,0))+IF(K298-J298&lt;=20,5,0)+IF(F298="企业官网",5,0))</f>
        <v/>
      </c>
      <c r="S298" s="10">
        <f>IF(Q298="A","价格与起订量有优势，建议优先询盘",IF(Q298="B","条件较均衡，可作为备选","起订量或价格需要进一步确认"))</f>
        <v/>
      </c>
      <c r="T298" s="10" t="inlineStr">
        <is>
          <t>未联系</t>
        </is>
      </c>
      <c r="U298" s="10" t="inlineStr">
        <is>
          <t>虚构演示数据</t>
        </is>
      </c>
    </row>
    <row r="299" ht="21" customHeight="1">
      <c r="A299" s="10" t="inlineStr">
        <is>
          <t>GYS-0295</t>
        </is>
      </c>
      <c r="B299" s="10" t="inlineStr">
        <is>
          <t>东莞礼品包装供应链0295有限公司（演示）</t>
        </is>
      </c>
      <c r="C299" s="10" t="inlineStr">
        <is>
          <t>礼品包装</t>
        </is>
      </c>
      <c r="D299" s="10" t="inlineStr">
        <is>
          <t>节日礼盒</t>
        </is>
      </c>
      <c r="E299" s="10" t="inlineStr">
        <is>
          <t>广东东莞</t>
        </is>
      </c>
      <c r="F299" s="10" t="inlineStr">
        <is>
          <t>中国制造网</t>
        </is>
      </c>
      <c r="G299" s="10" t="inlineStr">
        <is>
          <t>刘经理</t>
        </is>
      </c>
      <c r="H299" s="10" t="inlineStr">
        <is>
          <t>000-0000-0295</t>
        </is>
      </c>
      <c r="I299" s="10" t="inlineStr">
        <is>
          <t>DEMO_GYS_0295</t>
        </is>
      </c>
      <c r="J299" s="11" t="n">
        <v>44.3</v>
      </c>
      <c r="K299" s="11" t="n">
        <v>48.8</v>
      </c>
      <c r="L299" s="12" t="n">
        <v>500</v>
      </c>
      <c r="M299" s="10" t="inlineStr">
        <is>
          <t>是</t>
        </is>
      </c>
      <c r="N299" s="10" t="inlineStr">
        <is>
          <t>是</t>
        </is>
      </c>
      <c r="O299" s="10" t="inlineStr">
        <is>
          <t>supplier0295@example.com</t>
        </is>
      </c>
      <c r="P299" s="10" t="inlineStr">
        <is>
          <t>https://example.com/supplier/0295</t>
        </is>
      </c>
      <c r="Q299" s="10">
        <f>IF(R299&gt;=85,"A",IF(R299&gt;=70,"B","C"))</f>
        <v/>
      </c>
      <c r="R299" s="13">
        <f>MIN(100,50+IF(M299="是",10,0)+IF(N299="是",10,0)+IF(L299&lt;=100,10,IF(L299&lt;=300,5,0))+IF(J299&lt;=20,10,IF(J299&lt;=50,5,0))+IF(K299-J299&lt;=20,5,0)+IF(F299="企业官网",5,0))</f>
        <v/>
      </c>
      <c r="S299" s="10">
        <f>IF(Q299="A","价格与起订量有优势，建议优先询盘",IF(Q299="B","条件较均衡，可作为备选","起订量或价格需要进一步确认"))</f>
        <v/>
      </c>
      <c r="T299" s="10" t="inlineStr">
        <is>
          <t>未联系</t>
        </is>
      </c>
      <c r="U299" s="10" t="inlineStr">
        <is>
          <t>虚构演示数据</t>
        </is>
      </c>
    </row>
    <row r="300" ht="21" customHeight="1">
      <c r="A300" s="10" t="inlineStr">
        <is>
          <t>GYS-0296</t>
        </is>
      </c>
      <c r="B300" s="10" t="inlineStr">
        <is>
          <t>厦门五金工具供应链0296有限公司（演示）</t>
        </is>
      </c>
      <c r="C300" s="10" t="inlineStr">
        <is>
          <t>五金工具</t>
        </is>
      </c>
      <c r="D300" s="10" t="inlineStr">
        <is>
          <t>多功能螺丝刀</t>
        </is>
      </c>
      <c r="E300" s="10" t="inlineStr">
        <is>
          <t>福建厦门</t>
        </is>
      </c>
      <c r="F300" s="10" t="inlineStr">
        <is>
          <t>企业官网</t>
        </is>
      </c>
      <c r="G300" s="10" t="inlineStr">
        <is>
          <t>黄经理</t>
        </is>
      </c>
      <c r="H300" s="10" t="inlineStr">
        <is>
          <t>000-0000-0296</t>
        </is>
      </c>
      <c r="I300" s="10" t="inlineStr">
        <is>
          <t>DEMO_GYS_0296</t>
        </is>
      </c>
      <c r="J300" s="11" t="n">
        <v>46</v>
      </c>
      <c r="K300" s="11" t="n">
        <v>51.6</v>
      </c>
      <c r="L300" s="12" t="n">
        <v>300</v>
      </c>
      <c r="M300" s="10" t="inlineStr">
        <is>
          <t>否</t>
        </is>
      </c>
      <c r="N300" s="10" t="inlineStr">
        <is>
          <t>是</t>
        </is>
      </c>
      <c r="O300" s="10" t="inlineStr">
        <is>
          <t>supplier0296@example.com</t>
        </is>
      </c>
      <c r="P300" s="10" t="inlineStr">
        <is>
          <t>https://example.com/supplier/0296</t>
        </is>
      </c>
      <c r="Q300" s="10">
        <f>IF(R300&gt;=85,"A",IF(R300&gt;=70,"B","C"))</f>
        <v/>
      </c>
      <c r="R300" s="13">
        <f>MIN(100,50+IF(M300="是",10,0)+IF(N300="是",10,0)+IF(L300&lt;=100,10,IF(L300&lt;=300,5,0))+IF(J300&lt;=20,10,IF(J300&lt;=50,5,0))+IF(K300-J300&lt;=20,5,0)+IF(F300="企业官网",5,0))</f>
        <v/>
      </c>
      <c r="S300" s="10">
        <f>IF(Q300="A","价格与起订量有优势，建议优先询盘",IF(Q300="B","条件较均衡，可作为备选","起订量或价格需要进一步确认"))</f>
        <v/>
      </c>
      <c r="T300" s="10" t="inlineStr">
        <is>
          <t>未联系</t>
        </is>
      </c>
      <c r="U300" s="10" t="inlineStr">
        <is>
          <t>虚构演示数据</t>
        </is>
      </c>
    </row>
    <row r="301" ht="21" customHeight="1">
      <c r="A301" s="10" t="inlineStr">
        <is>
          <t>GYS-0297</t>
        </is>
      </c>
      <c r="B301" s="10" t="inlineStr">
        <is>
          <t>临沂鞋靴配件供应链0297有限公司（演示）</t>
        </is>
      </c>
      <c r="C301" s="10" t="inlineStr">
        <is>
          <t>鞋靴配件</t>
        </is>
      </c>
      <c r="D301" s="10" t="inlineStr">
        <is>
          <t>防磨脚贴</t>
        </is>
      </c>
      <c r="E301" s="10" t="inlineStr">
        <is>
          <t>山东临沂</t>
        </is>
      </c>
      <c r="F301" s="10" t="inlineStr">
        <is>
          <t>义乌购</t>
        </is>
      </c>
      <c r="G301" s="10" t="inlineStr">
        <is>
          <t>赵经理</t>
        </is>
      </c>
      <c r="H301" s="10" t="inlineStr">
        <is>
          <t>000-0000-0297</t>
        </is>
      </c>
      <c r="I301" s="10" t="inlineStr">
        <is>
          <t>DEMO_GYS_0297</t>
        </is>
      </c>
      <c r="J301" s="11" t="n">
        <v>47.7</v>
      </c>
      <c r="K301" s="11" t="n">
        <v>54.4</v>
      </c>
      <c r="L301" s="12" t="n">
        <v>200</v>
      </c>
      <c r="M301" s="10" t="inlineStr">
        <is>
          <t>是</t>
        </is>
      </c>
      <c r="N301" s="10" t="inlineStr">
        <is>
          <t>否</t>
        </is>
      </c>
      <c r="O301" s="10" t="inlineStr">
        <is>
          <t>supplier0297@example.com</t>
        </is>
      </c>
      <c r="P301" s="10" t="inlineStr">
        <is>
          <t>https://example.com/supplier/0297</t>
        </is>
      </c>
      <c r="Q301" s="10">
        <f>IF(R301&gt;=85,"A",IF(R301&gt;=70,"B","C"))</f>
        <v/>
      </c>
      <c r="R301" s="13">
        <f>MIN(100,50+IF(M301="是",10,0)+IF(N301="是",10,0)+IF(L301&lt;=100,10,IF(L301&lt;=300,5,0))+IF(J301&lt;=20,10,IF(J301&lt;=50,5,0))+IF(K301-J301&lt;=20,5,0)+IF(F301="企业官网",5,0))</f>
        <v/>
      </c>
      <c r="S301" s="10">
        <f>IF(Q301="A","价格与起订量有优势，建议优先询盘",IF(Q301="B","条件较均衡，可作为备选","起订量或价格需要进一步确认"))</f>
        <v/>
      </c>
      <c r="T301" s="10" t="inlineStr">
        <is>
          <t>未联系</t>
        </is>
      </c>
      <c r="U301" s="10" t="inlineStr">
        <is>
          <t>虚构演示数据</t>
        </is>
      </c>
    </row>
    <row r="302" ht="21" customHeight="1">
      <c r="A302" s="10" t="inlineStr">
        <is>
          <t>GYS-0298</t>
        </is>
      </c>
      <c r="B302" s="10" t="inlineStr">
        <is>
          <t>南昌食品包装供应链0298有限公司（演示）</t>
        </is>
      </c>
      <c r="C302" s="10" t="inlineStr">
        <is>
          <t>食品包装</t>
        </is>
      </c>
      <c r="D302" s="10" t="inlineStr">
        <is>
          <t>密封包装袋</t>
        </is>
      </c>
      <c r="E302" s="10" t="inlineStr">
        <is>
          <t>江西南昌</t>
        </is>
      </c>
      <c r="F302" s="10" t="inlineStr">
        <is>
          <t>慧聪网</t>
        </is>
      </c>
      <c r="G302" s="10" t="inlineStr">
        <is>
          <t>周经理</t>
        </is>
      </c>
      <c r="H302" s="10" t="inlineStr">
        <is>
          <t>000-0000-0298</t>
        </is>
      </c>
      <c r="I302" s="10" t="inlineStr">
        <is>
          <t>DEMO_GYS_0298</t>
        </is>
      </c>
      <c r="J302" s="11" t="n">
        <v>3.4</v>
      </c>
      <c r="K302" s="11" t="n">
        <v>11.2</v>
      </c>
      <c r="L302" s="12" t="n">
        <v>100</v>
      </c>
      <c r="M302" s="10" t="inlineStr">
        <is>
          <t>是</t>
        </is>
      </c>
      <c r="N302" s="10" t="inlineStr">
        <is>
          <t>是</t>
        </is>
      </c>
      <c r="O302" s="10" t="inlineStr">
        <is>
          <t>supplier0298@example.com</t>
        </is>
      </c>
      <c r="P302" s="10" t="inlineStr">
        <is>
          <t>https://example.com/supplier/0298</t>
        </is>
      </c>
      <c r="Q302" s="10">
        <f>IF(R302&gt;=85,"A",IF(R302&gt;=70,"B","C"))</f>
        <v/>
      </c>
      <c r="R302" s="13">
        <f>MIN(100,50+IF(M302="是",10,0)+IF(N302="是",10,0)+IF(L302&lt;=100,10,IF(L302&lt;=300,5,0))+IF(J302&lt;=20,10,IF(J302&lt;=50,5,0))+IF(K302-J302&lt;=20,5,0)+IF(F302="企业官网",5,0))</f>
        <v/>
      </c>
      <c r="S302" s="10">
        <f>IF(Q302="A","价格与起订量有优势，建议优先询盘",IF(Q302="B","条件较均衡，可作为备选","起订量或价格需要进一步确认"))</f>
        <v/>
      </c>
      <c r="T302" s="10" t="inlineStr">
        <is>
          <t>未联系</t>
        </is>
      </c>
      <c r="U302" s="10" t="inlineStr">
        <is>
          <t>虚构演示数据</t>
        </is>
      </c>
    </row>
    <row r="303" ht="21" customHeight="1">
      <c r="A303" s="10" t="inlineStr">
        <is>
          <t>GYS-0299</t>
        </is>
      </c>
      <c r="B303" s="10" t="inlineStr">
        <is>
          <t>温州户外照明供应链0299有限公司（演示）</t>
        </is>
      </c>
      <c r="C303" s="10" t="inlineStr">
        <is>
          <t>户外照明</t>
        </is>
      </c>
      <c r="D303" s="10" t="inlineStr">
        <is>
          <t>便携露营灯</t>
        </is>
      </c>
      <c r="E303" s="10" t="inlineStr">
        <is>
          <t>浙江温州</t>
        </is>
      </c>
      <c r="F303" s="10" t="inlineStr">
        <is>
          <t>1688</t>
        </is>
      </c>
      <c r="G303" s="10" t="inlineStr">
        <is>
          <t>吴经理</t>
        </is>
      </c>
      <c r="H303" s="10" t="inlineStr">
        <is>
          <t>000-0000-0299</t>
        </is>
      </c>
      <c r="I303" s="10" t="inlineStr">
        <is>
          <t>DEMO_GYS_0299</t>
        </is>
      </c>
      <c r="J303" s="11" t="n">
        <v>5.1</v>
      </c>
      <c r="K303" s="11" t="n">
        <v>14</v>
      </c>
      <c r="L303" s="12" t="n">
        <v>50</v>
      </c>
      <c r="M303" s="10" t="inlineStr">
        <is>
          <t>是</t>
        </is>
      </c>
      <c r="N303" s="10" t="inlineStr">
        <is>
          <t>是</t>
        </is>
      </c>
      <c r="O303" s="10" t="inlineStr">
        <is>
          <t>supplier0299@example.com</t>
        </is>
      </c>
      <c r="P303" s="10" t="inlineStr">
        <is>
          <t>https://example.com/supplier/0299</t>
        </is>
      </c>
      <c r="Q303" s="10">
        <f>IF(R303&gt;=85,"A",IF(R303&gt;=70,"B","C"))</f>
        <v/>
      </c>
      <c r="R303" s="13">
        <f>MIN(100,50+IF(M303="是",10,0)+IF(N303="是",10,0)+IF(L303&lt;=100,10,IF(L303&lt;=300,5,0))+IF(J303&lt;=20,10,IF(J303&lt;=50,5,0))+IF(K303-J303&lt;=20,5,0)+IF(F303="企业官网",5,0))</f>
        <v/>
      </c>
      <c r="S303" s="10">
        <f>IF(Q303="A","价格与起订量有优势，建议优先询盘",IF(Q303="B","条件较均衡，可作为备选","起订量或价格需要进一步确认"))</f>
        <v/>
      </c>
      <c r="T303" s="10" t="inlineStr">
        <is>
          <t>未联系</t>
        </is>
      </c>
      <c r="U303" s="10" t="inlineStr">
        <is>
          <t>虚构演示数据</t>
        </is>
      </c>
    </row>
    <row r="304" ht="21" customHeight="1">
      <c r="A304" s="10" t="inlineStr">
        <is>
          <t>GYS-0300</t>
        </is>
      </c>
      <c r="B304" s="10" t="inlineStr">
        <is>
          <t>广州健康用品供应链0300有限公司（演示）</t>
        </is>
      </c>
      <c r="C304" s="10" t="inlineStr">
        <is>
          <t>健康用品</t>
        </is>
      </c>
      <c r="D304" s="10" t="inlineStr">
        <is>
          <t>热敷眼罩</t>
        </is>
      </c>
      <c r="E304" s="10" t="inlineStr">
        <is>
          <t>广东广州</t>
        </is>
      </c>
      <c r="F304" s="10" t="inlineStr">
        <is>
          <t>中国制造网</t>
        </is>
      </c>
      <c r="G304" s="10" t="inlineStr">
        <is>
          <t>陈经理</t>
        </is>
      </c>
      <c r="H304" s="10" t="inlineStr">
        <is>
          <t>000-0000-0300</t>
        </is>
      </c>
      <c r="I304" s="10" t="inlineStr">
        <is>
          <t>DEMO_GYS_0300</t>
        </is>
      </c>
      <c r="J304" s="11" t="n">
        <v>6.8</v>
      </c>
      <c r="K304" s="11" t="n">
        <v>16.8</v>
      </c>
      <c r="L304" s="12" t="n">
        <v>20</v>
      </c>
      <c r="M304" s="10" t="inlineStr">
        <is>
          <t>否</t>
        </is>
      </c>
      <c r="N304" s="10" t="inlineStr">
        <is>
          <t>否</t>
        </is>
      </c>
      <c r="O304" s="10" t="inlineStr">
        <is>
          <t>supplier0300@example.com</t>
        </is>
      </c>
      <c r="P304" s="10" t="inlineStr">
        <is>
          <t>https://example.com/supplier/0300</t>
        </is>
      </c>
      <c r="Q304" s="10">
        <f>IF(R304&gt;=85,"A",IF(R304&gt;=70,"B","C"))</f>
        <v/>
      </c>
      <c r="R304" s="13">
        <f>MIN(100,50+IF(M304="是",10,0)+IF(N304="是",10,0)+IF(L304&lt;=100,10,IF(L304&lt;=300,5,0))+IF(J304&lt;=20,10,IF(J304&lt;=50,5,0))+IF(K304-J304&lt;=20,5,0)+IF(F304="企业官网",5,0))</f>
        <v/>
      </c>
      <c r="S304" s="10">
        <f>IF(Q304="A","价格与起订量有优势，建议优先询盘",IF(Q304="B","条件较均衡，可作为备选","起订量或价格需要进一步确认"))</f>
        <v/>
      </c>
      <c r="T304" s="10" t="inlineStr">
        <is>
          <t>未联系</t>
        </is>
      </c>
      <c r="U304" s="10" t="inlineStr">
        <is>
          <t>虚构演示数据</t>
        </is>
      </c>
    </row>
    <row r="305" ht="21" customHeight="1">
      <c r="A305" s="10" t="inlineStr">
        <is>
          <t>GYS-0301</t>
        </is>
      </c>
      <c r="B305" s="10" t="inlineStr">
        <is>
          <t>泉州服饰内衣供应链0301有限公司（演示）</t>
        </is>
      </c>
      <c r="C305" s="10" t="inlineStr">
        <is>
          <t>服饰内衣</t>
        </is>
      </c>
      <c r="D305" s="10" t="inlineStr">
        <is>
          <t>防滑袜</t>
        </is>
      </c>
      <c r="E305" s="10" t="inlineStr">
        <is>
          <t>福建泉州</t>
        </is>
      </c>
      <c r="F305" s="10" t="inlineStr">
        <is>
          <t>企业官网</t>
        </is>
      </c>
      <c r="G305" s="10" t="inlineStr">
        <is>
          <t>林经理</t>
        </is>
      </c>
      <c r="H305" s="10" t="inlineStr">
        <is>
          <t>000-0000-0301</t>
        </is>
      </c>
      <c r="I305" s="10" t="inlineStr">
        <is>
          <t>DEMO_GYS_0301</t>
        </is>
      </c>
      <c r="J305" s="11" t="n">
        <v>8.5</v>
      </c>
      <c r="K305" s="11" t="n">
        <v>19.6</v>
      </c>
      <c r="L305" s="12" t="n">
        <v>500</v>
      </c>
      <c r="M305" s="10" t="inlineStr">
        <is>
          <t>是</t>
        </is>
      </c>
      <c r="N305" s="10" t="inlineStr">
        <is>
          <t>是</t>
        </is>
      </c>
      <c r="O305" s="10" t="inlineStr">
        <is>
          <t>supplier0301@example.com</t>
        </is>
      </c>
      <c r="P305" s="10" t="inlineStr">
        <is>
          <t>https://example.com/supplier/0301</t>
        </is>
      </c>
      <c r="Q305" s="10">
        <f>IF(R305&gt;=85,"A",IF(R305&gt;=70,"B","C"))</f>
        <v/>
      </c>
      <c r="R305" s="13">
        <f>MIN(100,50+IF(M305="是",10,0)+IF(N305="是",10,0)+IF(L305&lt;=100,10,IF(L305&lt;=300,5,0))+IF(J305&lt;=20,10,IF(J305&lt;=50,5,0))+IF(K305-J305&lt;=20,5,0)+IF(F305="企业官网",5,0))</f>
        <v/>
      </c>
      <c r="S305" s="10">
        <f>IF(Q305="A","价格与起订量有优势，建议优先询盘",IF(Q305="B","条件较均衡，可作为备选","起订量或价格需要进一步确认"))</f>
        <v/>
      </c>
      <c r="T305" s="10" t="inlineStr">
        <is>
          <t>未联系</t>
        </is>
      </c>
      <c r="U305" s="10" t="inlineStr">
        <is>
          <t>虚构演示数据</t>
        </is>
      </c>
    </row>
    <row r="306" ht="21" customHeight="1">
      <c r="A306" s="10" t="inlineStr">
        <is>
          <t>GYS-0302</t>
        </is>
      </c>
      <c r="B306" s="10" t="inlineStr">
        <is>
          <t>南通家居日用供应链0302有限公司（演示）</t>
        </is>
      </c>
      <c r="C306" s="10" t="inlineStr">
        <is>
          <t>家居日用</t>
        </is>
      </c>
      <c r="D306" s="10" t="inlineStr">
        <is>
          <t>折叠收纳箱</t>
        </is>
      </c>
      <c r="E306" s="10" t="inlineStr">
        <is>
          <t>江苏南通</t>
        </is>
      </c>
      <c r="F306" s="10" t="inlineStr">
        <is>
          <t>义乌购</t>
        </is>
      </c>
      <c r="G306" s="10" t="inlineStr">
        <is>
          <t>王经理</t>
        </is>
      </c>
      <c r="H306" s="10" t="inlineStr">
        <is>
          <t>000-0000-0302</t>
        </is>
      </c>
      <c r="I306" s="10" t="inlineStr">
        <is>
          <t>DEMO_GYS_0302</t>
        </is>
      </c>
      <c r="J306" s="11" t="n">
        <v>10.2</v>
      </c>
      <c r="K306" s="11" t="n">
        <v>22.4</v>
      </c>
      <c r="L306" s="12" t="n">
        <v>300</v>
      </c>
      <c r="M306" s="10" t="inlineStr">
        <is>
          <t>是</t>
        </is>
      </c>
      <c r="N306" s="10" t="inlineStr">
        <is>
          <t>是</t>
        </is>
      </c>
      <c r="O306" s="10" t="inlineStr">
        <is>
          <t>supplier0302@example.com</t>
        </is>
      </c>
      <c r="P306" s="10" t="inlineStr">
        <is>
          <t>https://example.com/supplier/0302</t>
        </is>
      </c>
      <c r="Q306" s="10">
        <f>IF(R306&gt;=85,"A",IF(R306&gt;=70,"B","C"))</f>
        <v/>
      </c>
      <c r="R306" s="13">
        <f>MIN(100,50+IF(M306="是",10,0)+IF(N306="是",10,0)+IF(L306&lt;=100,10,IF(L306&lt;=300,5,0))+IF(J306&lt;=20,10,IF(J306&lt;=50,5,0))+IF(K306-J306&lt;=20,5,0)+IF(F306="企业官网",5,0))</f>
        <v/>
      </c>
      <c r="S306" s="10">
        <f>IF(Q306="A","价格与起订量有优势，建议优先询盘",IF(Q306="B","条件较均衡，可作为备选","起订量或价格需要进一步确认"))</f>
        <v/>
      </c>
      <c r="T306" s="10" t="inlineStr">
        <is>
          <t>未联系</t>
        </is>
      </c>
      <c r="U306" s="10" t="inlineStr">
        <is>
          <t>虚构演示数据</t>
        </is>
      </c>
    </row>
    <row r="307" ht="21" customHeight="1">
      <c r="A307" s="10" t="inlineStr">
        <is>
          <t>GYS-0303</t>
        </is>
      </c>
      <c r="B307" s="10" t="inlineStr">
        <is>
          <t>郑州个护清洁供应链0303有限公司（演示）</t>
        </is>
      </c>
      <c r="C307" s="10" t="inlineStr">
        <is>
          <t>个护清洁</t>
        </is>
      </c>
      <c r="D307" s="10" t="inlineStr">
        <is>
          <t>便携洗脸巾</t>
        </is>
      </c>
      <c r="E307" s="10" t="inlineStr">
        <is>
          <t>河南郑州</t>
        </is>
      </c>
      <c r="F307" s="10" t="inlineStr">
        <is>
          <t>慧聪网</t>
        </is>
      </c>
      <c r="G307" s="10" t="inlineStr">
        <is>
          <t>李经理</t>
        </is>
      </c>
      <c r="H307" s="10" t="inlineStr">
        <is>
          <t>000-0000-0303</t>
        </is>
      </c>
      <c r="I307" s="10" t="inlineStr">
        <is>
          <t>DEMO_GYS_0303</t>
        </is>
      </c>
      <c r="J307" s="11" t="n">
        <v>11.9</v>
      </c>
      <c r="K307" s="11" t="n">
        <v>25.2</v>
      </c>
      <c r="L307" s="12" t="n">
        <v>200</v>
      </c>
      <c r="M307" s="10" t="inlineStr">
        <is>
          <t>是</t>
        </is>
      </c>
      <c r="N307" s="10" t="inlineStr">
        <is>
          <t>否</t>
        </is>
      </c>
      <c r="O307" s="10" t="inlineStr">
        <is>
          <t>supplier0303@example.com</t>
        </is>
      </c>
      <c r="P307" s="10" t="inlineStr">
        <is>
          <t>https://example.com/supplier/0303</t>
        </is>
      </c>
      <c r="Q307" s="10">
        <f>IF(R307&gt;=85,"A",IF(R307&gt;=70,"B","C"))</f>
        <v/>
      </c>
      <c r="R307" s="13">
        <f>MIN(100,50+IF(M307="是",10,0)+IF(N307="是",10,0)+IF(L307&lt;=100,10,IF(L307&lt;=300,5,0))+IF(J307&lt;=20,10,IF(J307&lt;=50,5,0))+IF(K307-J307&lt;=20,5,0)+IF(F307="企业官网",5,0))</f>
        <v/>
      </c>
      <c r="S307" s="10">
        <f>IF(Q307="A","价格与起订量有优势，建议优先询盘",IF(Q307="B","条件较均衡，可作为备选","起订量或价格需要进一步确认"))</f>
        <v/>
      </c>
      <c r="T307" s="10" t="inlineStr">
        <is>
          <t>未联系</t>
        </is>
      </c>
      <c r="U307" s="10" t="inlineStr">
        <is>
          <t>虚构演示数据</t>
        </is>
      </c>
    </row>
    <row r="308" ht="21" customHeight="1">
      <c r="A308" s="10" t="inlineStr">
        <is>
          <t>GYS-0304</t>
        </is>
      </c>
      <c r="B308" s="10" t="inlineStr">
        <is>
          <t>宁波厨房用品供应链0304有限公司（演示）</t>
        </is>
      </c>
      <c r="C308" s="10" t="inlineStr">
        <is>
          <t>厨房用品</t>
        </is>
      </c>
      <c r="D308" s="10" t="inlineStr">
        <is>
          <t>硅胶保鲜盒</t>
        </is>
      </c>
      <c r="E308" s="10" t="inlineStr">
        <is>
          <t>浙江宁波</t>
        </is>
      </c>
      <c r="F308" s="10" t="inlineStr">
        <is>
          <t>1688</t>
        </is>
      </c>
      <c r="G308" s="10" t="inlineStr">
        <is>
          <t>张经理</t>
        </is>
      </c>
      <c r="H308" s="10" t="inlineStr">
        <is>
          <t>000-0000-0304</t>
        </is>
      </c>
      <c r="I308" s="10" t="inlineStr">
        <is>
          <t>DEMO_GYS_0304</t>
        </is>
      </c>
      <c r="J308" s="11" t="n">
        <v>13.6</v>
      </c>
      <c r="K308" s="11" t="n">
        <v>28</v>
      </c>
      <c r="L308" s="12" t="n">
        <v>100</v>
      </c>
      <c r="M308" s="10" t="inlineStr">
        <is>
          <t>否</t>
        </is>
      </c>
      <c r="N308" s="10" t="inlineStr">
        <is>
          <t>是</t>
        </is>
      </c>
      <c r="O308" s="10" t="inlineStr">
        <is>
          <t>supplier0304@example.com</t>
        </is>
      </c>
      <c r="P308" s="10" t="inlineStr">
        <is>
          <t>https://example.com/supplier/0304</t>
        </is>
      </c>
      <c r="Q308" s="10">
        <f>IF(R308&gt;=85,"A",IF(R308&gt;=70,"B","C"))</f>
        <v/>
      </c>
      <c r="R308" s="13">
        <f>MIN(100,50+IF(M308="是",10,0)+IF(N308="是",10,0)+IF(L308&lt;=100,10,IF(L308&lt;=300,5,0))+IF(J308&lt;=20,10,IF(J308&lt;=50,5,0))+IF(K308-J308&lt;=20,5,0)+IF(F308="企业官网",5,0))</f>
        <v/>
      </c>
      <c r="S308" s="10">
        <f>IF(Q308="A","价格与起订量有优势，建议优先询盘",IF(Q308="B","条件较均衡，可作为备选","起订量或价格需要进一步确认"))</f>
        <v/>
      </c>
      <c r="T308" s="10" t="inlineStr">
        <is>
          <t>未联系</t>
        </is>
      </c>
      <c r="U308" s="10" t="inlineStr">
        <is>
          <t>虚构演示数据</t>
        </is>
      </c>
    </row>
    <row r="309" ht="21" customHeight="1">
      <c r="A309" s="10" t="inlineStr">
        <is>
          <t>GYS-0305</t>
        </is>
      </c>
      <c r="B309" s="10" t="inlineStr">
        <is>
          <t>深圳数码配件供应链0305有限公司（演示）</t>
        </is>
      </c>
      <c r="C309" s="10" t="inlineStr">
        <is>
          <t>数码配件</t>
        </is>
      </c>
      <c r="D309" s="10" t="inlineStr">
        <is>
          <t>磁吸手机支架</t>
        </is>
      </c>
      <c r="E309" s="10" t="inlineStr">
        <is>
          <t>广东深圳</t>
        </is>
      </c>
      <c r="F309" s="10" t="inlineStr">
        <is>
          <t>中国制造网</t>
        </is>
      </c>
      <c r="G309" s="10" t="inlineStr">
        <is>
          <t>刘经理</t>
        </is>
      </c>
      <c r="H309" s="10" t="inlineStr">
        <is>
          <t>000-0000-0305</t>
        </is>
      </c>
      <c r="I309" s="10" t="inlineStr">
        <is>
          <t>DEMO_GYS_0305</t>
        </is>
      </c>
      <c r="J309" s="11" t="n">
        <v>15.3</v>
      </c>
      <c r="K309" s="11" t="n">
        <v>30.8</v>
      </c>
      <c r="L309" s="12" t="n">
        <v>50</v>
      </c>
      <c r="M309" s="10" t="inlineStr">
        <is>
          <t>是</t>
        </is>
      </c>
      <c r="N309" s="10" t="inlineStr">
        <is>
          <t>是</t>
        </is>
      </c>
      <c r="O309" s="10" t="inlineStr">
        <is>
          <t>supplier0305@example.com</t>
        </is>
      </c>
      <c r="P309" s="10" t="inlineStr">
        <is>
          <t>https://example.com/supplier/0305</t>
        </is>
      </c>
      <c r="Q309" s="10">
        <f>IF(R309&gt;=85,"A",IF(R309&gt;=70,"B","C"))</f>
        <v/>
      </c>
      <c r="R309" s="13">
        <f>MIN(100,50+IF(M309="是",10,0)+IF(N309="是",10,0)+IF(L309&lt;=100,10,IF(L309&lt;=300,5,0))+IF(J309&lt;=20,10,IF(J309&lt;=50,5,0))+IF(K309-J309&lt;=20,5,0)+IF(F309="企业官网",5,0))</f>
        <v/>
      </c>
      <c r="S309" s="10">
        <f>IF(Q309="A","价格与起订量有优势，建议优先询盘",IF(Q309="B","条件较均衡，可作为备选","起订量或价格需要进一步确认"))</f>
        <v/>
      </c>
      <c r="T309" s="10" t="inlineStr">
        <is>
          <t>未联系</t>
        </is>
      </c>
      <c r="U309" s="10" t="inlineStr">
        <is>
          <t>虚构演示数据</t>
        </is>
      </c>
    </row>
    <row r="310" ht="21" customHeight="1">
      <c r="A310" s="10" t="inlineStr">
        <is>
          <t>GYS-0306</t>
        </is>
      </c>
      <c r="B310" s="10" t="inlineStr">
        <is>
          <t>佛山宠物用品供应链0306有限公司（演示）</t>
        </is>
      </c>
      <c r="C310" s="10" t="inlineStr">
        <is>
          <t>宠物用品</t>
        </is>
      </c>
      <c r="D310" s="10" t="inlineStr">
        <is>
          <t>宠物清洁手套</t>
        </is>
      </c>
      <c r="E310" s="10" t="inlineStr">
        <is>
          <t>广东佛山</t>
        </is>
      </c>
      <c r="F310" s="10" t="inlineStr">
        <is>
          <t>企业官网</t>
        </is>
      </c>
      <c r="G310" s="10" t="inlineStr">
        <is>
          <t>黄经理</t>
        </is>
      </c>
      <c r="H310" s="10" t="inlineStr">
        <is>
          <t>000-0000-0306</t>
        </is>
      </c>
      <c r="I310" s="10" t="inlineStr">
        <is>
          <t>DEMO_GYS_0306</t>
        </is>
      </c>
      <c r="J310" s="11" t="n">
        <v>17</v>
      </c>
      <c r="K310" s="11" t="n">
        <v>33.6</v>
      </c>
      <c r="L310" s="12" t="n">
        <v>20</v>
      </c>
      <c r="M310" s="10" t="inlineStr">
        <is>
          <t>是</t>
        </is>
      </c>
      <c r="N310" s="10" t="inlineStr">
        <is>
          <t>否</t>
        </is>
      </c>
      <c r="O310" s="10" t="inlineStr">
        <is>
          <t>supplier0306@example.com</t>
        </is>
      </c>
      <c r="P310" s="10" t="inlineStr">
        <is>
          <t>https://example.com/supplier/0306</t>
        </is>
      </c>
      <c r="Q310" s="10">
        <f>IF(R310&gt;=85,"A",IF(R310&gt;=70,"B","C"))</f>
        <v/>
      </c>
      <c r="R310" s="13">
        <f>MIN(100,50+IF(M310="是",10,0)+IF(N310="是",10,0)+IF(L310&lt;=100,10,IF(L310&lt;=300,5,0))+IF(J310&lt;=20,10,IF(J310&lt;=50,5,0))+IF(K310-J310&lt;=20,5,0)+IF(F310="企业官网",5,0))</f>
        <v/>
      </c>
      <c r="S310" s="10">
        <f>IF(Q310="A","价格与起订量有优势，建议优先询盘",IF(Q310="B","条件较均衡，可作为备选","起订量或价格需要进一步确认"))</f>
        <v/>
      </c>
      <c r="T310" s="10" t="inlineStr">
        <is>
          <t>未联系</t>
        </is>
      </c>
      <c r="U310" s="10" t="inlineStr">
        <is>
          <t>虚构演示数据</t>
        </is>
      </c>
    </row>
    <row r="311" ht="21" customHeight="1">
      <c r="A311" s="10" t="inlineStr">
        <is>
          <t>GYS-0307</t>
        </is>
      </c>
      <c r="B311" s="10" t="inlineStr">
        <is>
          <t>苏州母婴用品供应链0307有限公司（演示）</t>
        </is>
      </c>
      <c r="C311" s="10" t="inlineStr">
        <is>
          <t>母婴用品</t>
        </is>
      </c>
      <c r="D311" s="10" t="inlineStr">
        <is>
          <t>婴儿防撞条</t>
        </is>
      </c>
      <c r="E311" s="10" t="inlineStr">
        <is>
          <t>江苏苏州</t>
        </is>
      </c>
      <c r="F311" s="10" t="inlineStr">
        <is>
          <t>义乌购</t>
        </is>
      </c>
      <c r="G311" s="10" t="inlineStr">
        <is>
          <t>赵经理</t>
        </is>
      </c>
      <c r="H311" s="10" t="inlineStr">
        <is>
          <t>000-0000-0307</t>
        </is>
      </c>
      <c r="I311" s="10" t="inlineStr">
        <is>
          <t>DEMO_GYS_0307</t>
        </is>
      </c>
      <c r="J311" s="11" t="n">
        <v>18.7</v>
      </c>
      <c r="K311" s="11" t="n">
        <v>36.4</v>
      </c>
      <c r="L311" s="12" t="n">
        <v>500</v>
      </c>
      <c r="M311" s="10" t="inlineStr">
        <is>
          <t>是</t>
        </is>
      </c>
      <c r="N311" s="10" t="inlineStr">
        <is>
          <t>是</t>
        </is>
      </c>
      <c r="O311" s="10" t="inlineStr">
        <is>
          <t>supplier0307@example.com</t>
        </is>
      </c>
      <c r="P311" s="10" t="inlineStr">
        <is>
          <t>https://example.com/supplier/0307</t>
        </is>
      </c>
      <c r="Q311" s="10">
        <f>IF(R311&gt;=85,"A",IF(R311&gt;=70,"B","C"))</f>
        <v/>
      </c>
      <c r="R311" s="13">
        <f>MIN(100,50+IF(M311="是",10,0)+IF(N311="是",10,0)+IF(L311&lt;=100,10,IF(L311&lt;=300,5,0))+IF(J311&lt;=20,10,IF(J311&lt;=50,5,0))+IF(K311-J311&lt;=20,5,0)+IF(F311="企业官网",5,0))</f>
        <v/>
      </c>
      <c r="S311" s="10">
        <f>IF(Q311="A","价格与起订量有优势，建议优先询盘",IF(Q311="B","条件较均衡，可作为备选","起订量或价格需要进一步确认"))</f>
        <v/>
      </c>
      <c r="T311" s="10" t="inlineStr">
        <is>
          <t>未联系</t>
        </is>
      </c>
      <c r="U311" s="10" t="inlineStr">
        <is>
          <t>虚构演示数据</t>
        </is>
      </c>
    </row>
    <row r="312" ht="21" customHeight="1">
      <c r="A312" s="10" t="inlineStr">
        <is>
          <t>GYS-0308</t>
        </is>
      </c>
      <c r="B312" s="10" t="inlineStr">
        <is>
          <t>白沟运动户外供应链0308有限公司（演示）</t>
        </is>
      </c>
      <c r="C312" s="10" t="inlineStr">
        <is>
          <t>运动户外</t>
        </is>
      </c>
      <c r="D312" s="10" t="inlineStr">
        <is>
          <t>弹力训练带</t>
        </is>
      </c>
      <c r="E312" s="10" t="inlineStr">
        <is>
          <t>河北白沟</t>
        </is>
      </c>
      <c r="F312" s="10" t="inlineStr">
        <is>
          <t>慧聪网</t>
        </is>
      </c>
      <c r="G312" s="10" t="inlineStr">
        <is>
          <t>周经理</t>
        </is>
      </c>
      <c r="H312" s="10" t="inlineStr">
        <is>
          <t>000-0000-0308</t>
        </is>
      </c>
      <c r="I312" s="10" t="inlineStr">
        <is>
          <t>DEMO_GYS_0308</t>
        </is>
      </c>
      <c r="J312" s="11" t="n">
        <v>20.4</v>
      </c>
      <c r="K312" s="11" t="n">
        <v>39.2</v>
      </c>
      <c r="L312" s="12" t="n">
        <v>300</v>
      </c>
      <c r="M312" s="10" t="inlineStr">
        <is>
          <t>否</t>
        </is>
      </c>
      <c r="N312" s="10" t="inlineStr">
        <is>
          <t>是</t>
        </is>
      </c>
      <c r="O312" s="10" t="inlineStr">
        <is>
          <t>supplier0308@example.com</t>
        </is>
      </c>
      <c r="P312" s="10" t="inlineStr">
        <is>
          <t>https://example.com/supplier/0308</t>
        </is>
      </c>
      <c r="Q312" s="10">
        <f>IF(R312&gt;=85,"A",IF(R312&gt;=70,"B","C"))</f>
        <v/>
      </c>
      <c r="R312" s="13">
        <f>MIN(100,50+IF(M312="是",10,0)+IF(N312="是",10,0)+IF(L312&lt;=100,10,IF(L312&lt;=300,5,0))+IF(J312&lt;=20,10,IF(J312&lt;=50,5,0))+IF(K312-J312&lt;=20,5,0)+IF(F312="企业官网",5,0))</f>
        <v/>
      </c>
      <c r="S312" s="10">
        <f>IF(Q312="A","价格与起订量有优势，建议优先询盘",IF(Q312="B","条件较均衡，可作为备选","起订量或价格需要进一步确认"))</f>
        <v/>
      </c>
      <c r="T312" s="10" t="inlineStr">
        <is>
          <t>未联系</t>
        </is>
      </c>
      <c r="U312" s="10" t="inlineStr">
        <is>
          <t>虚构演示数据</t>
        </is>
      </c>
    </row>
    <row r="313" ht="21" customHeight="1">
      <c r="A313" s="10" t="inlineStr">
        <is>
          <t>GYS-0309</t>
        </is>
      </c>
      <c r="B313" s="10" t="inlineStr">
        <is>
          <t>义乌办公文具供应链0309有限公司（演示）</t>
        </is>
      </c>
      <c r="C313" s="10" t="inlineStr">
        <is>
          <t>办公文具</t>
        </is>
      </c>
      <c r="D313" s="10" t="inlineStr">
        <is>
          <t>桌面收纳架</t>
        </is>
      </c>
      <c r="E313" s="10" t="inlineStr">
        <is>
          <t>浙江义乌</t>
        </is>
      </c>
      <c r="F313" s="10" t="inlineStr">
        <is>
          <t>1688</t>
        </is>
      </c>
      <c r="G313" s="10" t="inlineStr">
        <is>
          <t>吴经理</t>
        </is>
      </c>
      <c r="H313" s="10" t="inlineStr">
        <is>
          <t>000-0000-0309</t>
        </is>
      </c>
      <c r="I313" s="10" t="inlineStr">
        <is>
          <t>DEMO_GYS_0309</t>
        </is>
      </c>
      <c r="J313" s="11" t="n">
        <v>22.1</v>
      </c>
      <c r="K313" s="11" t="n">
        <v>42</v>
      </c>
      <c r="L313" s="12" t="n">
        <v>200</v>
      </c>
      <c r="M313" s="10" t="inlineStr">
        <is>
          <t>是</t>
        </is>
      </c>
      <c r="N313" s="10" t="inlineStr">
        <is>
          <t>否</t>
        </is>
      </c>
      <c r="O313" s="10" t="inlineStr">
        <is>
          <t>supplier0309@example.com</t>
        </is>
      </c>
      <c r="P313" s="10" t="inlineStr">
        <is>
          <t>https://example.com/supplier/0309</t>
        </is>
      </c>
      <c r="Q313" s="10">
        <f>IF(R313&gt;=85,"A",IF(R313&gt;=70,"B","C"))</f>
        <v/>
      </c>
      <c r="R313" s="13">
        <f>MIN(100,50+IF(M313="是",10,0)+IF(N313="是",10,0)+IF(L313&lt;=100,10,IF(L313&lt;=300,5,0))+IF(J313&lt;=20,10,IF(J313&lt;=50,5,0))+IF(K313-J313&lt;=20,5,0)+IF(F313="企业官网",5,0))</f>
        <v/>
      </c>
      <c r="S313" s="10">
        <f>IF(Q313="A","价格与起订量有优势，建议优先询盘",IF(Q313="B","条件较均衡，可作为备选","起订量或价格需要进一步确认"))</f>
        <v/>
      </c>
      <c r="T313" s="10" t="inlineStr">
        <is>
          <t>未联系</t>
        </is>
      </c>
      <c r="U313" s="10" t="inlineStr">
        <is>
          <t>虚构演示数据</t>
        </is>
      </c>
    </row>
    <row r="314" ht="21" customHeight="1">
      <c r="A314" s="10" t="inlineStr">
        <is>
          <t>GYS-0310</t>
        </is>
      </c>
      <c r="B314" s="10" t="inlineStr">
        <is>
          <t>台州汽车用品供应链0310有限公司（演示）</t>
        </is>
      </c>
      <c r="C314" s="10" t="inlineStr">
        <is>
          <t>汽车用品</t>
        </is>
      </c>
      <c r="D314" s="10" t="inlineStr">
        <is>
          <t>车载香薰</t>
        </is>
      </c>
      <c r="E314" s="10" t="inlineStr">
        <is>
          <t>浙江台州</t>
        </is>
      </c>
      <c r="F314" s="10" t="inlineStr">
        <is>
          <t>中国制造网</t>
        </is>
      </c>
      <c r="G314" s="10" t="inlineStr">
        <is>
          <t>陈经理</t>
        </is>
      </c>
      <c r="H314" s="10" t="inlineStr">
        <is>
          <t>000-0000-0310</t>
        </is>
      </c>
      <c r="I314" s="10" t="inlineStr">
        <is>
          <t>DEMO_GYS_0310</t>
        </is>
      </c>
      <c r="J314" s="11" t="n">
        <v>23.8</v>
      </c>
      <c r="K314" s="11" t="n">
        <v>44.8</v>
      </c>
      <c r="L314" s="12" t="n">
        <v>100</v>
      </c>
      <c r="M314" s="10" t="inlineStr">
        <is>
          <t>是</t>
        </is>
      </c>
      <c r="N314" s="10" t="inlineStr">
        <is>
          <t>是</t>
        </is>
      </c>
      <c r="O314" s="10" t="inlineStr">
        <is>
          <t>supplier0310@example.com</t>
        </is>
      </c>
      <c r="P314" s="10" t="inlineStr">
        <is>
          <t>https://example.com/supplier/0310</t>
        </is>
      </c>
      <c r="Q314" s="10">
        <f>IF(R314&gt;=85,"A",IF(R314&gt;=70,"B","C"))</f>
        <v/>
      </c>
      <c r="R314" s="13">
        <f>MIN(100,50+IF(M314="是",10,0)+IF(N314="是",10,0)+IF(L314&lt;=100,10,IF(L314&lt;=300,5,0))+IF(J314&lt;=20,10,IF(J314&lt;=50,5,0))+IF(K314-J314&lt;=20,5,0)+IF(F314="企业官网",5,0))</f>
        <v/>
      </c>
      <c r="S314" s="10">
        <f>IF(Q314="A","价格与起订量有优势，建议优先询盘",IF(Q314="B","条件较均衡，可作为备选","起订量或价格需要进一步确认"))</f>
        <v/>
      </c>
      <c r="T314" s="10" t="inlineStr">
        <is>
          <t>未联系</t>
        </is>
      </c>
      <c r="U314" s="10" t="inlineStr">
        <is>
          <t>虚构演示数据</t>
        </is>
      </c>
    </row>
    <row r="315" ht="21" customHeight="1">
      <c r="A315" s="10" t="inlineStr">
        <is>
          <t>GYS-0311</t>
        </is>
      </c>
      <c r="B315" s="10" t="inlineStr">
        <is>
          <t>东莞美容工具供应链0311有限公司（演示）</t>
        </is>
      </c>
      <c r="C315" s="10" t="inlineStr">
        <is>
          <t>美容工具</t>
        </is>
      </c>
      <c r="D315" s="10" t="inlineStr">
        <is>
          <t>便携化妆镜</t>
        </is>
      </c>
      <c r="E315" s="10" t="inlineStr">
        <is>
          <t>广东东莞</t>
        </is>
      </c>
      <c r="F315" s="10" t="inlineStr">
        <is>
          <t>企业官网</t>
        </is>
      </c>
      <c r="G315" s="10" t="inlineStr">
        <is>
          <t>林经理</t>
        </is>
      </c>
      <c r="H315" s="10" t="inlineStr">
        <is>
          <t>000-0000-0311</t>
        </is>
      </c>
      <c r="I315" s="10" t="inlineStr">
        <is>
          <t>DEMO_GYS_0311</t>
        </is>
      </c>
      <c r="J315" s="11" t="n">
        <v>25.5</v>
      </c>
      <c r="K315" s="11" t="n">
        <v>29.6</v>
      </c>
      <c r="L315" s="12" t="n">
        <v>50</v>
      </c>
      <c r="M315" s="10" t="inlineStr">
        <is>
          <t>是</t>
        </is>
      </c>
      <c r="N315" s="10" t="inlineStr">
        <is>
          <t>是</t>
        </is>
      </c>
      <c r="O315" s="10" t="inlineStr">
        <is>
          <t>supplier0311@example.com</t>
        </is>
      </c>
      <c r="P315" s="10" t="inlineStr">
        <is>
          <t>https://example.com/supplier/0311</t>
        </is>
      </c>
      <c r="Q315" s="10">
        <f>IF(R315&gt;=85,"A",IF(R315&gt;=70,"B","C"))</f>
        <v/>
      </c>
      <c r="R315" s="13">
        <f>MIN(100,50+IF(M315="是",10,0)+IF(N315="是",10,0)+IF(L315&lt;=100,10,IF(L315&lt;=300,5,0))+IF(J315&lt;=20,10,IF(J315&lt;=50,5,0))+IF(K315-J315&lt;=20,5,0)+IF(F315="企业官网",5,0))</f>
        <v/>
      </c>
      <c r="S315" s="10">
        <f>IF(Q315="A","价格与起订量有优势，建议优先询盘",IF(Q315="B","条件较均衡，可作为备选","起订量或价格需要进一步确认"))</f>
        <v/>
      </c>
      <c r="T315" s="10" t="inlineStr">
        <is>
          <t>未联系</t>
        </is>
      </c>
      <c r="U315" s="10" t="inlineStr">
        <is>
          <t>虚构演示数据</t>
        </is>
      </c>
    </row>
    <row r="316" ht="21" customHeight="1">
      <c r="A316" s="10" t="inlineStr">
        <is>
          <t>GYS-0312</t>
        </is>
      </c>
      <c r="B316" s="10" t="inlineStr">
        <is>
          <t>厦门旅行用品供应链0312有限公司（演示）</t>
        </is>
      </c>
      <c r="C316" s="10" t="inlineStr">
        <is>
          <t>旅行用品</t>
        </is>
      </c>
      <c r="D316" s="10" t="inlineStr">
        <is>
          <t>压缩收纳袋</t>
        </is>
      </c>
      <c r="E316" s="10" t="inlineStr">
        <is>
          <t>福建厦门</t>
        </is>
      </c>
      <c r="F316" s="10" t="inlineStr">
        <is>
          <t>义乌购</t>
        </is>
      </c>
      <c r="G316" s="10" t="inlineStr">
        <is>
          <t>王经理</t>
        </is>
      </c>
      <c r="H316" s="10" t="inlineStr">
        <is>
          <t>000-0000-0312</t>
        </is>
      </c>
      <c r="I316" s="10" t="inlineStr">
        <is>
          <t>DEMO_GYS_0312</t>
        </is>
      </c>
      <c r="J316" s="11" t="n">
        <v>27.2</v>
      </c>
      <c r="K316" s="11" t="n">
        <v>32.4</v>
      </c>
      <c r="L316" s="12" t="n">
        <v>20</v>
      </c>
      <c r="M316" s="10" t="inlineStr">
        <is>
          <t>否</t>
        </is>
      </c>
      <c r="N316" s="10" t="inlineStr">
        <is>
          <t>否</t>
        </is>
      </c>
      <c r="O316" s="10" t="inlineStr">
        <is>
          <t>supplier0312@example.com</t>
        </is>
      </c>
      <c r="P316" s="10" t="inlineStr">
        <is>
          <t>https://example.com/supplier/0312</t>
        </is>
      </c>
      <c r="Q316" s="10">
        <f>IF(R316&gt;=85,"A",IF(R316&gt;=70,"B","C"))</f>
        <v/>
      </c>
      <c r="R316" s="13">
        <f>MIN(100,50+IF(M316="是",10,0)+IF(N316="是",10,0)+IF(L316&lt;=100,10,IF(L316&lt;=300,5,0))+IF(J316&lt;=20,10,IF(J316&lt;=50,5,0))+IF(K316-J316&lt;=20,5,0)+IF(F316="企业官网",5,0))</f>
        <v/>
      </c>
      <c r="S316" s="10">
        <f>IF(Q316="A","价格与起订量有优势，建议优先询盘",IF(Q316="B","条件较均衡，可作为备选","起订量或价格需要进一步确认"))</f>
        <v/>
      </c>
      <c r="T316" s="10" t="inlineStr">
        <is>
          <t>未联系</t>
        </is>
      </c>
      <c r="U316" s="10" t="inlineStr">
        <is>
          <t>虚构演示数据</t>
        </is>
      </c>
    </row>
    <row r="317" ht="21" customHeight="1">
      <c r="A317" s="10" t="inlineStr">
        <is>
          <t>GYS-0313</t>
        </is>
      </c>
      <c r="B317" s="10" t="inlineStr">
        <is>
          <t>临沂清洁工具供应链0313有限公司（演示）</t>
        </is>
      </c>
      <c r="C317" s="10" t="inlineStr">
        <is>
          <t>清洁工具</t>
        </is>
      </c>
      <c r="D317" s="10" t="inlineStr">
        <is>
          <t>免手洗拖把</t>
        </is>
      </c>
      <c r="E317" s="10" t="inlineStr">
        <is>
          <t>山东临沂</t>
        </is>
      </c>
      <c r="F317" s="10" t="inlineStr">
        <is>
          <t>慧聪网</t>
        </is>
      </c>
      <c r="G317" s="10" t="inlineStr">
        <is>
          <t>李经理</t>
        </is>
      </c>
      <c r="H317" s="10" t="inlineStr">
        <is>
          <t>000-0000-0313</t>
        </is>
      </c>
      <c r="I317" s="10" t="inlineStr">
        <is>
          <t>DEMO_GYS_0313</t>
        </is>
      </c>
      <c r="J317" s="11" t="n">
        <v>28.9</v>
      </c>
      <c r="K317" s="11" t="n">
        <v>35.2</v>
      </c>
      <c r="L317" s="12" t="n">
        <v>500</v>
      </c>
      <c r="M317" s="10" t="inlineStr">
        <is>
          <t>是</t>
        </is>
      </c>
      <c r="N317" s="10" t="inlineStr">
        <is>
          <t>是</t>
        </is>
      </c>
      <c r="O317" s="10" t="inlineStr">
        <is>
          <t>supplier0313@example.com</t>
        </is>
      </c>
      <c r="P317" s="10" t="inlineStr">
        <is>
          <t>https://example.com/supplier/0313</t>
        </is>
      </c>
      <c r="Q317" s="10">
        <f>IF(R317&gt;=85,"A",IF(R317&gt;=70,"B","C"))</f>
        <v/>
      </c>
      <c r="R317" s="13">
        <f>MIN(100,50+IF(M317="是",10,0)+IF(N317="是",10,0)+IF(L317&lt;=100,10,IF(L317&lt;=300,5,0))+IF(J317&lt;=20,10,IF(J317&lt;=50,5,0))+IF(K317-J317&lt;=20,5,0)+IF(F317="企业官网",5,0))</f>
        <v/>
      </c>
      <c r="S317" s="10">
        <f>IF(Q317="A","价格与起订量有优势，建议优先询盘",IF(Q317="B","条件较均衡，可作为备选","起订量或价格需要进一步确认"))</f>
        <v/>
      </c>
      <c r="T317" s="10" t="inlineStr">
        <is>
          <t>未联系</t>
        </is>
      </c>
      <c r="U317" s="10" t="inlineStr">
        <is>
          <t>虚构演示数据</t>
        </is>
      </c>
    </row>
    <row r="318" ht="21" customHeight="1">
      <c r="A318" s="10" t="inlineStr">
        <is>
          <t>GYS-0314</t>
        </is>
      </c>
      <c r="B318" s="10" t="inlineStr">
        <is>
          <t>南昌小家电供应链0314有限公司（演示）</t>
        </is>
      </c>
      <c r="C318" s="10" t="inlineStr">
        <is>
          <t>小家电</t>
        </is>
      </c>
      <c r="D318" s="10" t="inlineStr">
        <is>
          <t>迷你加湿器</t>
        </is>
      </c>
      <c r="E318" s="10" t="inlineStr">
        <is>
          <t>江西南昌</t>
        </is>
      </c>
      <c r="F318" s="10" t="inlineStr">
        <is>
          <t>1688</t>
        </is>
      </c>
      <c r="G318" s="10" t="inlineStr">
        <is>
          <t>张经理</t>
        </is>
      </c>
      <c r="H318" s="10" t="inlineStr">
        <is>
          <t>000-0000-0314</t>
        </is>
      </c>
      <c r="I318" s="10" t="inlineStr">
        <is>
          <t>DEMO_GYS_0314</t>
        </is>
      </c>
      <c r="J318" s="11" t="n">
        <v>30.6</v>
      </c>
      <c r="K318" s="11" t="n">
        <v>38</v>
      </c>
      <c r="L318" s="12" t="n">
        <v>300</v>
      </c>
      <c r="M318" s="10" t="inlineStr">
        <is>
          <t>是</t>
        </is>
      </c>
      <c r="N318" s="10" t="inlineStr">
        <is>
          <t>是</t>
        </is>
      </c>
      <c r="O318" s="10" t="inlineStr">
        <is>
          <t>supplier0314@example.com</t>
        </is>
      </c>
      <c r="P318" s="10" t="inlineStr">
        <is>
          <t>https://example.com/supplier/0314</t>
        </is>
      </c>
      <c r="Q318" s="10">
        <f>IF(R318&gt;=85,"A",IF(R318&gt;=70,"B","C"))</f>
        <v/>
      </c>
      <c r="R318" s="13">
        <f>MIN(100,50+IF(M318="是",10,0)+IF(N318="是",10,0)+IF(L318&lt;=100,10,IF(L318&lt;=300,5,0))+IF(J318&lt;=20,10,IF(J318&lt;=50,5,0))+IF(K318-J318&lt;=20,5,0)+IF(F318="企业官网",5,0))</f>
        <v/>
      </c>
      <c r="S318" s="10">
        <f>IF(Q318="A","价格与起订量有优势，建议优先询盘",IF(Q318="B","条件较均衡，可作为备选","起订量或价格需要进一步确认"))</f>
        <v/>
      </c>
      <c r="T318" s="10" t="inlineStr">
        <is>
          <t>未联系</t>
        </is>
      </c>
      <c r="U318" s="10" t="inlineStr">
        <is>
          <t>虚构演示数据</t>
        </is>
      </c>
    </row>
    <row r="319" ht="21" customHeight="1">
      <c r="A319" s="10" t="inlineStr">
        <is>
          <t>GYS-0315</t>
        </is>
      </c>
      <c r="B319" s="10" t="inlineStr">
        <is>
          <t>温州礼品包装供应链0315有限公司（演示）</t>
        </is>
      </c>
      <c r="C319" s="10" t="inlineStr">
        <is>
          <t>礼品包装</t>
        </is>
      </c>
      <c r="D319" s="10" t="inlineStr">
        <is>
          <t>节日礼盒</t>
        </is>
      </c>
      <c r="E319" s="10" t="inlineStr">
        <is>
          <t>浙江温州</t>
        </is>
      </c>
      <c r="F319" s="10" t="inlineStr">
        <is>
          <t>中国制造网</t>
        </is>
      </c>
      <c r="G319" s="10" t="inlineStr">
        <is>
          <t>刘经理</t>
        </is>
      </c>
      <c r="H319" s="10" t="inlineStr">
        <is>
          <t>000-0000-0315</t>
        </is>
      </c>
      <c r="I319" s="10" t="inlineStr">
        <is>
          <t>DEMO_GYS_0315</t>
        </is>
      </c>
      <c r="J319" s="11" t="n">
        <v>32.3</v>
      </c>
      <c r="K319" s="11" t="n">
        <v>40.8</v>
      </c>
      <c r="L319" s="12" t="n">
        <v>200</v>
      </c>
      <c r="M319" s="10" t="inlineStr">
        <is>
          <t>是</t>
        </is>
      </c>
      <c r="N319" s="10" t="inlineStr">
        <is>
          <t>否</t>
        </is>
      </c>
      <c r="O319" s="10" t="inlineStr">
        <is>
          <t>supplier0315@example.com</t>
        </is>
      </c>
      <c r="P319" s="10" t="inlineStr">
        <is>
          <t>https://example.com/supplier/0315</t>
        </is>
      </c>
      <c r="Q319" s="10">
        <f>IF(R319&gt;=85,"A",IF(R319&gt;=70,"B","C"))</f>
        <v/>
      </c>
      <c r="R319" s="13">
        <f>MIN(100,50+IF(M319="是",10,0)+IF(N319="是",10,0)+IF(L319&lt;=100,10,IF(L319&lt;=300,5,0))+IF(J319&lt;=20,10,IF(J319&lt;=50,5,0))+IF(K319-J319&lt;=20,5,0)+IF(F319="企业官网",5,0))</f>
        <v/>
      </c>
      <c r="S319" s="10">
        <f>IF(Q319="A","价格与起订量有优势，建议优先询盘",IF(Q319="B","条件较均衡，可作为备选","起订量或价格需要进一步确认"))</f>
        <v/>
      </c>
      <c r="T319" s="10" t="inlineStr">
        <is>
          <t>未联系</t>
        </is>
      </c>
      <c r="U319" s="10" t="inlineStr">
        <is>
          <t>虚构演示数据</t>
        </is>
      </c>
    </row>
    <row r="320" ht="21" customHeight="1">
      <c r="A320" s="10" t="inlineStr">
        <is>
          <t>GYS-0316</t>
        </is>
      </c>
      <c r="B320" s="10" t="inlineStr">
        <is>
          <t>广州五金工具供应链0316有限公司（演示）</t>
        </is>
      </c>
      <c r="C320" s="10" t="inlineStr">
        <is>
          <t>五金工具</t>
        </is>
      </c>
      <c r="D320" s="10" t="inlineStr">
        <is>
          <t>多功能螺丝刀</t>
        </is>
      </c>
      <c r="E320" s="10" t="inlineStr">
        <is>
          <t>广东广州</t>
        </is>
      </c>
      <c r="F320" s="10" t="inlineStr">
        <is>
          <t>企业官网</t>
        </is>
      </c>
      <c r="G320" s="10" t="inlineStr">
        <is>
          <t>黄经理</t>
        </is>
      </c>
      <c r="H320" s="10" t="inlineStr">
        <is>
          <t>000-0000-0316</t>
        </is>
      </c>
      <c r="I320" s="10" t="inlineStr">
        <is>
          <t>DEMO_GYS_0316</t>
        </is>
      </c>
      <c r="J320" s="11" t="n">
        <v>34</v>
      </c>
      <c r="K320" s="11" t="n">
        <v>43.6</v>
      </c>
      <c r="L320" s="12" t="n">
        <v>100</v>
      </c>
      <c r="M320" s="10" t="inlineStr">
        <is>
          <t>否</t>
        </is>
      </c>
      <c r="N320" s="10" t="inlineStr">
        <is>
          <t>是</t>
        </is>
      </c>
      <c r="O320" s="10" t="inlineStr">
        <is>
          <t>supplier0316@example.com</t>
        </is>
      </c>
      <c r="P320" s="10" t="inlineStr">
        <is>
          <t>https://example.com/supplier/0316</t>
        </is>
      </c>
      <c r="Q320" s="10">
        <f>IF(R320&gt;=85,"A",IF(R320&gt;=70,"B","C"))</f>
        <v/>
      </c>
      <c r="R320" s="13">
        <f>MIN(100,50+IF(M320="是",10,0)+IF(N320="是",10,0)+IF(L320&lt;=100,10,IF(L320&lt;=300,5,0))+IF(J320&lt;=20,10,IF(J320&lt;=50,5,0))+IF(K320-J320&lt;=20,5,0)+IF(F320="企业官网",5,0))</f>
        <v/>
      </c>
      <c r="S320" s="10">
        <f>IF(Q320="A","价格与起订量有优势，建议优先询盘",IF(Q320="B","条件较均衡，可作为备选","起订量或价格需要进一步确认"))</f>
        <v/>
      </c>
      <c r="T320" s="10" t="inlineStr">
        <is>
          <t>未联系</t>
        </is>
      </c>
      <c r="U320" s="10" t="inlineStr">
        <is>
          <t>虚构演示数据</t>
        </is>
      </c>
    </row>
    <row r="321" ht="21" customHeight="1">
      <c r="A321" s="10" t="inlineStr">
        <is>
          <t>GYS-0317</t>
        </is>
      </c>
      <c r="B321" s="10" t="inlineStr">
        <is>
          <t>泉州鞋靴配件供应链0317有限公司（演示）</t>
        </is>
      </c>
      <c r="C321" s="10" t="inlineStr">
        <is>
          <t>鞋靴配件</t>
        </is>
      </c>
      <c r="D321" s="10" t="inlineStr">
        <is>
          <t>防磨脚贴</t>
        </is>
      </c>
      <c r="E321" s="10" t="inlineStr">
        <is>
          <t>福建泉州</t>
        </is>
      </c>
      <c r="F321" s="10" t="inlineStr">
        <is>
          <t>义乌购</t>
        </is>
      </c>
      <c r="G321" s="10" t="inlineStr">
        <is>
          <t>赵经理</t>
        </is>
      </c>
      <c r="H321" s="10" t="inlineStr">
        <is>
          <t>000-0000-0317</t>
        </is>
      </c>
      <c r="I321" s="10" t="inlineStr">
        <is>
          <t>DEMO_GYS_0317</t>
        </is>
      </c>
      <c r="J321" s="11" t="n">
        <v>35.7</v>
      </c>
      <c r="K321" s="11" t="n">
        <v>46.4</v>
      </c>
      <c r="L321" s="12" t="n">
        <v>50</v>
      </c>
      <c r="M321" s="10" t="inlineStr">
        <is>
          <t>是</t>
        </is>
      </c>
      <c r="N321" s="10" t="inlineStr">
        <is>
          <t>是</t>
        </is>
      </c>
      <c r="O321" s="10" t="inlineStr">
        <is>
          <t>supplier0317@example.com</t>
        </is>
      </c>
      <c r="P321" s="10" t="inlineStr">
        <is>
          <t>https://example.com/supplier/0317</t>
        </is>
      </c>
      <c r="Q321" s="10">
        <f>IF(R321&gt;=85,"A",IF(R321&gt;=70,"B","C"))</f>
        <v/>
      </c>
      <c r="R321" s="13">
        <f>MIN(100,50+IF(M321="是",10,0)+IF(N321="是",10,0)+IF(L321&lt;=100,10,IF(L321&lt;=300,5,0))+IF(J321&lt;=20,10,IF(J321&lt;=50,5,0))+IF(K321-J321&lt;=20,5,0)+IF(F321="企业官网",5,0))</f>
        <v/>
      </c>
      <c r="S321" s="10">
        <f>IF(Q321="A","价格与起订量有优势，建议优先询盘",IF(Q321="B","条件较均衡，可作为备选","起订量或价格需要进一步确认"))</f>
        <v/>
      </c>
      <c r="T321" s="10" t="inlineStr">
        <is>
          <t>未联系</t>
        </is>
      </c>
      <c r="U321" s="10" t="inlineStr">
        <is>
          <t>虚构演示数据</t>
        </is>
      </c>
    </row>
    <row r="322" ht="21" customHeight="1">
      <c r="A322" s="10" t="inlineStr">
        <is>
          <t>GYS-0318</t>
        </is>
      </c>
      <c r="B322" s="10" t="inlineStr">
        <is>
          <t>南通食品包装供应链0318有限公司（演示）</t>
        </is>
      </c>
      <c r="C322" s="10" t="inlineStr">
        <is>
          <t>食品包装</t>
        </is>
      </c>
      <c r="D322" s="10" t="inlineStr">
        <is>
          <t>密封包装袋</t>
        </is>
      </c>
      <c r="E322" s="10" t="inlineStr">
        <is>
          <t>江苏南通</t>
        </is>
      </c>
      <c r="F322" s="10" t="inlineStr">
        <is>
          <t>慧聪网</t>
        </is>
      </c>
      <c r="G322" s="10" t="inlineStr">
        <is>
          <t>周经理</t>
        </is>
      </c>
      <c r="H322" s="10" t="inlineStr">
        <is>
          <t>000-0000-0318</t>
        </is>
      </c>
      <c r="I322" s="10" t="inlineStr">
        <is>
          <t>DEMO_GYS_0318</t>
        </is>
      </c>
      <c r="J322" s="11" t="n">
        <v>37.4</v>
      </c>
      <c r="K322" s="11" t="n">
        <v>49.2</v>
      </c>
      <c r="L322" s="12" t="n">
        <v>20</v>
      </c>
      <c r="M322" s="10" t="inlineStr">
        <is>
          <t>是</t>
        </is>
      </c>
      <c r="N322" s="10" t="inlineStr">
        <is>
          <t>否</t>
        </is>
      </c>
      <c r="O322" s="10" t="inlineStr">
        <is>
          <t>supplier0318@example.com</t>
        </is>
      </c>
      <c r="P322" s="10" t="inlineStr">
        <is>
          <t>https://example.com/supplier/0318</t>
        </is>
      </c>
      <c r="Q322" s="10">
        <f>IF(R322&gt;=85,"A",IF(R322&gt;=70,"B","C"))</f>
        <v/>
      </c>
      <c r="R322" s="13">
        <f>MIN(100,50+IF(M322="是",10,0)+IF(N322="是",10,0)+IF(L322&lt;=100,10,IF(L322&lt;=300,5,0))+IF(J322&lt;=20,10,IF(J322&lt;=50,5,0))+IF(K322-J322&lt;=20,5,0)+IF(F322="企业官网",5,0))</f>
        <v/>
      </c>
      <c r="S322" s="10">
        <f>IF(Q322="A","价格与起订量有优势，建议优先询盘",IF(Q322="B","条件较均衡，可作为备选","起订量或价格需要进一步确认"))</f>
        <v/>
      </c>
      <c r="T322" s="10" t="inlineStr">
        <is>
          <t>未联系</t>
        </is>
      </c>
      <c r="U322" s="10" t="inlineStr">
        <is>
          <t>虚构演示数据</t>
        </is>
      </c>
    </row>
    <row r="323" ht="21" customHeight="1">
      <c r="A323" s="10" t="inlineStr">
        <is>
          <t>GYS-0319</t>
        </is>
      </c>
      <c r="B323" s="10" t="inlineStr">
        <is>
          <t>郑州户外照明供应链0319有限公司（演示）</t>
        </is>
      </c>
      <c r="C323" s="10" t="inlineStr">
        <is>
          <t>户外照明</t>
        </is>
      </c>
      <c r="D323" s="10" t="inlineStr">
        <is>
          <t>便携露营灯</t>
        </is>
      </c>
      <c r="E323" s="10" t="inlineStr">
        <is>
          <t>河南郑州</t>
        </is>
      </c>
      <c r="F323" s="10" t="inlineStr">
        <is>
          <t>1688</t>
        </is>
      </c>
      <c r="G323" s="10" t="inlineStr">
        <is>
          <t>吴经理</t>
        </is>
      </c>
      <c r="H323" s="10" t="inlineStr">
        <is>
          <t>000-0000-0319</t>
        </is>
      </c>
      <c r="I323" s="10" t="inlineStr">
        <is>
          <t>DEMO_GYS_0319</t>
        </is>
      </c>
      <c r="J323" s="11" t="n">
        <v>39.1</v>
      </c>
      <c r="K323" s="11" t="n">
        <v>52</v>
      </c>
      <c r="L323" s="12" t="n">
        <v>500</v>
      </c>
      <c r="M323" s="10" t="inlineStr">
        <is>
          <t>是</t>
        </is>
      </c>
      <c r="N323" s="10" t="inlineStr">
        <is>
          <t>是</t>
        </is>
      </c>
      <c r="O323" s="10" t="inlineStr">
        <is>
          <t>supplier0319@example.com</t>
        </is>
      </c>
      <c r="P323" s="10" t="inlineStr">
        <is>
          <t>https://example.com/supplier/0319</t>
        </is>
      </c>
      <c r="Q323" s="10">
        <f>IF(R323&gt;=85,"A",IF(R323&gt;=70,"B","C"))</f>
        <v/>
      </c>
      <c r="R323" s="13">
        <f>MIN(100,50+IF(M323="是",10,0)+IF(N323="是",10,0)+IF(L323&lt;=100,10,IF(L323&lt;=300,5,0))+IF(J323&lt;=20,10,IF(J323&lt;=50,5,0))+IF(K323-J323&lt;=20,5,0)+IF(F323="企业官网",5,0))</f>
        <v/>
      </c>
      <c r="S323" s="10">
        <f>IF(Q323="A","价格与起订量有优势，建议优先询盘",IF(Q323="B","条件较均衡，可作为备选","起订量或价格需要进一步确认"))</f>
        <v/>
      </c>
      <c r="T323" s="10" t="inlineStr">
        <is>
          <t>未联系</t>
        </is>
      </c>
      <c r="U323" s="10" t="inlineStr">
        <is>
          <t>虚构演示数据</t>
        </is>
      </c>
    </row>
    <row r="324" ht="21" customHeight="1">
      <c r="A324" s="10" t="inlineStr">
        <is>
          <t>GYS-0320</t>
        </is>
      </c>
      <c r="B324" s="10" t="inlineStr">
        <is>
          <t>宁波健康用品供应链0320有限公司（演示）</t>
        </is>
      </c>
      <c r="C324" s="10" t="inlineStr">
        <is>
          <t>健康用品</t>
        </is>
      </c>
      <c r="D324" s="10" t="inlineStr">
        <is>
          <t>热敷眼罩</t>
        </is>
      </c>
      <c r="E324" s="10" t="inlineStr">
        <is>
          <t>浙江宁波</t>
        </is>
      </c>
      <c r="F324" s="10" t="inlineStr">
        <is>
          <t>中国制造网</t>
        </is>
      </c>
      <c r="G324" s="10" t="inlineStr">
        <is>
          <t>陈经理</t>
        </is>
      </c>
      <c r="H324" s="10" t="inlineStr">
        <is>
          <t>000-0000-0320</t>
        </is>
      </c>
      <c r="I324" s="10" t="inlineStr">
        <is>
          <t>DEMO_GYS_0320</t>
        </is>
      </c>
      <c r="J324" s="11" t="n">
        <v>40.8</v>
      </c>
      <c r="K324" s="11" t="n">
        <v>54.8</v>
      </c>
      <c r="L324" s="12" t="n">
        <v>300</v>
      </c>
      <c r="M324" s="10" t="inlineStr">
        <is>
          <t>否</t>
        </is>
      </c>
      <c r="N324" s="10" t="inlineStr">
        <is>
          <t>是</t>
        </is>
      </c>
      <c r="O324" s="10" t="inlineStr">
        <is>
          <t>supplier0320@example.com</t>
        </is>
      </c>
      <c r="P324" s="10" t="inlineStr">
        <is>
          <t>https://example.com/supplier/0320</t>
        </is>
      </c>
      <c r="Q324" s="10">
        <f>IF(R324&gt;=85,"A",IF(R324&gt;=70,"B","C"))</f>
        <v/>
      </c>
      <c r="R324" s="13">
        <f>MIN(100,50+IF(M324="是",10,0)+IF(N324="是",10,0)+IF(L324&lt;=100,10,IF(L324&lt;=300,5,0))+IF(J324&lt;=20,10,IF(J324&lt;=50,5,0))+IF(K324-J324&lt;=20,5,0)+IF(F324="企业官网",5,0))</f>
        <v/>
      </c>
      <c r="S324" s="10">
        <f>IF(Q324="A","价格与起订量有优势，建议优先询盘",IF(Q324="B","条件较均衡，可作为备选","起订量或价格需要进一步确认"))</f>
        <v/>
      </c>
      <c r="T324" s="10" t="inlineStr">
        <is>
          <t>未联系</t>
        </is>
      </c>
      <c r="U324" s="10" t="inlineStr">
        <is>
          <t>虚构演示数据</t>
        </is>
      </c>
    </row>
    <row r="325" ht="21" customHeight="1">
      <c r="A325" s="10" t="inlineStr">
        <is>
          <t>GYS-0321</t>
        </is>
      </c>
      <c r="B325" s="10" t="inlineStr">
        <is>
          <t>深圳服饰内衣供应链0321有限公司（演示）</t>
        </is>
      </c>
      <c r="C325" s="10" t="inlineStr">
        <is>
          <t>服饰内衣</t>
        </is>
      </c>
      <c r="D325" s="10" t="inlineStr">
        <is>
          <t>防滑袜</t>
        </is>
      </c>
      <c r="E325" s="10" t="inlineStr">
        <is>
          <t>广东深圳</t>
        </is>
      </c>
      <c r="F325" s="10" t="inlineStr">
        <is>
          <t>企业官网</t>
        </is>
      </c>
      <c r="G325" s="10" t="inlineStr">
        <is>
          <t>林经理</t>
        </is>
      </c>
      <c r="H325" s="10" t="inlineStr">
        <is>
          <t>000-0000-0321</t>
        </is>
      </c>
      <c r="I325" s="10" t="inlineStr">
        <is>
          <t>DEMO_GYS_0321</t>
        </is>
      </c>
      <c r="J325" s="11" t="n">
        <v>42.5</v>
      </c>
      <c r="K325" s="11" t="n">
        <v>57.6</v>
      </c>
      <c r="L325" s="12" t="n">
        <v>200</v>
      </c>
      <c r="M325" s="10" t="inlineStr">
        <is>
          <t>是</t>
        </is>
      </c>
      <c r="N325" s="10" t="inlineStr">
        <is>
          <t>否</t>
        </is>
      </c>
      <c r="O325" s="10" t="inlineStr">
        <is>
          <t>supplier0321@example.com</t>
        </is>
      </c>
      <c r="P325" s="10" t="inlineStr">
        <is>
          <t>https://example.com/supplier/0321</t>
        </is>
      </c>
      <c r="Q325" s="10">
        <f>IF(R325&gt;=85,"A",IF(R325&gt;=70,"B","C"))</f>
        <v/>
      </c>
      <c r="R325" s="13">
        <f>MIN(100,50+IF(M325="是",10,0)+IF(N325="是",10,0)+IF(L325&lt;=100,10,IF(L325&lt;=300,5,0))+IF(J325&lt;=20,10,IF(J325&lt;=50,5,0))+IF(K325-J325&lt;=20,5,0)+IF(F325="企业官网",5,0))</f>
        <v/>
      </c>
      <c r="S325" s="10">
        <f>IF(Q325="A","价格与起订量有优势，建议优先询盘",IF(Q325="B","条件较均衡，可作为备选","起订量或价格需要进一步确认"))</f>
        <v/>
      </c>
      <c r="T325" s="10" t="inlineStr">
        <is>
          <t>未联系</t>
        </is>
      </c>
      <c r="U325" s="10" t="inlineStr">
        <is>
          <t>虚构演示数据</t>
        </is>
      </c>
    </row>
    <row r="326" ht="21" customHeight="1">
      <c r="A326" s="10" t="inlineStr">
        <is>
          <t>GYS-0322</t>
        </is>
      </c>
      <c r="B326" s="10" t="inlineStr">
        <is>
          <t>佛山家居日用供应链0322有限公司（演示）</t>
        </is>
      </c>
      <c r="C326" s="10" t="inlineStr">
        <is>
          <t>家居日用</t>
        </is>
      </c>
      <c r="D326" s="10" t="inlineStr">
        <is>
          <t>折叠收纳箱</t>
        </is>
      </c>
      <c r="E326" s="10" t="inlineStr">
        <is>
          <t>广东佛山</t>
        </is>
      </c>
      <c r="F326" s="10" t="inlineStr">
        <is>
          <t>义乌购</t>
        </is>
      </c>
      <c r="G326" s="10" t="inlineStr">
        <is>
          <t>王经理</t>
        </is>
      </c>
      <c r="H326" s="10" t="inlineStr">
        <is>
          <t>000-0000-0322</t>
        </is>
      </c>
      <c r="I326" s="10" t="inlineStr">
        <is>
          <t>DEMO_GYS_0322</t>
        </is>
      </c>
      <c r="J326" s="11" t="n">
        <v>44.2</v>
      </c>
      <c r="K326" s="11" t="n">
        <v>60.4</v>
      </c>
      <c r="L326" s="12" t="n">
        <v>100</v>
      </c>
      <c r="M326" s="10" t="inlineStr">
        <is>
          <t>是</t>
        </is>
      </c>
      <c r="N326" s="10" t="inlineStr">
        <is>
          <t>是</t>
        </is>
      </c>
      <c r="O326" s="10" t="inlineStr">
        <is>
          <t>supplier0322@example.com</t>
        </is>
      </c>
      <c r="P326" s="10" t="inlineStr">
        <is>
          <t>https://example.com/supplier/0322</t>
        </is>
      </c>
      <c r="Q326" s="10">
        <f>IF(R326&gt;=85,"A",IF(R326&gt;=70,"B","C"))</f>
        <v/>
      </c>
      <c r="R326" s="13">
        <f>MIN(100,50+IF(M326="是",10,0)+IF(N326="是",10,0)+IF(L326&lt;=100,10,IF(L326&lt;=300,5,0))+IF(J326&lt;=20,10,IF(J326&lt;=50,5,0))+IF(K326-J326&lt;=20,5,0)+IF(F326="企业官网",5,0))</f>
        <v/>
      </c>
      <c r="S326" s="10">
        <f>IF(Q326="A","价格与起订量有优势，建议优先询盘",IF(Q326="B","条件较均衡，可作为备选","起订量或价格需要进一步确认"))</f>
        <v/>
      </c>
      <c r="T326" s="10" t="inlineStr">
        <is>
          <t>未联系</t>
        </is>
      </c>
      <c r="U326" s="10" t="inlineStr">
        <is>
          <t>虚构演示数据</t>
        </is>
      </c>
    </row>
    <row r="327" ht="21" customHeight="1">
      <c r="A327" s="10" t="inlineStr">
        <is>
          <t>GYS-0323</t>
        </is>
      </c>
      <c r="B327" s="10" t="inlineStr">
        <is>
          <t>苏州个护清洁供应链0323有限公司（演示）</t>
        </is>
      </c>
      <c r="C327" s="10" t="inlineStr">
        <is>
          <t>个护清洁</t>
        </is>
      </c>
      <c r="D327" s="10" t="inlineStr">
        <is>
          <t>便携洗脸巾</t>
        </is>
      </c>
      <c r="E327" s="10" t="inlineStr">
        <is>
          <t>江苏苏州</t>
        </is>
      </c>
      <c r="F327" s="10" t="inlineStr">
        <is>
          <t>慧聪网</t>
        </is>
      </c>
      <c r="G327" s="10" t="inlineStr">
        <is>
          <t>李经理</t>
        </is>
      </c>
      <c r="H327" s="10" t="inlineStr">
        <is>
          <t>000-0000-0323</t>
        </is>
      </c>
      <c r="I327" s="10" t="inlineStr">
        <is>
          <t>DEMO_GYS_0323</t>
        </is>
      </c>
      <c r="J327" s="11" t="n">
        <v>45.9</v>
      </c>
      <c r="K327" s="11" t="n">
        <v>63.2</v>
      </c>
      <c r="L327" s="12" t="n">
        <v>50</v>
      </c>
      <c r="M327" s="10" t="inlineStr">
        <is>
          <t>是</t>
        </is>
      </c>
      <c r="N327" s="10" t="inlineStr">
        <is>
          <t>是</t>
        </is>
      </c>
      <c r="O327" s="10" t="inlineStr">
        <is>
          <t>supplier0323@example.com</t>
        </is>
      </c>
      <c r="P327" s="10" t="inlineStr">
        <is>
          <t>https://example.com/supplier/0323</t>
        </is>
      </c>
      <c r="Q327" s="10">
        <f>IF(R327&gt;=85,"A",IF(R327&gt;=70,"B","C"))</f>
        <v/>
      </c>
      <c r="R327" s="13">
        <f>MIN(100,50+IF(M327="是",10,0)+IF(N327="是",10,0)+IF(L327&lt;=100,10,IF(L327&lt;=300,5,0))+IF(J327&lt;=20,10,IF(J327&lt;=50,5,0))+IF(K327-J327&lt;=20,5,0)+IF(F327="企业官网",5,0))</f>
        <v/>
      </c>
      <c r="S327" s="10">
        <f>IF(Q327="A","价格与起订量有优势，建议优先询盘",IF(Q327="B","条件较均衡，可作为备选","起订量或价格需要进一步确认"))</f>
        <v/>
      </c>
      <c r="T327" s="10" t="inlineStr">
        <is>
          <t>未联系</t>
        </is>
      </c>
      <c r="U327" s="10" t="inlineStr">
        <is>
          <t>虚构演示数据</t>
        </is>
      </c>
    </row>
    <row r="328" ht="21" customHeight="1">
      <c r="A328" s="10" t="inlineStr">
        <is>
          <t>GYS-0324</t>
        </is>
      </c>
      <c r="B328" s="10" t="inlineStr">
        <is>
          <t>白沟厨房用品供应链0324有限公司（演示）</t>
        </is>
      </c>
      <c r="C328" s="10" t="inlineStr">
        <is>
          <t>厨房用品</t>
        </is>
      </c>
      <c r="D328" s="10" t="inlineStr">
        <is>
          <t>硅胶保鲜盒</t>
        </is>
      </c>
      <c r="E328" s="10" t="inlineStr">
        <is>
          <t>河北白沟</t>
        </is>
      </c>
      <c r="F328" s="10" t="inlineStr">
        <is>
          <t>1688</t>
        </is>
      </c>
      <c r="G328" s="10" t="inlineStr">
        <is>
          <t>张经理</t>
        </is>
      </c>
      <c r="H328" s="10" t="inlineStr">
        <is>
          <t>000-0000-0324</t>
        </is>
      </c>
      <c r="I328" s="10" t="inlineStr">
        <is>
          <t>DEMO_GYS_0324</t>
        </is>
      </c>
      <c r="J328" s="11" t="n">
        <v>47.6</v>
      </c>
      <c r="K328" s="11" t="n">
        <v>66</v>
      </c>
      <c r="L328" s="12" t="n">
        <v>20</v>
      </c>
      <c r="M328" s="10" t="inlineStr">
        <is>
          <t>否</t>
        </is>
      </c>
      <c r="N328" s="10" t="inlineStr">
        <is>
          <t>否</t>
        </is>
      </c>
      <c r="O328" s="10" t="inlineStr">
        <is>
          <t>supplier0324@example.com</t>
        </is>
      </c>
      <c r="P328" s="10" t="inlineStr">
        <is>
          <t>https://example.com/supplier/0324</t>
        </is>
      </c>
      <c r="Q328" s="10">
        <f>IF(R328&gt;=85,"A",IF(R328&gt;=70,"B","C"))</f>
        <v/>
      </c>
      <c r="R328" s="13">
        <f>MIN(100,50+IF(M328="是",10,0)+IF(N328="是",10,0)+IF(L328&lt;=100,10,IF(L328&lt;=300,5,0))+IF(J328&lt;=20,10,IF(J328&lt;=50,5,0))+IF(K328-J328&lt;=20,5,0)+IF(F328="企业官网",5,0))</f>
        <v/>
      </c>
      <c r="S328" s="10">
        <f>IF(Q328="A","价格与起订量有优势，建议优先询盘",IF(Q328="B","条件较均衡，可作为备选","起订量或价格需要进一步确认"))</f>
        <v/>
      </c>
      <c r="T328" s="10" t="inlineStr">
        <is>
          <t>未联系</t>
        </is>
      </c>
      <c r="U328" s="10" t="inlineStr">
        <is>
          <t>虚构演示数据</t>
        </is>
      </c>
    </row>
    <row r="329" ht="21" customHeight="1">
      <c r="A329" s="10" t="inlineStr">
        <is>
          <t>GYS-0325</t>
        </is>
      </c>
      <c r="B329" s="10" t="inlineStr">
        <is>
          <t>义乌数码配件供应链0325有限公司（演示）</t>
        </is>
      </c>
      <c r="C329" s="10" t="inlineStr">
        <is>
          <t>数码配件</t>
        </is>
      </c>
      <c r="D329" s="10" t="inlineStr">
        <is>
          <t>磁吸手机支架</t>
        </is>
      </c>
      <c r="E329" s="10" t="inlineStr">
        <is>
          <t>浙江义乌</t>
        </is>
      </c>
      <c r="F329" s="10" t="inlineStr">
        <is>
          <t>中国制造网</t>
        </is>
      </c>
      <c r="G329" s="10" t="inlineStr">
        <is>
          <t>刘经理</t>
        </is>
      </c>
      <c r="H329" s="10" t="inlineStr">
        <is>
          <t>000-0000-0325</t>
        </is>
      </c>
      <c r="I329" s="10" t="inlineStr">
        <is>
          <t>DEMO_GYS_0325</t>
        </is>
      </c>
      <c r="J329" s="11" t="n">
        <v>3.3</v>
      </c>
      <c r="K329" s="11" t="n">
        <v>22.8</v>
      </c>
      <c r="L329" s="12" t="n">
        <v>500</v>
      </c>
      <c r="M329" s="10" t="inlineStr">
        <is>
          <t>是</t>
        </is>
      </c>
      <c r="N329" s="10" t="inlineStr">
        <is>
          <t>是</t>
        </is>
      </c>
      <c r="O329" s="10" t="inlineStr">
        <is>
          <t>supplier0325@example.com</t>
        </is>
      </c>
      <c r="P329" s="10" t="inlineStr">
        <is>
          <t>https://example.com/supplier/0325</t>
        </is>
      </c>
      <c r="Q329" s="10">
        <f>IF(R329&gt;=85,"A",IF(R329&gt;=70,"B","C"))</f>
        <v/>
      </c>
      <c r="R329" s="13">
        <f>MIN(100,50+IF(M329="是",10,0)+IF(N329="是",10,0)+IF(L329&lt;=100,10,IF(L329&lt;=300,5,0))+IF(J329&lt;=20,10,IF(J329&lt;=50,5,0))+IF(K329-J329&lt;=20,5,0)+IF(F329="企业官网",5,0))</f>
        <v/>
      </c>
      <c r="S329" s="10">
        <f>IF(Q329="A","价格与起订量有优势，建议优先询盘",IF(Q329="B","条件较均衡，可作为备选","起订量或价格需要进一步确认"))</f>
        <v/>
      </c>
      <c r="T329" s="10" t="inlineStr">
        <is>
          <t>未联系</t>
        </is>
      </c>
      <c r="U329" s="10" t="inlineStr">
        <is>
          <t>虚构演示数据</t>
        </is>
      </c>
    </row>
    <row r="330" ht="21" customHeight="1">
      <c r="A330" s="10" t="inlineStr">
        <is>
          <t>GYS-0326</t>
        </is>
      </c>
      <c r="B330" s="10" t="inlineStr">
        <is>
          <t>台州宠物用品供应链0326有限公司（演示）</t>
        </is>
      </c>
      <c r="C330" s="10" t="inlineStr">
        <is>
          <t>宠物用品</t>
        </is>
      </c>
      <c r="D330" s="10" t="inlineStr">
        <is>
          <t>宠物清洁手套</t>
        </is>
      </c>
      <c r="E330" s="10" t="inlineStr">
        <is>
          <t>浙江台州</t>
        </is>
      </c>
      <c r="F330" s="10" t="inlineStr">
        <is>
          <t>企业官网</t>
        </is>
      </c>
      <c r="G330" s="10" t="inlineStr">
        <is>
          <t>黄经理</t>
        </is>
      </c>
      <c r="H330" s="10" t="inlineStr">
        <is>
          <t>000-0000-0326</t>
        </is>
      </c>
      <c r="I330" s="10" t="inlineStr">
        <is>
          <t>DEMO_GYS_0326</t>
        </is>
      </c>
      <c r="J330" s="11" t="n">
        <v>5</v>
      </c>
      <c r="K330" s="11" t="n">
        <v>25.6</v>
      </c>
      <c r="L330" s="12" t="n">
        <v>300</v>
      </c>
      <c r="M330" s="10" t="inlineStr">
        <is>
          <t>是</t>
        </is>
      </c>
      <c r="N330" s="10" t="inlineStr">
        <is>
          <t>是</t>
        </is>
      </c>
      <c r="O330" s="10" t="inlineStr">
        <is>
          <t>supplier0326@example.com</t>
        </is>
      </c>
      <c r="P330" s="10" t="inlineStr">
        <is>
          <t>https://example.com/supplier/0326</t>
        </is>
      </c>
      <c r="Q330" s="10">
        <f>IF(R330&gt;=85,"A",IF(R330&gt;=70,"B","C"))</f>
        <v/>
      </c>
      <c r="R330" s="13">
        <f>MIN(100,50+IF(M330="是",10,0)+IF(N330="是",10,0)+IF(L330&lt;=100,10,IF(L330&lt;=300,5,0))+IF(J330&lt;=20,10,IF(J330&lt;=50,5,0))+IF(K330-J330&lt;=20,5,0)+IF(F330="企业官网",5,0))</f>
        <v/>
      </c>
      <c r="S330" s="10">
        <f>IF(Q330="A","价格与起订量有优势，建议优先询盘",IF(Q330="B","条件较均衡，可作为备选","起订量或价格需要进一步确认"))</f>
        <v/>
      </c>
      <c r="T330" s="10" t="inlineStr">
        <is>
          <t>未联系</t>
        </is>
      </c>
      <c r="U330" s="10" t="inlineStr">
        <is>
          <t>虚构演示数据</t>
        </is>
      </c>
    </row>
    <row r="331" ht="21" customHeight="1">
      <c r="A331" s="10" t="inlineStr">
        <is>
          <t>GYS-0327</t>
        </is>
      </c>
      <c r="B331" s="10" t="inlineStr">
        <is>
          <t>东莞母婴用品供应链0327有限公司（演示）</t>
        </is>
      </c>
      <c r="C331" s="10" t="inlineStr">
        <is>
          <t>母婴用品</t>
        </is>
      </c>
      <c r="D331" s="10" t="inlineStr">
        <is>
          <t>婴儿防撞条</t>
        </is>
      </c>
      <c r="E331" s="10" t="inlineStr">
        <is>
          <t>广东东莞</t>
        </is>
      </c>
      <c r="F331" s="10" t="inlineStr">
        <is>
          <t>义乌购</t>
        </is>
      </c>
      <c r="G331" s="10" t="inlineStr">
        <is>
          <t>赵经理</t>
        </is>
      </c>
      <c r="H331" s="10" t="inlineStr">
        <is>
          <t>000-0000-0327</t>
        </is>
      </c>
      <c r="I331" s="10" t="inlineStr">
        <is>
          <t>DEMO_GYS_0327</t>
        </is>
      </c>
      <c r="J331" s="11" t="n">
        <v>6.7</v>
      </c>
      <c r="K331" s="11" t="n">
        <v>28.4</v>
      </c>
      <c r="L331" s="12" t="n">
        <v>200</v>
      </c>
      <c r="M331" s="10" t="inlineStr">
        <is>
          <t>是</t>
        </is>
      </c>
      <c r="N331" s="10" t="inlineStr">
        <is>
          <t>否</t>
        </is>
      </c>
      <c r="O331" s="10" t="inlineStr">
        <is>
          <t>supplier0327@example.com</t>
        </is>
      </c>
      <c r="P331" s="10" t="inlineStr">
        <is>
          <t>https://example.com/supplier/0327</t>
        </is>
      </c>
      <c r="Q331" s="10">
        <f>IF(R331&gt;=85,"A",IF(R331&gt;=70,"B","C"))</f>
        <v/>
      </c>
      <c r="R331" s="13">
        <f>MIN(100,50+IF(M331="是",10,0)+IF(N331="是",10,0)+IF(L331&lt;=100,10,IF(L331&lt;=300,5,0))+IF(J331&lt;=20,10,IF(J331&lt;=50,5,0))+IF(K331-J331&lt;=20,5,0)+IF(F331="企业官网",5,0))</f>
        <v/>
      </c>
      <c r="S331" s="10">
        <f>IF(Q331="A","价格与起订量有优势，建议优先询盘",IF(Q331="B","条件较均衡，可作为备选","起订量或价格需要进一步确认"))</f>
        <v/>
      </c>
      <c r="T331" s="10" t="inlineStr">
        <is>
          <t>未联系</t>
        </is>
      </c>
      <c r="U331" s="10" t="inlineStr">
        <is>
          <t>虚构演示数据</t>
        </is>
      </c>
    </row>
    <row r="332" ht="21" customHeight="1">
      <c r="A332" s="10" t="inlineStr">
        <is>
          <t>GYS-0328</t>
        </is>
      </c>
      <c r="B332" s="10" t="inlineStr">
        <is>
          <t>厦门运动户外供应链0328有限公司（演示）</t>
        </is>
      </c>
      <c r="C332" s="10" t="inlineStr">
        <is>
          <t>运动户外</t>
        </is>
      </c>
      <c r="D332" s="10" t="inlineStr">
        <is>
          <t>弹力训练带</t>
        </is>
      </c>
      <c r="E332" s="10" t="inlineStr">
        <is>
          <t>福建厦门</t>
        </is>
      </c>
      <c r="F332" s="10" t="inlineStr">
        <is>
          <t>慧聪网</t>
        </is>
      </c>
      <c r="G332" s="10" t="inlineStr">
        <is>
          <t>周经理</t>
        </is>
      </c>
      <c r="H332" s="10" t="inlineStr">
        <is>
          <t>000-0000-0328</t>
        </is>
      </c>
      <c r="I332" s="10" t="inlineStr">
        <is>
          <t>DEMO_GYS_0328</t>
        </is>
      </c>
      <c r="J332" s="11" t="n">
        <v>8.4</v>
      </c>
      <c r="K332" s="11" t="n">
        <v>13.2</v>
      </c>
      <c r="L332" s="12" t="n">
        <v>100</v>
      </c>
      <c r="M332" s="10" t="inlineStr">
        <is>
          <t>否</t>
        </is>
      </c>
      <c r="N332" s="10" t="inlineStr">
        <is>
          <t>是</t>
        </is>
      </c>
      <c r="O332" s="10" t="inlineStr">
        <is>
          <t>supplier0328@example.com</t>
        </is>
      </c>
      <c r="P332" s="10" t="inlineStr">
        <is>
          <t>https://example.com/supplier/0328</t>
        </is>
      </c>
      <c r="Q332" s="10">
        <f>IF(R332&gt;=85,"A",IF(R332&gt;=70,"B","C"))</f>
        <v/>
      </c>
      <c r="R332" s="13">
        <f>MIN(100,50+IF(M332="是",10,0)+IF(N332="是",10,0)+IF(L332&lt;=100,10,IF(L332&lt;=300,5,0))+IF(J332&lt;=20,10,IF(J332&lt;=50,5,0))+IF(K332-J332&lt;=20,5,0)+IF(F332="企业官网",5,0))</f>
        <v/>
      </c>
      <c r="S332" s="10">
        <f>IF(Q332="A","价格与起订量有优势，建议优先询盘",IF(Q332="B","条件较均衡，可作为备选","起订量或价格需要进一步确认"))</f>
        <v/>
      </c>
      <c r="T332" s="10" t="inlineStr">
        <is>
          <t>未联系</t>
        </is>
      </c>
      <c r="U332" s="10" t="inlineStr">
        <is>
          <t>虚构演示数据</t>
        </is>
      </c>
    </row>
    <row r="333" ht="21" customHeight="1">
      <c r="A333" s="10" t="inlineStr">
        <is>
          <t>GYS-0329</t>
        </is>
      </c>
      <c r="B333" s="10" t="inlineStr">
        <is>
          <t>临沂办公文具供应链0329有限公司（演示）</t>
        </is>
      </c>
      <c r="C333" s="10" t="inlineStr">
        <is>
          <t>办公文具</t>
        </is>
      </c>
      <c r="D333" s="10" t="inlineStr">
        <is>
          <t>桌面收纳架</t>
        </is>
      </c>
      <c r="E333" s="10" t="inlineStr">
        <is>
          <t>山东临沂</t>
        </is>
      </c>
      <c r="F333" s="10" t="inlineStr">
        <is>
          <t>1688</t>
        </is>
      </c>
      <c r="G333" s="10" t="inlineStr">
        <is>
          <t>吴经理</t>
        </is>
      </c>
      <c r="H333" s="10" t="inlineStr">
        <is>
          <t>000-0000-0329</t>
        </is>
      </c>
      <c r="I333" s="10" t="inlineStr">
        <is>
          <t>DEMO_GYS_0329</t>
        </is>
      </c>
      <c r="J333" s="11" t="n">
        <v>10.1</v>
      </c>
      <c r="K333" s="11" t="n">
        <v>16</v>
      </c>
      <c r="L333" s="12" t="n">
        <v>50</v>
      </c>
      <c r="M333" s="10" t="inlineStr">
        <is>
          <t>是</t>
        </is>
      </c>
      <c r="N333" s="10" t="inlineStr">
        <is>
          <t>是</t>
        </is>
      </c>
      <c r="O333" s="10" t="inlineStr">
        <is>
          <t>supplier0329@example.com</t>
        </is>
      </c>
      <c r="P333" s="10" t="inlineStr">
        <is>
          <t>https://example.com/supplier/0329</t>
        </is>
      </c>
      <c r="Q333" s="10">
        <f>IF(R333&gt;=85,"A",IF(R333&gt;=70,"B","C"))</f>
        <v/>
      </c>
      <c r="R333" s="13">
        <f>MIN(100,50+IF(M333="是",10,0)+IF(N333="是",10,0)+IF(L333&lt;=100,10,IF(L333&lt;=300,5,0))+IF(J333&lt;=20,10,IF(J333&lt;=50,5,0))+IF(K333-J333&lt;=20,5,0)+IF(F333="企业官网",5,0))</f>
        <v/>
      </c>
      <c r="S333" s="10">
        <f>IF(Q333="A","价格与起订量有优势，建议优先询盘",IF(Q333="B","条件较均衡，可作为备选","起订量或价格需要进一步确认"))</f>
        <v/>
      </c>
      <c r="T333" s="10" t="inlineStr">
        <is>
          <t>未联系</t>
        </is>
      </c>
      <c r="U333" s="10" t="inlineStr">
        <is>
          <t>虚构演示数据</t>
        </is>
      </c>
    </row>
    <row r="334" ht="21" customHeight="1">
      <c r="A334" s="10" t="inlineStr">
        <is>
          <t>GYS-0330</t>
        </is>
      </c>
      <c r="B334" s="10" t="inlineStr">
        <is>
          <t>南昌汽车用品供应链0330有限公司（演示）</t>
        </is>
      </c>
      <c r="C334" s="10" t="inlineStr">
        <is>
          <t>汽车用品</t>
        </is>
      </c>
      <c r="D334" s="10" t="inlineStr">
        <is>
          <t>车载香薰</t>
        </is>
      </c>
      <c r="E334" s="10" t="inlineStr">
        <is>
          <t>江西南昌</t>
        </is>
      </c>
      <c r="F334" s="10" t="inlineStr">
        <is>
          <t>中国制造网</t>
        </is>
      </c>
      <c r="G334" s="10" t="inlineStr">
        <is>
          <t>陈经理</t>
        </is>
      </c>
      <c r="H334" s="10" t="inlineStr">
        <is>
          <t>000-0000-0330</t>
        </is>
      </c>
      <c r="I334" s="10" t="inlineStr">
        <is>
          <t>DEMO_GYS_0330</t>
        </is>
      </c>
      <c r="J334" s="11" t="n">
        <v>11.8</v>
      </c>
      <c r="K334" s="11" t="n">
        <v>18.8</v>
      </c>
      <c r="L334" s="12" t="n">
        <v>20</v>
      </c>
      <c r="M334" s="10" t="inlineStr">
        <is>
          <t>是</t>
        </is>
      </c>
      <c r="N334" s="10" t="inlineStr">
        <is>
          <t>否</t>
        </is>
      </c>
      <c r="O334" s="10" t="inlineStr">
        <is>
          <t>supplier0330@example.com</t>
        </is>
      </c>
      <c r="P334" s="10" t="inlineStr">
        <is>
          <t>https://example.com/supplier/0330</t>
        </is>
      </c>
      <c r="Q334" s="10">
        <f>IF(R334&gt;=85,"A",IF(R334&gt;=70,"B","C"))</f>
        <v/>
      </c>
      <c r="R334" s="13">
        <f>MIN(100,50+IF(M334="是",10,0)+IF(N334="是",10,0)+IF(L334&lt;=100,10,IF(L334&lt;=300,5,0))+IF(J334&lt;=20,10,IF(J334&lt;=50,5,0))+IF(K334-J334&lt;=20,5,0)+IF(F334="企业官网",5,0))</f>
        <v/>
      </c>
      <c r="S334" s="10">
        <f>IF(Q334="A","价格与起订量有优势，建议优先询盘",IF(Q334="B","条件较均衡，可作为备选","起订量或价格需要进一步确认"))</f>
        <v/>
      </c>
      <c r="T334" s="10" t="inlineStr">
        <is>
          <t>未联系</t>
        </is>
      </c>
      <c r="U334" s="10" t="inlineStr">
        <is>
          <t>虚构演示数据</t>
        </is>
      </c>
    </row>
    <row r="335" ht="21" customHeight="1">
      <c r="A335" s="10" t="inlineStr">
        <is>
          <t>GYS-0331</t>
        </is>
      </c>
      <c r="B335" s="10" t="inlineStr">
        <is>
          <t>温州美容工具供应链0331有限公司（演示）</t>
        </is>
      </c>
      <c r="C335" s="10" t="inlineStr">
        <is>
          <t>美容工具</t>
        </is>
      </c>
      <c r="D335" s="10" t="inlineStr">
        <is>
          <t>便携化妆镜</t>
        </is>
      </c>
      <c r="E335" s="10" t="inlineStr">
        <is>
          <t>浙江温州</t>
        </is>
      </c>
      <c r="F335" s="10" t="inlineStr">
        <is>
          <t>企业官网</t>
        </is>
      </c>
      <c r="G335" s="10" t="inlineStr">
        <is>
          <t>林经理</t>
        </is>
      </c>
      <c r="H335" s="10" t="inlineStr">
        <is>
          <t>000-0000-0331</t>
        </is>
      </c>
      <c r="I335" s="10" t="inlineStr">
        <is>
          <t>DEMO_GYS_0331</t>
        </is>
      </c>
      <c r="J335" s="11" t="n">
        <v>13.5</v>
      </c>
      <c r="K335" s="11" t="n">
        <v>21.6</v>
      </c>
      <c r="L335" s="12" t="n">
        <v>500</v>
      </c>
      <c r="M335" s="10" t="inlineStr">
        <is>
          <t>是</t>
        </is>
      </c>
      <c r="N335" s="10" t="inlineStr">
        <is>
          <t>是</t>
        </is>
      </c>
      <c r="O335" s="10" t="inlineStr">
        <is>
          <t>supplier0331@example.com</t>
        </is>
      </c>
      <c r="P335" s="10" t="inlineStr">
        <is>
          <t>https://example.com/supplier/0331</t>
        </is>
      </c>
      <c r="Q335" s="10">
        <f>IF(R335&gt;=85,"A",IF(R335&gt;=70,"B","C"))</f>
        <v/>
      </c>
      <c r="R335" s="13">
        <f>MIN(100,50+IF(M335="是",10,0)+IF(N335="是",10,0)+IF(L335&lt;=100,10,IF(L335&lt;=300,5,0))+IF(J335&lt;=20,10,IF(J335&lt;=50,5,0))+IF(K335-J335&lt;=20,5,0)+IF(F335="企业官网",5,0))</f>
        <v/>
      </c>
      <c r="S335" s="10">
        <f>IF(Q335="A","价格与起订量有优势，建议优先询盘",IF(Q335="B","条件较均衡，可作为备选","起订量或价格需要进一步确认"))</f>
        <v/>
      </c>
      <c r="T335" s="10" t="inlineStr">
        <is>
          <t>未联系</t>
        </is>
      </c>
      <c r="U335" s="10" t="inlineStr">
        <is>
          <t>虚构演示数据</t>
        </is>
      </c>
    </row>
    <row r="336" ht="21" customHeight="1">
      <c r="A336" s="10" t="inlineStr">
        <is>
          <t>GYS-0332</t>
        </is>
      </c>
      <c r="B336" s="10" t="inlineStr">
        <is>
          <t>广州旅行用品供应链0332有限公司（演示）</t>
        </is>
      </c>
      <c r="C336" s="10" t="inlineStr">
        <is>
          <t>旅行用品</t>
        </is>
      </c>
      <c r="D336" s="10" t="inlineStr">
        <is>
          <t>压缩收纳袋</t>
        </is>
      </c>
      <c r="E336" s="10" t="inlineStr">
        <is>
          <t>广东广州</t>
        </is>
      </c>
      <c r="F336" s="10" t="inlineStr">
        <is>
          <t>义乌购</t>
        </is>
      </c>
      <c r="G336" s="10" t="inlineStr">
        <is>
          <t>王经理</t>
        </is>
      </c>
      <c r="H336" s="10" t="inlineStr">
        <is>
          <t>000-0000-0332</t>
        </is>
      </c>
      <c r="I336" s="10" t="inlineStr">
        <is>
          <t>DEMO_GYS_0332</t>
        </is>
      </c>
      <c r="J336" s="11" t="n">
        <v>15.2</v>
      </c>
      <c r="K336" s="11" t="n">
        <v>24.4</v>
      </c>
      <c r="L336" s="12" t="n">
        <v>300</v>
      </c>
      <c r="M336" s="10" t="inlineStr">
        <is>
          <t>否</t>
        </is>
      </c>
      <c r="N336" s="10" t="inlineStr">
        <is>
          <t>是</t>
        </is>
      </c>
      <c r="O336" s="10" t="inlineStr">
        <is>
          <t>supplier0332@example.com</t>
        </is>
      </c>
      <c r="P336" s="10" t="inlineStr">
        <is>
          <t>https://example.com/supplier/0332</t>
        </is>
      </c>
      <c r="Q336" s="10">
        <f>IF(R336&gt;=85,"A",IF(R336&gt;=70,"B","C"))</f>
        <v/>
      </c>
      <c r="R336" s="13">
        <f>MIN(100,50+IF(M336="是",10,0)+IF(N336="是",10,0)+IF(L336&lt;=100,10,IF(L336&lt;=300,5,0))+IF(J336&lt;=20,10,IF(J336&lt;=50,5,0))+IF(K336-J336&lt;=20,5,0)+IF(F336="企业官网",5,0))</f>
        <v/>
      </c>
      <c r="S336" s="10">
        <f>IF(Q336="A","价格与起订量有优势，建议优先询盘",IF(Q336="B","条件较均衡，可作为备选","起订量或价格需要进一步确认"))</f>
        <v/>
      </c>
      <c r="T336" s="10" t="inlineStr">
        <is>
          <t>未联系</t>
        </is>
      </c>
      <c r="U336" s="10" t="inlineStr">
        <is>
          <t>虚构演示数据</t>
        </is>
      </c>
    </row>
    <row r="337" ht="21" customHeight="1">
      <c r="A337" s="10" t="inlineStr">
        <is>
          <t>GYS-0333</t>
        </is>
      </c>
      <c r="B337" s="10" t="inlineStr">
        <is>
          <t>泉州清洁工具供应链0333有限公司（演示）</t>
        </is>
      </c>
      <c r="C337" s="10" t="inlineStr">
        <is>
          <t>清洁工具</t>
        </is>
      </c>
      <c r="D337" s="10" t="inlineStr">
        <is>
          <t>免手洗拖把</t>
        </is>
      </c>
      <c r="E337" s="10" t="inlineStr">
        <is>
          <t>福建泉州</t>
        </is>
      </c>
      <c r="F337" s="10" t="inlineStr">
        <is>
          <t>慧聪网</t>
        </is>
      </c>
      <c r="G337" s="10" t="inlineStr">
        <is>
          <t>李经理</t>
        </is>
      </c>
      <c r="H337" s="10" t="inlineStr">
        <is>
          <t>000-0000-0333</t>
        </is>
      </c>
      <c r="I337" s="10" t="inlineStr">
        <is>
          <t>DEMO_GYS_0333</t>
        </is>
      </c>
      <c r="J337" s="11" t="n">
        <v>16.9</v>
      </c>
      <c r="K337" s="11" t="n">
        <v>27.2</v>
      </c>
      <c r="L337" s="12" t="n">
        <v>200</v>
      </c>
      <c r="M337" s="10" t="inlineStr">
        <is>
          <t>是</t>
        </is>
      </c>
      <c r="N337" s="10" t="inlineStr">
        <is>
          <t>否</t>
        </is>
      </c>
      <c r="O337" s="10" t="inlineStr">
        <is>
          <t>supplier0333@example.com</t>
        </is>
      </c>
      <c r="P337" s="10" t="inlineStr">
        <is>
          <t>https://example.com/supplier/0333</t>
        </is>
      </c>
      <c r="Q337" s="10">
        <f>IF(R337&gt;=85,"A",IF(R337&gt;=70,"B","C"))</f>
        <v/>
      </c>
      <c r="R337" s="13">
        <f>MIN(100,50+IF(M337="是",10,0)+IF(N337="是",10,0)+IF(L337&lt;=100,10,IF(L337&lt;=300,5,0))+IF(J337&lt;=20,10,IF(J337&lt;=50,5,0))+IF(K337-J337&lt;=20,5,0)+IF(F337="企业官网",5,0))</f>
        <v/>
      </c>
      <c r="S337" s="10">
        <f>IF(Q337="A","价格与起订量有优势，建议优先询盘",IF(Q337="B","条件较均衡，可作为备选","起订量或价格需要进一步确认"))</f>
        <v/>
      </c>
      <c r="T337" s="10" t="inlineStr">
        <is>
          <t>未联系</t>
        </is>
      </c>
      <c r="U337" s="10" t="inlineStr">
        <is>
          <t>虚构演示数据</t>
        </is>
      </c>
    </row>
    <row r="338" ht="21" customHeight="1">
      <c r="A338" s="10" t="inlineStr">
        <is>
          <t>GYS-0334</t>
        </is>
      </c>
      <c r="B338" s="10" t="inlineStr">
        <is>
          <t>南通小家电供应链0334有限公司（演示）</t>
        </is>
      </c>
      <c r="C338" s="10" t="inlineStr">
        <is>
          <t>小家电</t>
        </is>
      </c>
      <c r="D338" s="10" t="inlineStr">
        <is>
          <t>迷你加湿器</t>
        </is>
      </c>
      <c r="E338" s="10" t="inlineStr">
        <is>
          <t>江苏南通</t>
        </is>
      </c>
      <c r="F338" s="10" t="inlineStr">
        <is>
          <t>1688</t>
        </is>
      </c>
      <c r="G338" s="10" t="inlineStr">
        <is>
          <t>张经理</t>
        </is>
      </c>
      <c r="H338" s="10" t="inlineStr">
        <is>
          <t>000-0000-0334</t>
        </is>
      </c>
      <c r="I338" s="10" t="inlineStr">
        <is>
          <t>DEMO_GYS_0334</t>
        </is>
      </c>
      <c r="J338" s="11" t="n">
        <v>18.6</v>
      </c>
      <c r="K338" s="11" t="n">
        <v>30</v>
      </c>
      <c r="L338" s="12" t="n">
        <v>100</v>
      </c>
      <c r="M338" s="10" t="inlineStr">
        <is>
          <t>是</t>
        </is>
      </c>
      <c r="N338" s="10" t="inlineStr">
        <is>
          <t>是</t>
        </is>
      </c>
      <c r="O338" s="10" t="inlineStr">
        <is>
          <t>supplier0334@example.com</t>
        </is>
      </c>
      <c r="P338" s="10" t="inlineStr">
        <is>
          <t>https://example.com/supplier/0334</t>
        </is>
      </c>
      <c r="Q338" s="10">
        <f>IF(R338&gt;=85,"A",IF(R338&gt;=70,"B","C"))</f>
        <v/>
      </c>
      <c r="R338" s="13">
        <f>MIN(100,50+IF(M338="是",10,0)+IF(N338="是",10,0)+IF(L338&lt;=100,10,IF(L338&lt;=300,5,0))+IF(J338&lt;=20,10,IF(J338&lt;=50,5,0))+IF(K338-J338&lt;=20,5,0)+IF(F338="企业官网",5,0))</f>
        <v/>
      </c>
      <c r="S338" s="10">
        <f>IF(Q338="A","价格与起订量有优势，建议优先询盘",IF(Q338="B","条件较均衡，可作为备选","起订量或价格需要进一步确认"))</f>
        <v/>
      </c>
      <c r="T338" s="10" t="inlineStr">
        <is>
          <t>未联系</t>
        </is>
      </c>
      <c r="U338" s="10" t="inlineStr">
        <is>
          <t>虚构演示数据</t>
        </is>
      </c>
    </row>
    <row r="339" ht="21" customHeight="1">
      <c r="A339" s="10" t="inlineStr">
        <is>
          <t>GYS-0335</t>
        </is>
      </c>
      <c r="B339" s="10" t="inlineStr">
        <is>
          <t>郑州礼品包装供应链0335有限公司（演示）</t>
        </is>
      </c>
      <c r="C339" s="10" t="inlineStr">
        <is>
          <t>礼品包装</t>
        </is>
      </c>
      <c r="D339" s="10" t="inlineStr">
        <is>
          <t>节日礼盒</t>
        </is>
      </c>
      <c r="E339" s="10" t="inlineStr">
        <is>
          <t>河南郑州</t>
        </is>
      </c>
      <c r="F339" s="10" t="inlineStr">
        <is>
          <t>中国制造网</t>
        </is>
      </c>
      <c r="G339" s="10" t="inlineStr">
        <is>
          <t>刘经理</t>
        </is>
      </c>
      <c r="H339" s="10" t="inlineStr">
        <is>
          <t>000-0000-0335</t>
        </is>
      </c>
      <c r="I339" s="10" t="inlineStr">
        <is>
          <t>DEMO_GYS_0335</t>
        </is>
      </c>
      <c r="J339" s="11" t="n">
        <v>20.3</v>
      </c>
      <c r="K339" s="11" t="n">
        <v>32.8</v>
      </c>
      <c r="L339" s="12" t="n">
        <v>50</v>
      </c>
      <c r="M339" s="10" t="inlineStr">
        <is>
          <t>是</t>
        </is>
      </c>
      <c r="N339" s="10" t="inlineStr">
        <is>
          <t>是</t>
        </is>
      </c>
      <c r="O339" s="10" t="inlineStr">
        <is>
          <t>supplier0335@example.com</t>
        </is>
      </c>
      <c r="P339" s="10" t="inlineStr">
        <is>
          <t>https://example.com/supplier/0335</t>
        </is>
      </c>
      <c r="Q339" s="10">
        <f>IF(R339&gt;=85,"A",IF(R339&gt;=70,"B","C"))</f>
        <v/>
      </c>
      <c r="R339" s="13">
        <f>MIN(100,50+IF(M339="是",10,0)+IF(N339="是",10,0)+IF(L339&lt;=100,10,IF(L339&lt;=300,5,0))+IF(J339&lt;=20,10,IF(J339&lt;=50,5,0))+IF(K339-J339&lt;=20,5,0)+IF(F339="企业官网",5,0))</f>
        <v/>
      </c>
      <c r="S339" s="10">
        <f>IF(Q339="A","价格与起订量有优势，建议优先询盘",IF(Q339="B","条件较均衡，可作为备选","起订量或价格需要进一步确认"))</f>
        <v/>
      </c>
      <c r="T339" s="10" t="inlineStr">
        <is>
          <t>未联系</t>
        </is>
      </c>
      <c r="U339" s="10" t="inlineStr">
        <is>
          <t>虚构演示数据</t>
        </is>
      </c>
    </row>
    <row r="340" ht="21" customHeight="1">
      <c r="A340" s="10" t="inlineStr">
        <is>
          <t>GYS-0336</t>
        </is>
      </c>
      <c r="B340" s="10" t="inlineStr">
        <is>
          <t>宁波五金工具供应链0336有限公司（演示）</t>
        </is>
      </c>
      <c r="C340" s="10" t="inlineStr">
        <is>
          <t>五金工具</t>
        </is>
      </c>
      <c r="D340" s="10" t="inlineStr">
        <is>
          <t>多功能螺丝刀</t>
        </is>
      </c>
      <c r="E340" s="10" t="inlineStr">
        <is>
          <t>浙江宁波</t>
        </is>
      </c>
      <c r="F340" s="10" t="inlineStr">
        <is>
          <t>企业官网</t>
        </is>
      </c>
      <c r="G340" s="10" t="inlineStr">
        <is>
          <t>黄经理</t>
        </is>
      </c>
      <c r="H340" s="10" t="inlineStr">
        <is>
          <t>000-0000-0336</t>
        </is>
      </c>
      <c r="I340" s="10" t="inlineStr">
        <is>
          <t>DEMO_GYS_0336</t>
        </is>
      </c>
      <c r="J340" s="11" t="n">
        <v>22</v>
      </c>
      <c r="K340" s="11" t="n">
        <v>35.6</v>
      </c>
      <c r="L340" s="12" t="n">
        <v>20</v>
      </c>
      <c r="M340" s="10" t="inlineStr">
        <is>
          <t>否</t>
        </is>
      </c>
      <c r="N340" s="10" t="inlineStr">
        <is>
          <t>否</t>
        </is>
      </c>
      <c r="O340" s="10" t="inlineStr">
        <is>
          <t>supplier0336@example.com</t>
        </is>
      </c>
      <c r="P340" s="10" t="inlineStr">
        <is>
          <t>https://example.com/supplier/0336</t>
        </is>
      </c>
      <c r="Q340" s="10">
        <f>IF(R340&gt;=85,"A",IF(R340&gt;=70,"B","C"))</f>
        <v/>
      </c>
      <c r="R340" s="13">
        <f>MIN(100,50+IF(M340="是",10,0)+IF(N340="是",10,0)+IF(L340&lt;=100,10,IF(L340&lt;=300,5,0))+IF(J340&lt;=20,10,IF(J340&lt;=50,5,0))+IF(K340-J340&lt;=20,5,0)+IF(F340="企业官网",5,0))</f>
        <v/>
      </c>
      <c r="S340" s="10">
        <f>IF(Q340="A","价格与起订量有优势，建议优先询盘",IF(Q340="B","条件较均衡，可作为备选","起订量或价格需要进一步确认"))</f>
        <v/>
      </c>
      <c r="T340" s="10" t="inlineStr">
        <is>
          <t>未联系</t>
        </is>
      </c>
      <c r="U340" s="10" t="inlineStr">
        <is>
          <t>虚构演示数据</t>
        </is>
      </c>
    </row>
    <row r="341" ht="21" customHeight="1">
      <c r="A341" s="10" t="inlineStr">
        <is>
          <t>GYS-0337</t>
        </is>
      </c>
      <c r="B341" s="10" t="inlineStr">
        <is>
          <t>深圳鞋靴配件供应链0337有限公司（演示）</t>
        </is>
      </c>
      <c r="C341" s="10" t="inlineStr">
        <is>
          <t>鞋靴配件</t>
        </is>
      </c>
      <c r="D341" s="10" t="inlineStr">
        <is>
          <t>防磨脚贴</t>
        </is>
      </c>
      <c r="E341" s="10" t="inlineStr">
        <is>
          <t>广东深圳</t>
        </is>
      </c>
      <c r="F341" s="10" t="inlineStr">
        <is>
          <t>义乌购</t>
        </is>
      </c>
      <c r="G341" s="10" t="inlineStr">
        <is>
          <t>赵经理</t>
        </is>
      </c>
      <c r="H341" s="10" t="inlineStr">
        <is>
          <t>000-0000-0337</t>
        </is>
      </c>
      <c r="I341" s="10" t="inlineStr">
        <is>
          <t>DEMO_GYS_0337</t>
        </is>
      </c>
      <c r="J341" s="11" t="n">
        <v>23.7</v>
      </c>
      <c r="K341" s="11" t="n">
        <v>38.4</v>
      </c>
      <c r="L341" s="12" t="n">
        <v>500</v>
      </c>
      <c r="M341" s="10" t="inlineStr">
        <is>
          <t>是</t>
        </is>
      </c>
      <c r="N341" s="10" t="inlineStr">
        <is>
          <t>是</t>
        </is>
      </c>
      <c r="O341" s="10" t="inlineStr">
        <is>
          <t>supplier0337@example.com</t>
        </is>
      </c>
      <c r="P341" s="10" t="inlineStr">
        <is>
          <t>https://example.com/supplier/0337</t>
        </is>
      </c>
      <c r="Q341" s="10">
        <f>IF(R341&gt;=85,"A",IF(R341&gt;=70,"B","C"))</f>
        <v/>
      </c>
      <c r="R341" s="13">
        <f>MIN(100,50+IF(M341="是",10,0)+IF(N341="是",10,0)+IF(L341&lt;=100,10,IF(L341&lt;=300,5,0))+IF(J341&lt;=20,10,IF(J341&lt;=50,5,0))+IF(K341-J341&lt;=20,5,0)+IF(F341="企业官网",5,0))</f>
        <v/>
      </c>
      <c r="S341" s="10">
        <f>IF(Q341="A","价格与起订量有优势，建议优先询盘",IF(Q341="B","条件较均衡，可作为备选","起订量或价格需要进一步确认"))</f>
        <v/>
      </c>
      <c r="T341" s="10" t="inlineStr">
        <is>
          <t>未联系</t>
        </is>
      </c>
      <c r="U341" s="10" t="inlineStr">
        <is>
          <t>虚构演示数据</t>
        </is>
      </c>
    </row>
    <row r="342" ht="21" customHeight="1">
      <c r="A342" s="10" t="inlineStr">
        <is>
          <t>GYS-0338</t>
        </is>
      </c>
      <c r="B342" s="10" t="inlineStr">
        <is>
          <t>佛山食品包装供应链0338有限公司（演示）</t>
        </is>
      </c>
      <c r="C342" s="10" t="inlineStr">
        <is>
          <t>食品包装</t>
        </is>
      </c>
      <c r="D342" s="10" t="inlineStr">
        <is>
          <t>密封包装袋</t>
        </is>
      </c>
      <c r="E342" s="10" t="inlineStr">
        <is>
          <t>广东佛山</t>
        </is>
      </c>
      <c r="F342" s="10" t="inlineStr">
        <is>
          <t>慧聪网</t>
        </is>
      </c>
      <c r="G342" s="10" t="inlineStr">
        <is>
          <t>周经理</t>
        </is>
      </c>
      <c r="H342" s="10" t="inlineStr">
        <is>
          <t>000-0000-0338</t>
        </is>
      </c>
      <c r="I342" s="10" t="inlineStr">
        <is>
          <t>DEMO_GYS_0338</t>
        </is>
      </c>
      <c r="J342" s="11" t="n">
        <v>25.4</v>
      </c>
      <c r="K342" s="11" t="n">
        <v>41.2</v>
      </c>
      <c r="L342" s="12" t="n">
        <v>300</v>
      </c>
      <c r="M342" s="10" t="inlineStr">
        <is>
          <t>是</t>
        </is>
      </c>
      <c r="N342" s="10" t="inlineStr">
        <is>
          <t>是</t>
        </is>
      </c>
      <c r="O342" s="10" t="inlineStr">
        <is>
          <t>supplier0338@example.com</t>
        </is>
      </c>
      <c r="P342" s="10" t="inlineStr">
        <is>
          <t>https://example.com/supplier/0338</t>
        </is>
      </c>
      <c r="Q342" s="10">
        <f>IF(R342&gt;=85,"A",IF(R342&gt;=70,"B","C"))</f>
        <v/>
      </c>
      <c r="R342" s="13">
        <f>MIN(100,50+IF(M342="是",10,0)+IF(N342="是",10,0)+IF(L342&lt;=100,10,IF(L342&lt;=300,5,0))+IF(J342&lt;=20,10,IF(J342&lt;=50,5,0))+IF(K342-J342&lt;=20,5,0)+IF(F342="企业官网",5,0))</f>
        <v/>
      </c>
      <c r="S342" s="10">
        <f>IF(Q342="A","价格与起订量有优势，建议优先询盘",IF(Q342="B","条件较均衡，可作为备选","起订量或价格需要进一步确认"))</f>
        <v/>
      </c>
      <c r="T342" s="10" t="inlineStr">
        <is>
          <t>未联系</t>
        </is>
      </c>
      <c r="U342" s="10" t="inlineStr">
        <is>
          <t>虚构演示数据</t>
        </is>
      </c>
    </row>
    <row r="343" ht="21" customHeight="1">
      <c r="A343" s="10" t="inlineStr">
        <is>
          <t>GYS-0339</t>
        </is>
      </c>
      <c r="B343" s="10" t="inlineStr">
        <is>
          <t>苏州户外照明供应链0339有限公司（演示）</t>
        </is>
      </c>
      <c r="C343" s="10" t="inlineStr">
        <is>
          <t>户外照明</t>
        </is>
      </c>
      <c r="D343" s="10" t="inlineStr">
        <is>
          <t>便携露营灯</t>
        </is>
      </c>
      <c r="E343" s="10" t="inlineStr">
        <is>
          <t>江苏苏州</t>
        </is>
      </c>
      <c r="F343" s="10" t="inlineStr">
        <is>
          <t>1688</t>
        </is>
      </c>
      <c r="G343" s="10" t="inlineStr">
        <is>
          <t>吴经理</t>
        </is>
      </c>
      <c r="H343" s="10" t="inlineStr">
        <is>
          <t>000-0000-0339</t>
        </is>
      </c>
      <c r="I343" s="10" t="inlineStr">
        <is>
          <t>DEMO_GYS_0339</t>
        </is>
      </c>
      <c r="J343" s="11" t="n">
        <v>27.1</v>
      </c>
      <c r="K343" s="11" t="n">
        <v>44</v>
      </c>
      <c r="L343" s="12" t="n">
        <v>200</v>
      </c>
      <c r="M343" s="10" t="inlineStr">
        <is>
          <t>是</t>
        </is>
      </c>
      <c r="N343" s="10" t="inlineStr">
        <is>
          <t>否</t>
        </is>
      </c>
      <c r="O343" s="10" t="inlineStr">
        <is>
          <t>supplier0339@example.com</t>
        </is>
      </c>
      <c r="P343" s="10" t="inlineStr">
        <is>
          <t>https://example.com/supplier/0339</t>
        </is>
      </c>
      <c r="Q343" s="10">
        <f>IF(R343&gt;=85,"A",IF(R343&gt;=70,"B","C"))</f>
        <v/>
      </c>
      <c r="R343" s="13">
        <f>MIN(100,50+IF(M343="是",10,0)+IF(N343="是",10,0)+IF(L343&lt;=100,10,IF(L343&lt;=300,5,0))+IF(J343&lt;=20,10,IF(J343&lt;=50,5,0))+IF(K343-J343&lt;=20,5,0)+IF(F343="企业官网",5,0))</f>
        <v/>
      </c>
      <c r="S343" s="10">
        <f>IF(Q343="A","价格与起订量有优势，建议优先询盘",IF(Q343="B","条件较均衡，可作为备选","起订量或价格需要进一步确认"))</f>
        <v/>
      </c>
      <c r="T343" s="10" t="inlineStr">
        <is>
          <t>未联系</t>
        </is>
      </c>
      <c r="U343" s="10" t="inlineStr">
        <is>
          <t>虚构演示数据</t>
        </is>
      </c>
    </row>
    <row r="344" ht="21" customHeight="1">
      <c r="A344" s="10" t="inlineStr">
        <is>
          <t>GYS-0340</t>
        </is>
      </c>
      <c r="B344" s="10" t="inlineStr">
        <is>
          <t>白沟健康用品供应链0340有限公司（演示）</t>
        </is>
      </c>
      <c r="C344" s="10" t="inlineStr">
        <is>
          <t>健康用品</t>
        </is>
      </c>
      <c r="D344" s="10" t="inlineStr">
        <is>
          <t>热敷眼罩</t>
        </is>
      </c>
      <c r="E344" s="10" t="inlineStr">
        <is>
          <t>河北白沟</t>
        </is>
      </c>
      <c r="F344" s="10" t="inlineStr">
        <is>
          <t>中国制造网</t>
        </is>
      </c>
      <c r="G344" s="10" t="inlineStr">
        <is>
          <t>陈经理</t>
        </is>
      </c>
      <c r="H344" s="10" t="inlineStr">
        <is>
          <t>000-0000-0340</t>
        </is>
      </c>
      <c r="I344" s="10" t="inlineStr">
        <is>
          <t>DEMO_GYS_0340</t>
        </is>
      </c>
      <c r="J344" s="11" t="n">
        <v>28.8</v>
      </c>
      <c r="K344" s="11" t="n">
        <v>46.8</v>
      </c>
      <c r="L344" s="12" t="n">
        <v>100</v>
      </c>
      <c r="M344" s="10" t="inlineStr">
        <is>
          <t>否</t>
        </is>
      </c>
      <c r="N344" s="10" t="inlineStr">
        <is>
          <t>是</t>
        </is>
      </c>
      <c r="O344" s="10" t="inlineStr">
        <is>
          <t>supplier0340@example.com</t>
        </is>
      </c>
      <c r="P344" s="10" t="inlineStr">
        <is>
          <t>https://example.com/supplier/0340</t>
        </is>
      </c>
      <c r="Q344" s="10">
        <f>IF(R344&gt;=85,"A",IF(R344&gt;=70,"B","C"))</f>
        <v/>
      </c>
      <c r="R344" s="13">
        <f>MIN(100,50+IF(M344="是",10,0)+IF(N344="是",10,0)+IF(L344&lt;=100,10,IF(L344&lt;=300,5,0))+IF(J344&lt;=20,10,IF(J344&lt;=50,5,0))+IF(K344-J344&lt;=20,5,0)+IF(F344="企业官网",5,0))</f>
        <v/>
      </c>
      <c r="S344" s="10">
        <f>IF(Q344="A","价格与起订量有优势，建议优先询盘",IF(Q344="B","条件较均衡，可作为备选","起订量或价格需要进一步确认"))</f>
        <v/>
      </c>
      <c r="T344" s="10" t="inlineStr">
        <is>
          <t>未联系</t>
        </is>
      </c>
      <c r="U344" s="10" t="inlineStr">
        <is>
          <t>虚构演示数据</t>
        </is>
      </c>
    </row>
    <row r="345" ht="21" customHeight="1">
      <c r="A345" s="10" t="inlineStr">
        <is>
          <t>GYS-0341</t>
        </is>
      </c>
      <c r="B345" s="10" t="inlineStr">
        <is>
          <t>义乌服饰内衣供应链0341有限公司（演示）</t>
        </is>
      </c>
      <c r="C345" s="10" t="inlineStr">
        <is>
          <t>服饰内衣</t>
        </is>
      </c>
      <c r="D345" s="10" t="inlineStr">
        <is>
          <t>防滑袜</t>
        </is>
      </c>
      <c r="E345" s="10" t="inlineStr">
        <is>
          <t>浙江义乌</t>
        </is>
      </c>
      <c r="F345" s="10" t="inlineStr">
        <is>
          <t>企业官网</t>
        </is>
      </c>
      <c r="G345" s="10" t="inlineStr">
        <is>
          <t>林经理</t>
        </is>
      </c>
      <c r="H345" s="10" t="inlineStr">
        <is>
          <t>000-0000-0341</t>
        </is>
      </c>
      <c r="I345" s="10" t="inlineStr">
        <is>
          <t>DEMO_GYS_0341</t>
        </is>
      </c>
      <c r="J345" s="11" t="n">
        <v>30.5</v>
      </c>
      <c r="K345" s="11" t="n">
        <v>49.6</v>
      </c>
      <c r="L345" s="12" t="n">
        <v>50</v>
      </c>
      <c r="M345" s="10" t="inlineStr">
        <is>
          <t>是</t>
        </is>
      </c>
      <c r="N345" s="10" t="inlineStr">
        <is>
          <t>是</t>
        </is>
      </c>
      <c r="O345" s="10" t="inlineStr">
        <is>
          <t>supplier0341@example.com</t>
        </is>
      </c>
      <c r="P345" s="10" t="inlineStr">
        <is>
          <t>https://example.com/supplier/0341</t>
        </is>
      </c>
      <c r="Q345" s="10">
        <f>IF(R345&gt;=85,"A",IF(R345&gt;=70,"B","C"))</f>
        <v/>
      </c>
      <c r="R345" s="13">
        <f>MIN(100,50+IF(M345="是",10,0)+IF(N345="是",10,0)+IF(L345&lt;=100,10,IF(L345&lt;=300,5,0))+IF(J345&lt;=20,10,IF(J345&lt;=50,5,0))+IF(K345-J345&lt;=20,5,0)+IF(F345="企业官网",5,0))</f>
        <v/>
      </c>
      <c r="S345" s="10">
        <f>IF(Q345="A","价格与起订量有优势，建议优先询盘",IF(Q345="B","条件较均衡，可作为备选","起订量或价格需要进一步确认"))</f>
        <v/>
      </c>
      <c r="T345" s="10" t="inlineStr">
        <is>
          <t>未联系</t>
        </is>
      </c>
      <c r="U345" s="10" t="inlineStr">
        <is>
          <t>虚构演示数据</t>
        </is>
      </c>
    </row>
    <row r="346" ht="21" customHeight="1">
      <c r="A346" s="10" t="inlineStr">
        <is>
          <t>GYS-0342</t>
        </is>
      </c>
      <c r="B346" s="10" t="inlineStr">
        <is>
          <t>台州家居日用供应链0342有限公司（演示）</t>
        </is>
      </c>
      <c r="C346" s="10" t="inlineStr">
        <is>
          <t>家居日用</t>
        </is>
      </c>
      <c r="D346" s="10" t="inlineStr">
        <is>
          <t>折叠收纳箱</t>
        </is>
      </c>
      <c r="E346" s="10" t="inlineStr">
        <is>
          <t>浙江台州</t>
        </is>
      </c>
      <c r="F346" s="10" t="inlineStr">
        <is>
          <t>义乌购</t>
        </is>
      </c>
      <c r="G346" s="10" t="inlineStr">
        <is>
          <t>王经理</t>
        </is>
      </c>
      <c r="H346" s="10" t="inlineStr">
        <is>
          <t>000-0000-0342</t>
        </is>
      </c>
      <c r="I346" s="10" t="inlineStr">
        <is>
          <t>DEMO_GYS_0342</t>
        </is>
      </c>
      <c r="J346" s="11" t="n">
        <v>32.2</v>
      </c>
      <c r="K346" s="11" t="n">
        <v>52.4</v>
      </c>
      <c r="L346" s="12" t="n">
        <v>20</v>
      </c>
      <c r="M346" s="10" t="inlineStr">
        <is>
          <t>是</t>
        </is>
      </c>
      <c r="N346" s="10" t="inlineStr">
        <is>
          <t>否</t>
        </is>
      </c>
      <c r="O346" s="10" t="inlineStr">
        <is>
          <t>supplier0342@example.com</t>
        </is>
      </c>
      <c r="P346" s="10" t="inlineStr">
        <is>
          <t>https://example.com/supplier/0342</t>
        </is>
      </c>
      <c r="Q346" s="10">
        <f>IF(R346&gt;=85,"A",IF(R346&gt;=70,"B","C"))</f>
        <v/>
      </c>
      <c r="R346" s="13">
        <f>MIN(100,50+IF(M346="是",10,0)+IF(N346="是",10,0)+IF(L346&lt;=100,10,IF(L346&lt;=300,5,0))+IF(J346&lt;=20,10,IF(J346&lt;=50,5,0))+IF(K346-J346&lt;=20,5,0)+IF(F346="企业官网",5,0))</f>
        <v/>
      </c>
      <c r="S346" s="10">
        <f>IF(Q346="A","价格与起订量有优势，建议优先询盘",IF(Q346="B","条件较均衡，可作为备选","起订量或价格需要进一步确认"))</f>
        <v/>
      </c>
      <c r="T346" s="10" t="inlineStr">
        <is>
          <t>未联系</t>
        </is>
      </c>
      <c r="U346" s="10" t="inlineStr">
        <is>
          <t>虚构演示数据</t>
        </is>
      </c>
    </row>
    <row r="347" ht="21" customHeight="1">
      <c r="A347" s="10" t="inlineStr">
        <is>
          <t>GYS-0343</t>
        </is>
      </c>
      <c r="B347" s="10" t="inlineStr">
        <is>
          <t>东莞个护清洁供应链0343有限公司（演示）</t>
        </is>
      </c>
      <c r="C347" s="10" t="inlineStr">
        <is>
          <t>个护清洁</t>
        </is>
      </c>
      <c r="D347" s="10" t="inlineStr">
        <is>
          <t>便携洗脸巾</t>
        </is>
      </c>
      <c r="E347" s="10" t="inlineStr">
        <is>
          <t>广东东莞</t>
        </is>
      </c>
      <c r="F347" s="10" t="inlineStr">
        <is>
          <t>慧聪网</t>
        </is>
      </c>
      <c r="G347" s="10" t="inlineStr">
        <is>
          <t>李经理</t>
        </is>
      </c>
      <c r="H347" s="10" t="inlineStr">
        <is>
          <t>000-0000-0343</t>
        </is>
      </c>
      <c r="I347" s="10" t="inlineStr">
        <is>
          <t>DEMO_GYS_0343</t>
        </is>
      </c>
      <c r="J347" s="11" t="n">
        <v>33.9</v>
      </c>
      <c r="K347" s="11" t="n">
        <v>55.2</v>
      </c>
      <c r="L347" s="12" t="n">
        <v>500</v>
      </c>
      <c r="M347" s="10" t="inlineStr">
        <is>
          <t>是</t>
        </is>
      </c>
      <c r="N347" s="10" t="inlineStr">
        <is>
          <t>是</t>
        </is>
      </c>
      <c r="O347" s="10" t="inlineStr">
        <is>
          <t>supplier0343@example.com</t>
        </is>
      </c>
      <c r="P347" s="10" t="inlineStr">
        <is>
          <t>https://example.com/supplier/0343</t>
        </is>
      </c>
      <c r="Q347" s="10">
        <f>IF(R347&gt;=85,"A",IF(R347&gt;=70,"B","C"))</f>
        <v/>
      </c>
      <c r="R347" s="13">
        <f>MIN(100,50+IF(M347="是",10,0)+IF(N347="是",10,0)+IF(L347&lt;=100,10,IF(L347&lt;=300,5,0))+IF(J347&lt;=20,10,IF(J347&lt;=50,5,0))+IF(K347-J347&lt;=20,5,0)+IF(F347="企业官网",5,0))</f>
        <v/>
      </c>
      <c r="S347" s="10">
        <f>IF(Q347="A","价格与起订量有优势，建议优先询盘",IF(Q347="B","条件较均衡，可作为备选","起订量或价格需要进一步确认"))</f>
        <v/>
      </c>
      <c r="T347" s="10" t="inlineStr">
        <is>
          <t>未联系</t>
        </is>
      </c>
      <c r="U347" s="10" t="inlineStr">
        <is>
          <t>虚构演示数据</t>
        </is>
      </c>
    </row>
    <row r="348" ht="21" customHeight="1">
      <c r="A348" s="10" t="inlineStr">
        <is>
          <t>GYS-0344</t>
        </is>
      </c>
      <c r="B348" s="10" t="inlineStr">
        <is>
          <t>厦门厨房用品供应链0344有限公司（演示）</t>
        </is>
      </c>
      <c r="C348" s="10" t="inlineStr">
        <is>
          <t>厨房用品</t>
        </is>
      </c>
      <c r="D348" s="10" t="inlineStr">
        <is>
          <t>硅胶保鲜盒</t>
        </is>
      </c>
      <c r="E348" s="10" t="inlineStr">
        <is>
          <t>福建厦门</t>
        </is>
      </c>
      <c r="F348" s="10" t="inlineStr">
        <is>
          <t>1688</t>
        </is>
      </c>
      <c r="G348" s="10" t="inlineStr">
        <is>
          <t>张经理</t>
        </is>
      </c>
      <c r="H348" s="10" t="inlineStr">
        <is>
          <t>000-0000-0344</t>
        </is>
      </c>
      <c r="I348" s="10" t="inlineStr">
        <is>
          <t>DEMO_GYS_0344</t>
        </is>
      </c>
      <c r="J348" s="11" t="n">
        <v>35.6</v>
      </c>
      <c r="K348" s="11" t="n">
        <v>40</v>
      </c>
      <c r="L348" s="12" t="n">
        <v>300</v>
      </c>
      <c r="M348" s="10" t="inlineStr">
        <is>
          <t>否</t>
        </is>
      </c>
      <c r="N348" s="10" t="inlineStr">
        <is>
          <t>是</t>
        </is>
      </c>
      <c r="O348" s="10" t="inlineStr">
        <is>
          <t>supplier0344@example.com</t>
        </is>
      </c>
      <c r="P348" s="10" t="inlineStr">
        <is>
          <t>https://example.com/supplier/0344</t>
        </is>
      </c>
      <c r="Q348" s="10">
        <f>IF(R348&gt;=85,"A",IF(R348&gt;=70,"B","C"))</f>
        <v/>
      </c>
      <c r="R348" s="13">
        <f>MIN(100,50+IF(M348="是",10,0)+IF(N348="是",10,0)+IF(L348&lt;=100,10,IF(L348&lt;=300,5,0))+IF(J348&lt;=20,10,IF(J348&lt;=50,5,0))+IF(K348-J348&lt;=20,5,0)+IF(F348="企业官网",5,0))</f>
        <v/>
      </c>
      <c r="S348" s="10">
        <f>IF(Q348="A","价格与起订量有优势，建议优先询盘",IF(Q348="B","条件较均衡，可作为备选","起订量或价格需要进一步确认"))</f>
        <v/>
      </c>
      <c r="T348" s="10" t="inlineStr">
        <is>
          <t>未联系</t>
        </is>
      </c>
      <c r="U348" s="10" t="inlineStr">
        <is>
          <t>虚构演示数据</t>
        </is>
      </c>
    </row>
    <row r="349" ht="21" customHeight="1">
      <c r="A349" s="10" t="inlineStr">
        <is>
          <t>GYS-0345</t>
        </is>
      </c>
      <c r="B349" s="10" t="inlineStr">
        <is>
          <t>临沂数码配件供应链0345有限公司（演示）</t>
        </is>
      </c>
      <c r="C349" s="10" t="inlineStr">
        <is>
          <t>数码配件</t>
        </is>
      </c>
      <c r="D349" s="10" t="inlineStr">
        <is>
          <t>磁吸手机支架</t>
        </is>
      </c>
      <c r="E349" s="10" t="inlineStr">
        <is>
          <t>山东临沂</t>
        </is>
      </c>
      <c r="F349" s="10" t="inlineStr">
        <is>
          <t>中国制造网</t>
        </is>
      </c>
      <c r="G349" s="10" t="inlineStr">
        <is>
          <t>刘经理</t>
        </is>
      </c>
      <c r="H349" s="10" t="inlineStr">
        <is>
          <t>000-0000-0345</t>
        </is>
      </c>
      <c r="I349" s="10" t="inlineStr">
        <is>
          <t>DEMO_GYS_0345</t>
        </is>
      </c>
      <c r="J349" s="11" t="n">
        <v>37.3</v>
      </c>
      <c r="K349" s="11" t="n">
        <v>42.8</v>
      </c>
      <c r="L349" s="12" t="n">
        <v>200</v>
      </c>
      <c r="M349" s="10" t="inlineStr">
        <is>
          <t>是</t>
        </is>
      </c>
      <c r="N349" s="10" t="inlineStr">
        <is>
          <t>否</t>
        </is>
      </c>
      <c r="O349" s="10" t="inlineStr">
        <is>
          <t>supplier0345@example.com</t>
        </is>
      </c>
      <c r="P349" s="10" t="inlineStr">
        <is>
          <t>https://example.com/supplier/0345</t>
        </is>
      </c>
      <c r="Q349" s="10">
        <f>IF(R349&gt;=85,"A",IF(R349&gt;=70,"B","C"))</f>
        <v/>
      </c>
      <c r="R349" s="13">
        <f>MIN(100,50+IF(M349="是",10,0)+IF(N349="是",10,0)+IF(L349&lt;=100,10,IF(L349&lt;=300,5,0))+IF(J349&lt;=20,10,IF(J349&lt;=50,5,0))+IF(K349-J349&lt;=20,5,0)+IF(F349="企业官网",5,0))</f>
        <v/>
      </c>
      <c r="S349" s="10">
        <f>IF(Q349="A","价格与起订量有优势，建议优先询盘",IF(Q349="B","条件较均衡，可作为备选","起订量或价格需要进一步确认"))</f>
        <v/>
      </c>
      <c r="T349" s="10" t="inlineStr">
        <is>
          <t>未联系</t>
        </is>
      </c>
      <c r="U349" s="10" t="inlineStr">
        <is>
          <t>虚构演示数据</t>
        </is>
      </c>
    </row>
    <row r="350" ht="21" customHeight="1">
      <c r="A350" s="10" t="inlineStr">
        <is>
          <t>GYS-0346</t>
        </is>
      </c>
      <c r="B350" s="10" t="inlineStr">
        <is>
          <t>南昌宠物用品供应链0346有限公司（演示）</t>
        </is>
      </c>
      <c r="C350" s="10" t="inlineStr">
        <is>
          <t>宠物用品</t>
        </is>
      </c>
      <c r="D350" s="10" t="inlineStr">
        <is>
          <t>宠物清洁手套</t>
        </is>
      </c>
      <c r="E350" s="10" t="inlineStr">
        <is>
          <t>江西南昌</t>
        </is>
      </c>
      <c r="F350" s="10" t="inlineStr">
        <is>
          <t>企业官网</t>
        </is>
      </c>
      <c r="G350" s="10" t="inlineStr">
        <is>
          <t>黄经理</t>
        </is>
      </c>
      <c r="H350" s="10" t="inlineStr">
        <is>
          <t>000-0000-0346</t>
        </is>
      </c>
      <c r="I350" s="10" t="inlineStr">
        <is>
          <t>DEMO_GYS_0346</t>
        </is>
      </c>
      <c r="J350" s="11" t="n">
        <v>39</v>
      </c>
      <c r="K350" s="11" t="n">
        <v>45.6</v>
      </c>
      <c r="L350" s="12" t="n">
        <v>100</v>
      </c>
      <c r="M350" s="10" t="inlineStr">
        <is>
          <t>是</t>
        </is>
      </c>
      <c r="N350" s="10" t="inlineStr">
        <is>
          <t>是</t>
        </is>
      </c>
      <c r="O350" s="10" t="inlineStr">
        <is>
          <t>supplier0346@example.com</t>
        </is>
      </c>
      <c r="P350" s="10" t="inlineStr">
        <is>
          <t>https://example.com/supplier/0346</t>
        </is>
      </c>
      <c r="Q350" s="10">
        <f>IF(R350&gt;=85,"A",IF(R350&gt;=70,"B","C"))</f>
        <v/>
      </c>
      <c r="R350" s="13">
        <f>MIN(100,50+IF(M350="是",10,0)+IF(N350="是",10,0)+IF(L350&lt;=100,10,IF(L350&lt;=300,5,0))+IF(J350&lt;=20,10,IF(J350&lt;=50,5,0))+IF(K350-J350&lt;=20,5,0)+IF(F350="企业官网",5,0))</f>
        <v/>
      </c>
      <c r="S350" s="10">
        <f>IF(Q350="A","价格与起订量有优势，建议优先询盘",IF(Q350="B","条件较均衡，可作为备选","起订量或价格需要进一步确认"))</f>
        <v/>
      </c>
      <c r="T350" s="10" t="inlineStr">
        <is>
          <t>未联系</t>
        </is>
      </c>
      <c r="U350" s="10" t="inlineStr">
        <is>
          <t>虚构演示数据</t>
        </is>
      </c>
    </row>
    <row r="351" ht="21" customHeight="1">
      <c r="A351" s="10" t="inlineStr">
        <is>
          <t>GYS-0347</t>
        </is>
      </c>
      <c r="B351" s="10" t="inlineStr">
        <is>
          <t>温州母婴用品供应链0347有限公司（演示）</t>
        </is>
      </c>
      <c r="C351" s="10" t="inlineStr">
        <is>
          <t>母婴用品</t>
        </is>
      </c>
      <c r="D351" s="10" t="inlineStr">
        <is>
          <t>婴儿防撞条</t>
        </is>
      </c>
      <c r="E351" s="10" t="inlineStr">
        <is>
          <t>浙江温州</t>
        </is>
      </c>
      <c r="F351" s="10" t="inlineStr">
        <is>
          <t>义乌购</t>
        </is>
      </c>
      <c r="G351" s="10" t="inlineStr">
        <is>
          <t>赵经理</t>
        </is>
      </c>
      <c r="H351" s="10" t="inlineStr">
        <is>
          <t>000-0000-0347</t>
        </is>
      </c>
      <c r="I351" s="10" t="inlineStr">
        <is>
          <t>DEMO_GYS_0347</t>
        </is>
      </c>
      <c r="J351" s="11" t="n">
        <v>40.7</v>
      </c>
      <c r="K351" s="11" t="n">
        <v>48.4</v>
      </c>
      <c r="L351" s="12" t="n">
        <v>50</v>
      </c>
      <c r="M351" s="10" t="inlineStr">
        <is>
          <t>是</t>
        </is>
      </c>
      <c r="N351" s="10" t="inlineStr">
        <is>
          <t>是</t>
        </is>
      </c>
      <c r="O351" s="10" t="inlineStr">
        <is>
          <t>supplier0347@example.com</t>
        </is>
      </c>
      <c r="P351" s="10" t="inlineStr">
        <is>
          <t>https://example.com/supplier/0347</t>
        </is>
      </c>
      <c r="Q351" s="10">
        <f>IF(R351&gt;=85,"A",IF(R351&gt;=70,"B","C"))</f>
        <v/>
      </c>
      <c r="R351" s="13">
        <f>MIN(100,50+IF(M351="是",10,0)+IF(N351="是",10,0)+IF(L351&lt;=100,10,IF(L351&lt;=300,5,0))+IF(J351&lt;=20,10,IF(J351&lt;=50,5,0))+IF(K351-J351&lt;=20,5,0)+IF(F351="企业官网",5,0))</f>
        <v/>
      </c>
      <c r="S351" s="10">
        <f>IF(Q351="A","价格与起订量有优势，建议优先询盘",IF(Q351="B","条件较均衡，可作为备选","起订量或价格需要进一步确认"))</f>
        <v/>
      </c>
      <c r="T351" s="10" t="inlineStr">
        <is>
          <t>未联系</t>
        </is>
      </c>
      <c r="U351" s="10" t="inlineStr">
        <is>
          <t>虚构演示数据</t>
        </is>
      </c>
    </row>
    <row r="352" ht="21" customHeight="1">
      <c r="A352" s="10" t="inlineStr">
        <is>
          <t>GYS-0348</t>
        </is>
      </c>
      <c r="B352" s="10" t="inlineStr">
        <is>
          <t>广州运动户外供应链0348有限公司（演示）</t>
        </is>
      </c>
      <c r="C352" s="10" t="inlineStr">
        <is>
          <t>运动户外</t>
        </is>
      </c>
      <c r="D352" s="10" t="inlineStr">
        <is>
          <t>弹力训练带</t>
        </is>
      </c>
      <c r="E352" s="10" t="inlineStr">
        <is>
          <t>广东广州</t>
        </is>
      </c>
      <c r="F352" s="10" t="inlineStr">
        <is>
          <t>慧聪网</t>
        </is>
      </c>
      <c r="G352" s="10" t="inlineStr">
        <is>
          <t>周经理</t>
        </is>
      </c>
      <c r="H352" s="10" t="inlineStr">
        <is>
          <t>000-0000-0348</t>
        </is>
      </c>
      <c r="I352" s="10" t="inlineStr">
        <is>
          <t>DEMO_GYS_0348</t>
        </is>
      </c>
      <c r="J352" s="11" t="n">
        <v>42.4</v>
      </c>
      <c r="K352" s="11" t="n">
        <v>51.2</v>
      </c>
      <c r="L352" s="12" t="n">
        <v>20</v>
      </c>
      <c r="M352" s="10" t="inlineStr">
        <is>
          <t>否</t>
        </is>
      </c>
      <c r="N352" s="10" t="inlineStr">
        <is>
          <t>否</t>
        </is>
      </c>
      <c r="O352" s="10" t="inlineStr">
        <is>
          <t>supplier0348@example.com</t>
        </is>
      </c>
      <c r="P352" s="10" t="inlineStr">
        <is>
          <t>https://example.com/supplier/0348</t>
        </is>
      </c>
      <c r="Q352" s="10">
        <f>IF(R352&gt;=85,"A",IF(R352&gt;=70,"B","C"))</f>
        <v/>
      </c>
      <c r="R352" s="13">
        <f>MIN(100,50+IF(M352="是",10,0)+IF(N352="是",10,0)+IF(L352&lt;=100,10,IF(L352&lt;=300,5,0))+IF(J352&lt;=20,10,IF(J352&lt;=50,5,0))+IF(K352-J352&lt;=20,5,0)+IF(F352="企业官网",5,0))</f>
        <v/>
      </c>
      <c r="S352" s="10">
        <f>IF(Q352="A","价格与起订量有优势，建议优先询盘",IF(Q352="B","条件较均衡，可作为备选","起订量或价格需要进一步确认"))</f>
        <v/>
      </c>
      <c r="T352" s="10" t="inlineStr">
        <is>
          <t>未联系</t>
        </is>
      </c>
      <c r="U352" s="10" t="inlineStr">
        <is>
          <t>虚构演示数据</t>
        </is>
      </c>
    </row>
    <row r="353" ht="21" customHeight="1">
      <c r="A353" s="10" t="inlineStr">
        <is>
          <t>GYS-0349</t>
        </is>
      </c>
      <c r="B353" s="10" t="inlineStr">
        <is>
          <t>泉州办公文具供应链0349有限公司（演示）</t>
        </is>
      </c>
      <c r="C353" s="10" t="inlineStr">
        <is>
          <t>办公文具</t>
        </is>
      </c>
      <c r="D353" s="10" t="inlineStr">
        <is>
          <t>桌面收纳架</t>
        </is>
      </c>
      <c r="E353" s="10" t="inlineStr">
        <is>
          <t>福建泉州</t>
        </is>
      </c>
      <c r="F353" s="10" t="inlineStr">
        <is>
          <t>1688</t>
        </is>
      </c>
      <c r="G353" s="10" t="inlineStr">
        <is>
          <t>吴经理</t>
        </is>
      </c>
      <c r="H353" s="10" t="inlineStr">
        <is>
          <t>000-0000-0349</t>
        </is>
      </c>
      <c r="I353" s="10" t="inlineStr">
        <is>
          <t>DEMO_GYS_0349</t>
        </is>
      </c>
      <c r="J353" s="11" t="n">
        <v>44.1</v>
      </c>
      <c r="K353" s="11" t="n">
        <v>54</v>
      </c>
      <c r="L353" s="12" t="n">
        <v>500</v>
      </c>
      <c r="M353" s="10" t="inlineStr">
        <is>
          <t>是</t>
        </is>
      </c>
      <c r="N353" s="10" t="inlineStr">
        <is>
          <t>是</t>
        </is>
      </c>
      <c r="O353" s="10" t="inlineStr">
        <is>
          <t>supplier0349@example.com</t>
        </is>
      </c>
      <c r="P353" s="10" t="inlineStr">
        <is>
          <t>https://example.com/supplier/0349</t>
        </is>
      </c>
      <c r="Q353" s="10">
        <f>IF(R353&gt;=85,"A",IF(R353&gt;=70,"B","C"))</f>
        <v/>
      </c>
      <c r="R353" s="13">
        <f>MIN(100,50+IF(M353="是",10,0)+IF(N353="是",10,0)+IF(L353&lt;=100,10,IF(L353&lt;=300,5,0))+IF(J353&lt;=20,10,IF(J353&lt;=50,5,0))+IF(K353-J353&lt;=20,5,0)+IF(F353="企业官网",5,0))</f>
        <v/>
      </c>
      <c r="S353" s="10">
        <f>IF(Q353="A","价格与起订量有优势，建议优先询盘",IF(Q353="B","条件较均衡，可作为备选","起订量或价格需要进一步确认"))</f>
        <v/>
      </c>
      <c r="T353" s="10" t="inlineStr">
        <is>
          <t>未联系</t>
        </is>
      </c>
      <c r="U353" s="10" t="inlineStr">
        <is>
          <t>虚构演示数据</t>
        </is>
      </c>
    </row>
    <row r="354" ht="21" customHeight="1">
      <c r="A354" s="10" t="inlineStr">
        <is>
          <t>GYS-0350</t>
        </is>
      </c>
      <c r="B354" s="10" t="inlineStr">
        <is>
          <t>南通汽车用品供应链0350有限公司（演示）</t>
        </is>
      </c>
      <c r="C354" s="10" t="inlineStr">
        <is>
          <t>汽车用品</t>
        </is>
      </c>
      <c r="D354" s="10" t="inlineStr">
        <is>
          <t>车载香薰</t>
        </is>
      </c>
      <c r="E354" s="10" t="inlineStr">
        <is>
          <t>江苏南通</t>
        </is>
      </c>
      <c r="F354" s="10" t="inlineStr">
        <is>
          <t>中国制造网</t>
        </is>
      </c>
      <c r="G354" s="10" t="inlineStr">
        <is>
          <t>陈经理</t>
        </is>
      </c>
      <c r="H354" s="10" t="inlineStr">
        <is>
          <t>000-0000-0350</t>
        </is>
      </c>
      <c r="I354" s="10" t="inlineStr">
        <is>
          <t>DEMO_GYS_0350</t>
        </is>
      </c>
      <c r="J354" s="11" t="n">
        <v>45.8</v>
      </c>
      <c r="K354" s="11" t="n">
        <v>56.8</v>
      </c>
      <c r="L354" s="12" t="n">
        <v>300</v>
      </c>
      <c r="M354" s="10" t="inlineStr">
        <is>
          <t>是</t>
        </is>
      </c>
      <c r="N354" s="10" t="inlineStr">
        <is>
          <t>是</t>
        </is>
      </c>
      <c r="O354" s="10" t="inlineStr">
        <is>
          <t>supplier0350@example.com</t>
        </is>
      </c>
      <c r="P354" s="10" t="inlineStr">
        <is>
          <t>https://example.com/supplier/0350</t>
        </is>
      </c>
      <c r="Q354" s="10">
        <f>IF(R354&gt;=85,"A",IF(R354&gt;=70,"B","C"))</f>
        <v/>
      </c>
      <c r="R354" s="13">
        <f>MIN(100,50+IF(M354="是",10,0)+IF(N354="是",10,0)+IF(L354&lt;=100,10,IF(L354&lt;=300,5,0))+IF(J354&lt;=20,10,IF(J354&lt;=50,5,0))+IF(K354-J354&lt;=20,5,0)+IF(F354="企业官网",5,0))</f>
        <v/>
      </c>
      <c r="S354" s="10">
        <f>IF(Q354="A","价格与起订量有优势，建议优先询盘",IF(Q354="B","条件较均衡，可作为备选","起订量或价格需要进一步确认"))</f>
        <v/>
      </c>
      <c r="T354" s="10" t="inlineStr">
        <is>
          <t>未联系</t>
        </is>
      </c>
      <c r="U354" s="10" t="inlineStr">
        <is>
          <t>虚构演示数据</t>
        </is>
      </c>
    </row>
    <row r="355" ht="21" customHeight="1">
      <c r="A355" s="10" t="inlineStr">
        <is>
          <t>GYS-0351</t>
        </is>
      </c>
      <c r="B355" s="10" t="inlineStr">
        <is>
          <t>郑州美容工具供应链0351有限公司（演示）</t>
        </is>
      </c>
      <c r="C355" s="10" t="inlineStr">
        <is>
          <t>美容工具</t>
        </is>
      </c>
      <c r="D355" s="10" t="inlineStr">
        <is>
          <t>便携化妆镜</t>
        </is>
      </c>
      <c r="E355" s="10" t="inlineStr">
        <is>
          <t>河南郑州</t>
        </is>
      </c>
      <c r="F355" s="10" t="inlineStr">
        <is>
          <t>企业官网</t>
        </is>
      </c>
      <c r="G355" s="10" t="inlineStr">
        <is>
          <t>林经理</t>
        </is>
      </c>
      <c r="H355" s="10" t="inlineStr">
        <is>
          <t>000-0000-0351</t>
        </is>
      </c>
      <c r="I355" s="10" t="inlineStr">
        <is>
          <t>DEMO_GYS_0351</t>
        </is>
      </c>
      <c r="J355" s="11" t="n">
        <v>47.5</v>
      </c>
      <c r="K355" s="11" t="n">
        <v>59.6</v>
      </c>
      <c r="L355" s="12" t="n">
        <v>200</v>
      </c>
      <c r="M355" s="10" t="inlineStr">
        <is>
          <t>是</t>
        </is>
      </c>
      <c r="N355" s="10" t="inlineStr">
        <is>
          <t>否</t>
        </is>
      </c>
      <c r="O355" s="10" t="inlineStr">
        <is>
          <t>supplier0351@example.com</t>
        </is>
      </c>
      <c r="P355" s="10" t="inlineStr">
        <is>
          <t>https://example.com/supplier/0351</t>
        </is>
      </c>
      <c r="Q355" s="10">
        <f>IF(R355&gt;=85,"A",IF(R355&gt;=70,"B","C"))</f>
        <v/>
      </c>
      <c r="R355" s="13">
        <f>MIN(100,50+IF(M355="是",10,0)+IF(N355="是",10,0)+IF(L355&lt;=100,10,IF(L355&lt;=300,5,0))+IF(J355&lt;=20,10,IF(J355&lt;=50,5,0))+IF(K355-J355&lt;=20,5,0)+IF(F355="企业官网",5,0))</f>
        <v/>
      </c>
      <c r="S355" s="10">
        <f>IF(Q355="A","价格与起订量有优势，建议优先询盘",IF(Q355="B","条件较均衡，可作为备选","起订量或价格需要进一步确认"))</f>
        <v/>
      </c>
      <c r="T355" s="10" t="inlineStr">
        <is>
          <t>未联系</t>
        </is>
      </c>
      <c r="U355" s="10" t="inlineStr">
        <is>
          <t>虚构演示数据</t>
        </is>
      </c>
    </row>
    <row r="356" ht="21" customHeight="1">
      <c r="A356" s="10" t="inlineStr">
        <is>
          <t>GYS-0352</t>
        </is>
      </c>
      <c r="B356" s="10" t="inlineStr">
        <is>
          <t>宁波旅行用品供应链0352有限公司（演示）</t>
        </is>
      </c>
      <c r="C356" s="10" t="inlineStr">
        <is>
          <t>旅行用品</t>
        </is>
      </c>
      <c r="D356" s="10" t="inlineStr">
        <is>
          <t>压缩收纳袋</t>
        </is>
      </c>
      <c r="E356" s="10" t="inlineStr">
        <is>
          <t>浙江宁波</t>
        </is>
      </c>
      <c r="F356" s="10" t="inlineStr">
        <is>
          <t>义乌购</t>
        </is>
      </c>
      <c r="G356" s="10" t="inlineStr">
        <is>
          <t>王经理</t>
        </is>
      </c>
      <c r="H356" s="10" t="inlineStr">
        <is>
          <t>000-0000-0352</t>
        </is>
      </c>
      <c r="I356" s="10" t="inlineStr">
        <is>
          <t>DEMO_GYS_0352</t>
        </is>
      </c>
      <c r="J356" s="11" t="n">
        <v>3.2</v>
      </c>
      <c r="K356" s="11" t="n">
        <v>16.4</v>
      </c>
      <c r="L356" s="12" t="n">
        <v>100</v>
      </c>
      <c r="M356" s="10" t="inlineStr">
        <is>
          <t>否</t>
        </is>
      </c>
      <c r="N356" s="10" t="inlineStr">
        <is>
          <t>是</t>
        </is>
      </c>
      <c r="O356" s="10" t="inlineStr">
        <is>
          <t>supplier0352@example.com</t>
        </is>
      </c>
      <c r="P356" s="10" t="inlineStr">
        <is>
          <t>https://example.com/supplier/0352</t>
        </is>
      </c>
      <c r="Q356" s="10">
        <f>IF(R356&gt;=85,"A",IF(R356&gt;=70,"B","C"))</f>
        <v/>
      </c>
      <c r="R356" s="13">
        <f>MIN(100,50+IF(M356="是",10,0)+IF(N356="是",10,0)+IF(L356&lt;=100,10,IF(L356&lt;=300,5,0))+IF(J356&lt;=20,10,IF(J356&lt;=50,5,0))+IF(K356-J356&lt;=20,5,0)+IF(F356="企业官网",5,0))</f>
        <v/>
      </c>
      <c r="S356" s="10">
        <f>IF(Q356="A","价格与起订量有优势，建议优先询盘",IF(Q356="B","条件较均衡，可作为备选","起订量或价格需要进一步确认"))</f>
        <v/>
      </c>
      <c r="T356" s="10" t="inlineStr">
        <is>
          <t>未联系</t>
        </is>
      </c>
      <c r="U356" s="10" t="inlineStr">
        <is>
          <t>虚构演示数据</t>
        </is>
      </c>
    </row>
    <row r="357" ht="21" customHeight="1">
      <c r="A357" s="10" t="inlineStr">
        <is>
          <t>GYS-0353</t>
        </is>
      </c>
      <c r="B357" s="10" t="inlineStr">
        <is>
          <t>深圳清洁工具供应链0353有限公司（演示）</t>
        </is>
      </c>
      <c r="C357" s="10" t="inlineStr">
        <is>
          <t>清洁工具</t>
        </is>
      </c>
      <c r="D357" s="10" t="inlineStr">
        <is>
          <t>免手洗拖把</t>
        </is>
      </c>
      <c r="E357" s="10" t="inlineStr">
        <is>
          <t>广东深圳</t>
        </is>
      </c>
      <c r="F357" s="10" t="inlineStr">
        <is>
          <t>慧聪网</t>
        </is>
      </c>
      <c r="G357" s="10" t="inlineStr">
        <is>
          <t>李经理</t>
        </is>
      </c>
      <c r="H357" s="10" t="inlineStr">
        <is>
          <t>000-0000-0353</t>
        </is>
      </c>
      <c r="I357" s="10" t="inlineStr">
        <is>
          <t>DEMO_GYS_0353</t>
        </is>
      </c>
      <c r="J357" s="11" t="n">
        <v>4.9</v>
      </c>
      <c r="K357" s="11" t="n">
        <v>19.2</v>
      </c>
      <c r="L357" s="12" t="n">
        <v>50</v>
      </c>
      <c r="M357" s="10" t="inlineStr">
        <is>
          <t>是</t>
        </is>
      </c>
      <c r="N357" s="10" t="inlineStr">
        <is>
          <t>是</t>
        </is>
      </c>
      <c r="O357" s="10" t="inlineStr">
        <is>
          <t>supplier0353@example.com</t>
        </is>
      </c>
      <c r="P357" s="10" t="inlineStr">
        <is>
          <t>https://example.com/supplier/0353</t>
        </is>
      </c>
      <c r="Q357" s="10">
        <f>IF(R357&gt;=85,"A",IF(R357&gt;=70,"B","C"))</f>
        <v/>
      </c>
      <c r="R357" s="13">
        <f>MIN(100,50+IF(M357="是",10,0)+IF(N357="是",10,0)+IF(L357&lt;=100,10,IF(L357&lt;=300,5,0))+IF(J357&lt;=20,10,IF(J357&lt;=50,5,0))+IF(K357-J357&lt;=20,5,0)+IF(F357="企业官网",5,0))</f>
        <v/>
      </c>
      <c r="S357" s="10">
        <f>IF(Q357="A","价格与起订量有优势，建议优先询盘",IF(Q357="B","条件较均衡，可作为备选","起订量或价格需要进一步确认"))</f>
        <v/>
      </c>
      <c r="T357" s="10" t="inlineStr">
        <is>
          <t>未联系</t>
        </is>
      </c>
      <c r="U357" s="10" t="inlineStr">
        <is>
          <t>虚构演示数据</t>
        </is>
      </c>
    </row>
    <row r="358" ht="21" customHeight="1">
      <c r="A358" s="10" t="inlineStr">
        <is>
          <t>GYS-0354</t>
        </is>
      </c>
      <c r="B358" s="10" t="inlineStr">
        <is>
          <t>佛山小家电供应链0354有限公司（演示）</t>
        </is>
      </c>
      <c r="C358" s="10" t="inlineStr">
        <is>
          <t>小家电</t>
        </is>
      </c>
      <c r="D358" s="10" t="inlineStr">
        <is>
          <t>迷你加湿器</t>
        </is>
      </c>
      <c r="E358" s="10" t="inlineStr">
        <is>
          <t>广东佛山</t>
        </is>
      </c>
      <c r="F358" s="10" t="inlineStr">
        <is>
          <t>1688</t>
        </is>
      </c>
      <c r="G358" s="10" t="inlineStr">
        <is>
          <t>张经理</t>
        </is>
      </c>
      <c r="H358" s="10" t="inlineStr">
        <is>
          <t>000-0000-0354</t>
        </is>
      </c>
      <c r="I358" s="10" t="inlineStr">
        <is>
          <t>DEMO_GYS_0354</t>
        </is>
      </c>
      <c r="J358" s="11" t="n">
        <v>6.6</v>
      </c>
      <c r="K358" s="11" t="n">
        <v>22</v>
      </c>
      <c r="L358" s="12" t="n">
        <v>20</v>
      </c>
      <c r="M358" s="10" t="inlineStr">
        <is>
          <t>是</t>
        </is>
      </c>
      <c r="N358" s="10" t="inlineStr">
        <is>
          <t>否</t>
        </is>
      </c>
      <c r="O358" s="10" t="inlineStr">
        <is>
          <t>supplier0354@example.com</t>
        </is>
      </c>
      <c r="P358" s="10" t="inlineStr">
        <is>
          <t>https://example.com/supplier/0354</t>
        </is>
      </c>
      <c r="Q358" s="10">
        <f>IF(R358&gt;=85,"A",IF(R358&gt;=70,"B","C"))</f>
        <v/>
      </c>
      <c r="R358" s="13">
        <f>MIN(100,50+IF(M358="是",10,0)+IF(N358="是",10,0)+IF(L358&lt;=100,10,IF(L358&lt;=300,5,0))+IF(J358&lt;=20,10,IF(J358&lt;=50,5,0))+IF(K358-J358&lt;=20,5,0)+IF(F358="企业官网",5,0))</f>
        <v/>
      </c>
      <c r="S358" s="10">
        <f>IF(Q358="A","价格与起订量有优势，建议优先询盘",IF(Q358="B","条件较均衡，可作为备选","起订量或价格需要进一步确认"))</f>
        <v/>
      </c>
      <c r="T358" s="10" t="inlineStr">
        <is>
          <t>未联系</t>
        </is>
      </c>
      <c r="U358" s="10" t="inlineStr">
        <is>
          <t>虚构演示数据</t>
        </is>
      </c>
    </row>
    <row r="359" ht="21" customHeight="1">
      <c r="A359" s="10" t="inlineStr">
        <is>
          <t>GYS-0355</t>
        </is>
      </c>
      <c r="B359" s="10" t="inlineStr">
        <is>
          <t>苏州礼品包装供应链0355有限公司（演示）</t>
        </is>
      </c>
      <c r="C359" s="10" t="inlineStr">
        <is>
          <t>礼品包装</t>
        </is>
      </c>
      <c r="D359" s="10" t="inlineStr">
        <is>
          <t>节日礼盒</t>
        </is>
      </c>
      <c r="E359" s="10" t="inlineStr">
        <is>
          <t>江苏苏州</t>
        </is>
      </c>
      <c r="F359" s="10" t="inlineStr">
        <is>
          <t>中国制造网</t>
        </is>
      </c>
      <c r="G359" s="10" t="inlineStr">
        <is>
          <t>刘经理</t>
        </is>
      </c>
      <c r="H359" s="10" t="inlineStr">
        <is>
          <t>000-0000-0355</t>
        </is>
      </c>
      <c r="I359" s="10" t="inlineStr">
        <is>
          <t>DEMO_GYS_0355</t>
        </is>
      </c>
      <c r="J359" s="11" t="n">
        <v>8.300000000000001</v>
      </c>
      <c r="K359" s="11" t="n">
        <v>24.8</v>
      </c>
      <c r="L359" s="12" t="n">
        <v>500</v>
      </c>
      <c r="M359" s="10" t="inlineStr">
        <is>
          <t>是</t>
        </is>
      </c>
      <c r="N359" s="10" t="inlineStr">
        <is>
          <t>是</t>
        </is>
      </c>
      <c r="O359" s="10" t="inlineStr">
        <is>
          <t>supplier0355@example.com</t>
        </is>
      </c>
      <c r="P359" s="10" t="inlineStr">
        <is>
          <t>https://example.com/supplier/0355</t>
        </is>
      </c>
      <c r="Q359" s="10">
        <f>IF(R359&gt;=85,"A",IF(R359&gt;=70,"B","C"))</f>
        <v/>
      </c>
      <c r="R359" s="13">
        <f>MIN(100,50+IF(M359="是",10,0)+IF(N359="是",10,0)+IF(L359&lt;=100,10,IF(L359&lt;=300,5,0))+IF(J359&lt;=20,10,IF(J359&lt;=50,5,0))+IF(K359-J359&lt;=20,5,0)+IF(F359="企业官网",5,0))</f>
        <v/>
      </c>
      <c r="S359" s="10">
        <f>IF(Q359="A","价格与起订量有优势，建议优先询盘",IF(Q359="B","条件较均衡，可作为备选","起订量或价格需要进一步确认"))</f>
        <v/>
      </c>
      <c r="T359" s="10" t="inlineStr">
        <is>
          <t>未联系</t>
        </is>
      </c>
      <c r="U359" s="10" t="inlineStr">
        <is>
          <t>虚构演示数据</t>
        </is>
      </c>
    </row>
    <row r="360" ht="21" customHeight="1">
      <c r="A360" s="10" t="inlineStr">
        <is>
          <t>GYS-0356</t>
        </is>
      </c>
      <c r="B360" s="10" t="inlineStr">
        <is>
          <t>白沟五金工具供应链0356有限公司（演示）</t>
        </is>
      </c>
      <c r="C360" s="10" t="inlineStr">
        <is>
          <t>五金工具</t>
        </is>
      </c>
      <c r="D360" s="10" t="inlineStr">
        <is>
          <t>多功能螺丝刀</t>
        </is>
      </c>
      <c r="E360" s="10" t="inlineStr">
        <is>
          <t>河北白沟</t>
        </is>
      </c>
      <c r="F360" s="10" t="inlineStr">
        <is>
          <t>企业官网</t>
        </is>
      </c>
      <c r="G360" s="10" t="inlineStr">
        <is>
          <t>黄经理</t>
        </is>
      </c>
      <c r="H360" s="10" t="inlineStr">
        <is>
          <t>000-0000-0356</t>
        </is>
      </c>
      <c r="I360" s="10" t="inlineStr">
        <is>
          <t>DEMO_GYS_0356</t>
        </is>
      </c>
      <c r="J360" s="11" t="n">
        <v>10</v>
      </c>
      <c r="K360" s="11" t="n">
        <v>27.6</v>
      </c>
      <c r="L360" s="12" t="n">
        <v>300</v>
      </c>
      <c r="M360" s="10" t="inlineStr">
        <is>
          <t>否</t>
        </is>
      </c>
      <c r="N360" s="10" t="inlineStr">
        <is>
          <t>是</t>
        </is>
      </c>
      <c r="O360" s="10" t="inlineStr">
        <is>
          <t>supplier0356@example.com</t>
        </is>
      </c>
      <c r="P360" s="10" t="inlineStr">
        <is>
          <t>https://example.com/supplier/0356</t>
        </is>
      </c>
      <c r="Q360" s="10">
        <f>IF(R360&gt;=85,"A",IF(R360&gt;=70,"B","C"))</f>
        <v/>
      </c>
      <c r="R360" s="13">
        <f>MIN(100,50+IF(M360="是",10,0)+IF(N360="是",10,0)+IF(L360&lt;=100,10,IF(L360&lt;=300,5,0))+IF(J360&lt;=20,10,IF(J360&lt;=50,5,0))+IF(K360-J360&lt;=20,5,0)+IF(F360="企业官网",5,0))</f>
        <v/>
      </c>
      <c r="S360" s="10">
        <f>IF(Q360="A","价格与起订量有优势，建议优先询盘",IF(Q360="B","条件较均衡，可作为备选","起订量或价格需要进一步确认"))</f>
        <v/>
      </c>
      <c r="T360" s="10" t="inlineStr">
        <is>
          <t>未联系</t>
        </is>
      </c>
      <c r="U360" s="10" t="inlineStr">
        <is>
          <t>虚构演示数据</t>
        </is>
      </c>
    </row>
    <row r="361" ht="21" customHeight="1">
      <c r="A361" s="10" t="inlineStr">
        <is>
          <t>GYS-0357</t>
        </is>
      </c>
      <c r="B361" s="10" t="inlineStr">
        <is>
          <t>义乌鞋靴配件供应链0357有限公司（演示）</t>
        </is>
      </c>
      <c r="C361" s="10" t="inlineStr">
        <is>
          <t>鞋靴配件</t>
        </is>
      </c>
      <c r="D361" s="10" t="inlineStr">
        <is>
          <t>防磨脚贴</t>
        </is>
      </c>
      <c r="E361" s="10" t="inlineStr">
        <is>
          <t>浙江义乌</t>
        </is>
      </c>
      <c r="F361" s="10" t="inlineStr">
        <is>
          <t>义乌购</t>
        </is>
      </c>
      <c r="G361" s="10" t="inlineStr">
        <is>
          <t>赵经理</t>
        </is>
      </c>
      <c r="H361" s="10" t="inlineStr">
        <is>
          <t>000-0000-0357</t>
        </is>
      </c>
      <c r="I361" s="10" t="inlineStr">
        <is>
          <t>DEMO_GYS_0357</t>
        </is>
      </c>
      <c r="J361" s="11" t="n">
        <v>11.7</v>
      </c>
      <c r="K361" s="11" t="n">
        <v>30.4</v>
      </c>
      <c r="L361" s="12" t="n">
        <v>200</v>
      </c>
      <c r="M361" s="10" t="inlineStr">
        <is>
          <t>是</t>
        </is>
      </c>
      <c r="N361" s="10" t="inlineStr">
        <is>
          <t>否</t>
        </is>
      </c>
      <c r="O361" s="10" t="inlineStr">
        <is>
          <t>supplier0357@example.com</t>
        </is>
      </c>
      <c r="P361" s="10" t="inlineStr">
        <is>
          <t>https://example.com/supplier/0357</t>
        </is>
      </c>
      <c r="Q361" s="10">
        <f>IF(R361&gt;=85,"A",IF(R361&gt;=70,"B","C"))</f>
        <v/>
      </c>
      <c r="R361" s="13">
        <f>MIN(100,50+IF(M361="是",10,0)+IF(N361="是",10,0)+IF(L361&lt;=100,10,IF(L361&lt;=300,5,0))+IF(J361&lt;=20,10,IF(J361&lt;=50,5,0))+IF(K361-J361&lt;=20,5,0)+IF(F361="企业官网",5,0))</f>
        <v/>
      </c>
      <c r="S361" s="10">
        <f>IF(Q361="A","价格与起订量有优势，建议优先询盘",IF(Q361="B","条件较均衡，可作为备选","起订量或价格需要进一步确认"))</f>
        <v/>
      </c>
      <c r="T361" s="10" t="inlineStr">
        <is>
          <t>未联系</t>
        </is>
      </c>
      <c r="U361" s="10" t="inlineStr">
        <is>
          <t>虚构演示数据</t>
        </is>
      </c>
    </row>
    <row r="362" ht="21" customHeight="1">
      <c r="A362" s="10" t="inlineStr">
        <is>
          <t>GYS-0358</t>
        </is>
      </c>
      <c r="B362" s="10" t="inlineStr">
        <is>
          <t>台州食品包装供应链0358有限公司（演示）</t>
        </is>
      </c>
      <c r="C362" s="10" t="inlineStr">
        <is>
          <t>食品包装</t>
        </is>
      </c>
      <c r="D362" s="10" t="inlineStr">
        <is>
          <t>密封包装袋</t>
        </is>
      </c>
      <c r="E362" s="10" t="inlineStr">
        <is>
          <t>浙江台州</t>
        </is>
      </c>
      <c r="F362" s="10" t="inlineStr">
        <is>
          <t>慧聪网</t>
        </is>
      </c>
      <c r="G362" s="10" t="inlineStr">
        <is>
          <t>周经理</t>
        </is>
      </c>
      <c r="H362" s="10" t="inlineStr">
        <is>
          <t>000-0000-0358</t>
        </is>
      </c>
      <c r="I362" s="10" t="inlineStr">
        <is>
          <t>DEMO_GYS_0358</t>
        </is>
      </c>
      <c r="J362" s="11" t="n">
        <v>13.4</v>
      </c>
      <c r="K362" s="11" t="n">
        <v>33.2</v>
      </c>
      <c r="L362" s="12" t="n">
        <v>100</v>
      </c>
      <c r="M362" s="10" t="inlineStr">
        <is>
          <t>是</t>
        </is>
      </c>
      <c r="N362" s="10" t="inlineStr">
        <is>
          <t>是</t>
        </is>
      </c>
      <c r="O362" s="10" t="inlineStr">
        <is>
          <t>supplier0358@example.com</t>
        </is>
      </c>
      <c r="P362" s="10" t="inlineStr">
        <is>
          <t>https://example.com/supplier/0358</t>
        </is>
      </c>
      <c r="Q362" s="10">
        <f>IF(R362&gt;=85,"A",IF(R362&gt;=70,"B","C"))</f>
        <v/>
      </c>
      <c r="R362" s="13">
        <f>MIN(100,50+IF(M362="是",10,0)+IF(N362="是",10,0)+IF(L362&lt;=100,10,IF(L362&lt;=300,5,0))+IF(J362&lt;=20,10,IF(J362&lt;=50,5,0))+IF(K362-J362&lt;=20,5,0)+IF(F362="企业官网",5,0))</f>
        <v/>
      </c>
      <c r="S362" s="10">
        <f>IF(Q362="A","价格与起订量有优势，建议优先询盘",IF(Q362="B","条件较均衡，可作为备选","起订量或价格需要进一步确认"))</f>
        <v/>
      </c>
      <c r="T362" s="10" t="inlineStr">
        <is>
          <t>未联系</t>
        </is>
      </c>
      <c r="U362" s="10" t="inlineStr">
        <is>
          <t>虚构演示数据</t>
        </is>
      </c>
    </row>
    <row r="363" ht="21" customHeight="1">
      <c r="A363" s="10" t="inlineStr">
        <is>
          <t>GYS-0359</t>
        </is>
      </c>
      <c r="B363" s="10" t="inlineStr">
        <is>
          <t>东莞户外照明供应链0359有限公司（演示）</t>
        </is>
      </c>
      <c r="C363" s="10" t="inlineStr">
        <is>
          <t>户外照明</t>
        </is>
      </c>
      <c r="D363" s="10" t="inlineStr">
        <is>
          <t>便携露营灯</t>
        </is>
      </c>
      <c r="E363" s="10" t="inlineStr">
        <is>
          <t>广东东莞</t>
        </is>
      </c>
      <c r="F363" s="10" t="inlineStr">
        <is>
          <t>1688</t>
        </is>
      </c>
      <c r="G363" s="10" t="inlineStr">
        <is>
          <t>吴经理</t>
        </is>
      </c>
      <c r="H363" s="10" t="inlineStr">
        <is>
          <t>000-0000-0359</t>
        </is>
      </c>
      <c r="I363" s="10" t="inlineStr">
        <is>
          <t>DEMO_GYS_0359</t>
        </is>
      </c>
      <c r="J363" s="11" t="n">
        <v>15.1</v>
      </c>
      <c r="K363" s="11" t="n">
        <v>36</v>
      </c>
      <c r="L363" s="12" t="n">
        <v>50</v>
      </c>
      <c r="M363" s="10" t="inlineStr">
        <is>
          <t>是</t>
        </is>
      </c>
      <c r="N363" s="10" t="inlineStr">
        <is>
          <t>是</t>
        </is>
      </c>
      <c r="O363" s="10" t="inlineStr">
        <is>
          <t>supplier0359@example.com</t>
        </is>
      </c>
      <c r="P363" s="10" t="inlineStr">
        <is>
          <t>https://example.com/supplier/0359</t>
        </is>
      </c>
      <c r="Q363" s="10">
        <f>IF(R363&gt;=85,"A",IF(R363&gt;=70,"B","C"))</f>
        <v/>
      </c>
      <c r="R363" s="13">
        <f>MIN(100,50+IF(M363="是",10,0)+IF(N363="是",10,0)+IF(L363&lt;=100,10,IF(L363&lt;=300,5,0))+IF(J363&lt;=20,10,IF(J363&lt;=50,5,0))+IF(K363-J363&lt;=20,5,0)+IF(F363="企业官网",5,0))</f>
        <v/>
      </c>
      <c r="S363" s="10">
        <f>IF(Q363="A","价格与起订量有优势，建议优先询盘",IF(Q363="B","条件较均衡，可作为备选","起订量或价格需要进一步确认"))</f>
        <v/>
      </c>
      <c r="T363" s="10" t="inlineStr">
        <is>
          <t>未联系</t>
        </is>
      </c>
      <c r="U363" s="10" t="inlineStr">
        <is>
          <t>虚构演示数据</t>
        </is>
      </c>
    </row>
    <row r="364" ht="21" customHeight="1">
      <c r="A364" s="10" t="inlineStr">
        <is>
          <t>GYS-0360</t>
        </is>
      </c>
      <c r="B364" s="10" t="inlineStr">
        <is>
          <t>厦门健康用品供应链0360有限公司（演示）</t>
        </is>
      </c>
      <c r="C364" s="10" t="inlineStr">
        <is>
          <t>健康用品</t>
        </is>
      </c>
      <c r="D364" s="10" t="inlineStr">
        <is>
          <t>热敷眼罩</t>
        </is>
      </c>
      <c r="E364" s="10" t="inlineStr">
        <is>
          <t>福建厦门</t>
        </is>
      </c>
      <c r="F364" s="10" t="inlineStr">
        <is>
          <t>中国制造网</t>
        </is>
      </c>
      <c r="G364" s="10" t="inlineStr">
        <is>
          <t>陈经理</t>
        </is>
      </c>
      <c r="H364" s="10" t="inlineStr">
        <is>
          <t>000-0000-0360</t>
        </is>
      </c>
      <c r="I364" s="10" t="inlineStr">
        <is>
          <t>DEMO_GYS_0360</t>
        </is>
      </c>
      <c r="J364" s="11" t="n">
        <v>16.8</v>
      </c>
      <c r="K364" s="11" t="n">
        <v>20.8</v>
      </c>
      <c r="L364" s="12" t="n">
        <v>20</v>
      </c>
      <c r="M364" s="10" t="inlineStr">
        <is>
          <t>否</t>
        </is>
      </c>
      <c r="N364" s="10" t="inlineStr">
        <is>
          <t>否</t>
        </is>
      </c>
      <c r="O364" s="10" t="inlineStr">
        <is>
          <t>supplier0360@example.com</t>
        </is>
      </c>
      <c r="P364" s="10" t="inlineStr">
        <is>
          <t>https://example.com/supplier/0360</t>
        </is>
      </c>
      <c r="Q364" s="10">
        <f>IF(R364&gt;=85,"A",IF(R364&gt;=70,"B","C"))</f>
        <v/>
      </c>
      <c r="R364" s="13">
        <f>MIN(100,50+IF(M364="是",10,0)+IF(N364="是",10,0)+IF(L364&lt;=100,10,IF(L364&lt;=300,5,0))+IF(J364&lt;=20,10,IF(J364&lt;=50,5,0))+IF(K364-J364&lt;=20,5,0)+IF(F364="企业官网",5,0))</f>
        <v/>
      </c>
      <c r="S364" s="10">
        <f>IF(Q364="A","价格与起订量有优势，建议优先询盘",IF(Q364="B","条件较均衡，可作为备选","起订量或价格需要进一步确认"))</f>
        <v/>
      </c>
      <c r="T364" s="10" t="inlineStr">
        <is>
          <t>未联系</t>
        </is>
      </c>
      <c r="U364" s="10" t="inlineStr">
        <is>
          <t>虚构演示数据</t>
        </is>
      </c>
    </row>
    <row r="365" ht="21" customHeight="1">
      <c r="A365" s="10" t="inlineStr">
        <is>
          <t>GYS-0361</t>
        </is>
      </c>
      <c r="B365" s="10" t="inlineStr">
        <is>
          <t>临沂服饰内衣供应链0361有限公司（演示）</t>
        </is>
      </c>
      <c r="C365" s="10" t="inlineStr">
        <is>
          <t>服饰内衣</t>
        </is>
      </c>
      <c r="D365" s="10" t="inlineStr">
        <is>
          <t>防滑袜</t>
        </is>
      </c>
      <c r="E365" s="10" t="inlineStr">
        <is>
          <t>山东临沂</t>
        </is>
      </c>
      <c r="F365" s="10" t="inlineStr">
        <is>
          <t>企业官网</t>
        </is>
      </c>
      <c r="G365" s="10" t="inlineStr">
        <is>
          <t>林经理</t>
        </is>
      </c>
      <c r="H365" s="10" t="inlineStr">
        <is>
          <t>000-0000-0361</t>
        </is>
      </c>
      <c r="I365" s="10" t="inlineStr">
        <is>
          <t>DEMO_GYS_0361</t>
        </is>
      </c>
      <c r="J365" s="11" t="n">
        <v>18.5</v>
      </c>
      <c r="K365" s="11" t="n">
        <v>23.6</v>
      </c>
      <c r="L365" s="12" t="n">
        <v>500</v>
      </c>
      <c r="M365" s="10" t="inlineStr">
        <is>
          <t>是</t>
        </is>
      </c>
      <c r="N365" s="10" t="inlineStr">
        <is>
          <t>是</t>
        </is>
      </c>
      <c r="O365" s="10" t="inlineStr">
        <is>
          <t>supplier0361@example.com</t>
        </is>
      </c>
      <c r="P365" s="10" t="inlineStr">
        <is>
          <t>https://example.com/supplier/0361</t>
        </is>
      </c>
      <c r="Q365" s="10">
        <f>IF(R365&gt;=85,"A",IF(R365&gt;=70,"B","C"))</f>
        <v/>
      </c>
      <c r="R365" s="13">
        <f>MIN(100,50+IF(M365="是",10,0)+IF(N365="是",10,0)+IF(L365&lt;=100,10,IF(L365&lt;=300,5,0))+IF(J365&lt;=20,10,IF(J365&lt;=50,5,0))+IF(K365-J365&lt;=20,5,0)+IF(F365="企业官网",5,0))</f>
        <v/>
      </c>
      <c r="S365" s="10">
        <f>IF(Q365="A","价格与起订量有优势，建议优先询盘",IF(Q365="B","条件较均衡，可作为备选","起订量或价格需要进一步确认"))</f>
        <v/>
      </c>
      <c r="T365" s="10" t="inlineStr">
        <is>
          <t>未联系</t>
        </is>
      </c>
      <c r="U365" s="10" t="inlineStr">
        <is>
          <t>虚构演示数据</t>
        </is>
      </c>
    </row>
    <row r="366" ht="21" customHeight="1">
      <c r="A366" s="10" t="inlineStr">
        <is>
          <t>GYS-0362</t>
        </is>
      </c>
      <c r="B366" s="10" t="inlineStr">
        <is>
          <t>南昌家居日用供应链0362有限公司（演示）</t>
        </is>
      </c>
      <c r="C366" s="10" t="inlineStr">
        <is>
          <t>家居日用</t>
        </is>
      </c>
      <c r="D366" s="10" t="inlineStr">
        <is>
          <t>折叠收纳箱</t>
        </is>
      </c>
      <c r="E366" s="10" t="inlineStr">
        <is>
          <t>江西南昌</t>
        </is>
      </c>
      <c r="F366" s="10" t="inlineStr">
        <is>
          <t>义乌购</t>
        </is>
      </c>
      <c r="G366" s="10" t="inlineStr">
        <is>
          <t>王经理</t>
        </is>
      </c>
      <c r="H366" s="10" t="inlineStr">
        <is>
          <t>000-0000-0362</t>
        </is>
      </c>
      <c r="I366" s="10" t="inlineStr">
        <is>
          <t>DEMO_GYS_0362</t>
        </is>
      </c>
      <c r="J366" s="11" t="n">
        <v>20.2</v>
      </c>
      <c r="K366" s="11" t="n">
        <v>26.4</v>
      </c>
      <c r="L366" s="12" t="n">
        <v>300</v>
      </c>
      <c r="M366" s="10" t="inlineStr">
        <is>
          <t>是</t>
        </is>
      </c>
      <c r="N366" s="10" t="inlineStr">
        <is>
          <t>是</t>
        </is>
      </c>
      <c r="O366" s="10" t="inlineStr">
        <is>
          <t>supplier0362@example.com</t>
        </is>
      </c>
      <c r="P366" s="10" t="inlineStr">
        <is>
          <t>https://example.com/supplier/0362</t>
        </is>
      </c>
      <c r="Q366" s="10">
        <f>IF(R366&gt;=85,"A",IF(R366&gt;=70,"B","C"))</f>
        <v/>
      </c>
      <c r="R366" s="13">
        <f>MIN(100,50+IF(M366="是",10,0)+IF(N366="是",10,0)+IF(L366&lt;=100,10,IF(L366&lt;=300,5,0))+IF(J366&lt;=20,10,IF(J366&lt;=50,5,0))+IF(K366-J366&lt;=20,5,0)+IF(F366="企业官网",5,0))</f>
        <v/>
      </c>
      <c r="S366" s="10">
        <f>IF(Q366="A","价格与起订量有优势，建议优先询盘",IF(Q366="B","条件较均衡，可作为备选","起订量或价格需要进一步确认"))</f>
        <v/>
      </c>
      <c r="T366" s="10" t="inlineStr">
        <is>
          <t>未联系</t>
        </is>
      </c>
      <c r="U366" s="10" t="inlineStr">
        <is>
          <t>虚构演示数据</t>
        </is>
      </c>
    </row>
    <row r="367" ht="21" customHeight="1">
      <c r="A367" s="10" t="inlineStr">
        <is>
          <t>GYS-0363</t>
        </is>
      </c>
      <c r="B367" s="10" t="inlineStr">
        <is>
          <t>温州个护清洁供应链0363有限公司（演示）</t>
        </is>
      </c>
      <c r="C367" s="10" t="inlineStr">
        <is>
          <t>个护清洁</t>
        </is>
      </c>
      <c r="D367" s="10" t="inlineStr">
        <is>
          <t>便携洗脸巾</t>
        </is>
      </c>
      <c r="E367" s="10" t="inlineStr">
        <is>
          <t>浙江温州</t>
        </is>
      </c>
      <c r="F367" s="10" t="inlineStr">
        <is>
          <t>慧聪网</t>
        </is>
      </c>
      <c r="G367" s="10" t="inlineStr">
        <is>
          <t>李经理</t>
        </is>
      </c>
      <c r="H367" s="10" t="inlineStr">
        <is>
          <t>000-0000-0363</t>
        </is>
      </c>
      <c r="I367" s="10" t="inlineStr">
        <is>
          <t>DEMO_GYS_0363</t>
        </is>
      </c>
      <c r="J367" s="11" t="n">
        <v>21.9</v>
      </c>
      <c r="K367" s="11" t="n">
        <v>29.2</v>
      </c>
      <c r="L367" s="12" t="n">
        <v>200</v>
      </c>
      <c r="M367" s="10" t="inlineStr">
        <is>
          <t>是</t>
        </is>
      </c>
      <c r="N367" s="10" t="inlineStr">
        <is>
          <t>否</t>
        </is>
      </c>
      <c r="O367" s="10" t="inlineStr">
        <is>
          <t>supplier0363@example.com</t>
        </is>
      </c>
      <c r="P367" s="10" t="inlineStr">
        <is>
          <t>https://example.com/supplier/0363</t>
        </is>
      </c>
      <c r="Q367" s="10">
        <f>IF(R367&gt;=85,"A",IF(R367&gt;=70,"B","C"))</f>
        <v/>
      </c>
      <c r="R367" s="13">
        <f>MIN(100,50+IF(M367="是",10,0)+IF(N367="是",10,0)+IF(L367&lt;=100,10,IF(L367&lt;=300,5,0))+IF(J367&lt;=20,10,IF(J367&lt;=50,5,0))+IF(K367-J367&lt;=20,5,0)+IF(F367="企业官网",5,0))</f>
        <v/>
      </c>
      <c r="S367" s="10">
        <f>IF(Q367="A","价格与起订量有优势，建议优先询盘",IF(Q367="B","条件较均衡，可作为备选","起订量或价格需要进一步确认"))</f>
        <v/>
      </c>
      <c r="T367" s="10" t="inlineStr">
        <is>
          <t>未联系</t>
        </is>
      </c>
      <c r="U367" s="10" t="inlineStr">
        <is>
          <t>虚构演示数据</t>
        </is>
      </c>
    </row>
    <row r="368" ht="21" customHeight="1">
      <c r="A368" s="10" t="inlineStr">
        <is>
          <t>GYS-0364</t>
        </is>
      </c>
      <c r="B368" s="10" t="inlineStr">
        <is>
          <t>广州厨房用品供应链0364有限公司（演示）</t>
        </is>
      </c>
      <c r="C368" s="10" t="inlineStr">
        <is>
          <t>厨房用品</t>
        </is>
      </c>
      <c r="D368" s="10" t="inlineStr">
        <is>
          <t>硅胶保鲜盒</t>
        </is>
      </c>
      <c r="E368" s="10" t="inlineStr">
        <is>
          <t>广东广州</t>
        </is>
      </c>
      <c r="F368" s="10" t="inlineStr">
        <is>
          <t>1688</t>
        </is>
      </c>
      <c r="G368" s="10" t="inlineStr">
        <is>
          <t>张经理</t>
        </is>
      </c>
      <c r="H368" s="10" t="inlineStr">
        <is>
          <t>000-0000-0364</t>
        </is>
      </c>
      <c r="I368" s="10" t="inlineStr">
        <is>
          <t>DEMO_GYS_0364</t>
        </is>
      </c>
      <c r="J368" s="11" t="n">
        <v>23.6</v>
      </c>
      <c r="K368" s="11" t="n">
        <v>32</v>
      </c>
      <c r="L368" s="12" t="n">
        <v>100</v>
      </c>
      <c r="M368" s="10" t="inlineStr">
        <is>
          <t>否</t>
        </is>
      </c>
      <c r="N368" s="10" t="inlineStr">
        <is>
          <t>是</t>
        </is>
      </c>
      <c r="O368" s="10" t="inlineStr">
        <is>
          <t>supplier0364@example.com</t>
        </is>
      </c>
      <c r="P368" s="10" t="inlineStr">
        <is>
          <t>https://example.com/supplier/0364</t>
        </is>
      </c>
      <c r="Q368" s="10">
        <f>IF(R368&gt;=85,"A",IF(R368&gt;=70,"B","C"))</f>
        <v/>
      </c>
      <c r="R368" s="13">
        <f>MIN(100,50+IF(M368="是",10,0)+IF(N368="是",10,0)+IF(L368&lt;=100,10,IF(L368&lt;=300,5,0))+IF(J368&lt;=20,10,IF(J368&lt;=50,5,0))+IF(K368-J368&lt;=20,5,0)+IF(F368="企业官网",5,0))</f>
        <v/>
      </c>
      <c r="S368" s="10">
        <f>IF(Q368="A","价格与起订量有优势，建议优先询盘",IF(Q368="B","条件较均衡，可作为备选","起订量或价格需要进一步确认"))</f>
        <v/>
      </c>
      <c r="T368" s="10" t="inlineStr">
        <is>
          <t>未联系</t>
        </is>
      </c>
      <c r="U368" s="10" t="inlineStr">
        <is>
          <t>虚构演示数据</t>
        </is>
      </c>
    </row>
    <row r="369" ht="21" customHeight="1">
      <c r="A369" s="10" t="inlineStr">
        <is>
          <t>GYS-0365</t>
        </is>
      </c>
      <c r="B369" s="10" t="inlineStr">
        <is>
          <t>泉州数码配件供应链0365有限公司（演示）</t>
        </is>
      </c>
      <c r="C369" s="10" t="inlineStr">
        <is>
          <t>数码配件</t>
        </is>
      </c>
      <c r="D369" s="10" t="inlineStr">
        <is>
          <t>磁吸手机支架</t>
        </is>
      </c>
      <c r="E369" s="10" t="inlineStr">
        <is>
          <t>福建泉州</t>
        </is>
      </c>
      <c r="F369" s="10" t="inlineStr">
        <is>
          <t>中国制造网</t>
        </is>
      </c>
      <c r="G369" s="10" t="inlineStr">
        <is>
          <t>刘经理</t>
        </is>
      </c>
      <c r="H369" s="10" t="inlineStr">
        <is>
          <t>000-0000-0365</t>
        </is>
      </c>
      <c r="I369" s="10" t="inlineStr">
        <is>
          <t>DEMO_GYS_0365</t>
        </is>
      </c>
      <c r="J369" s="11" t="n">
        <v>25.3</v>
      </c>
      <c r="K369" s="11" t="n">
        <v>34.8</v>
      </c>
      <c r="L369" s="12" t="n">
        <v>50</v>
      </c>
      <c r="M369" s="10" t="inlineStr">
        <is>
          <t>是</t>
        </is>
      </c>
      <c r="N369" s="10" t="inlineStr">
        <is>
          <t>是</t>
        </is>
      </c>
      <c r="O369" s="10" t="inlineStr">
        <is>
          <t>supplier0365@example.com</t>
        </is>
      </c>
      <c r="P369" s="10" t="inlineStr">
        <is>
          <t>https://example.com/supplier/0365</t>
        </is>
      </c>
      <c r="Q369" s="10">
        <f>IF(R369&gt;=85,"A",IF(R369&gt;=70,"B","C"))</f>
        <v/>
      </c>
      <c r="R369" s="13">
        <f>MIN(100,50+IF(M369="是",10,0)+IF(N369="是",10,0)+IF(L369&lt;=100,10,IF(L369&lt;=300,5,0))+IF(J369&lt;=20,10,IF(J369&lt;=50,5,0))+IF(K369-J369&lt;=20,5,0)+IF(F369="企业官网",5,0))</f>
        <v/>
      </c>
      <c r="S369" s="10">
        <f>IF(Q369="A","价格与起订量有优势，建议优先询盘",IF(Q369="B","条件较均衡，可作为备选","起订量或价格需要进一步确认"))</f>
        <v/>
      </c>
      <c r="T369" s="10" t="inlineStr">
        <is>
          <t>未联系</t>
        </is>
      </c>
      <c r="U369" s="10" t="inlineStr">
        <is>
          <t>虚构演示数据</t>
        </is>
      </c>
    </row>
    <row r="370" ht="21" customHeight="1">
      <c r="A370" s="10" t="inlineStr">
        <is>
          <t>GYS-0366</t>
        </is>
      </c>
      <c r="B370" s="10" t="inlineStr">
        <is>
          <t>南通宠物用品供应链0366有限公司（演示）</t>
        </is>
      </c>
      <c r="C370" s="10" t="inlineStr">
        <is>
          <t>宠物用品</t>
        </is>
      </c>
      <c r="D370" s="10" t="inlineStr">
        <is>
          <t>宠物清洁手套</t>
        </is>
      </c>
      <c r="E370" s="10" t="inlineStr">
        <is>
          <t>江苏南通</t>
        </is>
      </c>
      <c r="F370" s="10" t="inlineStr">
        <is>
          <t>企业官网</t>
        </is>
      </c>
      <c r="G370" s="10" t="inlineStr">
        <is>
          <t>黄经理</t>
        </is>
      </c>
      <c r="H370" s="10" t="inlineStr">
        <is>
          <t>000-0000-0366</t>
        </is>
      </c>
      <c r="I370" s="10" t="inlineStr">
        <is>
          <t>DEMO_GYS_0366</t>
        </is>
      </c>
      <c r="J370" s="11" t="n">
        <v>27</v>
      </c>
      <c r="K370" s="11" t="n">
        <v>37.6</v>
      </c>
      <c r="L370" s="12" t="n">
        <v>20</v>
      </c>
      <c r="M370" s="10" t="inlineStr">
        <is>
          <t>是</t>
        </is>
      </c>
      <c r="N370" s="10" t="inlineStr">
        <is>
          <t>否</t>
        </is>
      </c>
      <c r="O370" s="10" t="inlineStr">
        <is>
          <t>supplier0366@example.com</t>
        </is>
      </c>
      <c r="P370" s="10" t="inlineStr">
        <is>
          <t>https://example.com/supplier/0366</t>
        </is>
      </c>
      <c r="Q370" s="10">
        <f>IF(R370&gt;=85,"A",IF(R370&gt;=70,"B","C"))</f>
        <v/>
      </c>
      <c r="R370" s="13">
        <f>MIN(100,50+IF(M370="是",10,0)+IF(N370="是",10,0)+IF(L370&lt;=100,10,IF(L370&lt;=300,5,0))+IF(J370&lt;=20,10,IF(J370&lt;=50,5,0))+IF(K370-J370&lt;=20,5,0)+IF(F370="企业官网",5,0))</f>
        <v/>
      </c>
      <c r="S370" s="10">
        <f>IF(Q370="A","价格与起订量有优势，建议优先询盘",IF(Q370="B","条件较均衡，可作为备选","起订量或价格需要进一步确认"))</f>
        <v/>
      </c>
      <c r="T370" s="10" t="inlineStr">
        <is>
          <t>未联系</t>
        </is>
      </c>
      <c r="U370" s="10" t="inlineStr">
        <is>
          <t>虚构演示数据</t>
        </is>
      </c>
    </row>
    <row r="371" ht="21" customHeight="1">
      <c r="A371" s="10" t="inlineStr">
        <is>
          <t>GYS-0367</t>
        </is>
      </c>
      <c r="B371" s="10" t="inlineStr">
        <is>
          <t>郑州母婴用品供应链0367有限公司（演示）</t>
        </is>
      </c>
      <c r="C371" s="10" t="inlineStr">
        <is>
          <t>母婴用品</t>
        </is>
      </c>
      <c r="D371" s="10" t="inlineStr">
        <is>
          <t>婴儿防撞条</t>
        </is>
      </c>
      <c r="E371" s="10" t="inlineStr">
        <is>
          <t>河南郑州</t>
        </is>
      </c>
      <c r="F371" s="10" t="inlineStr">
        <is>
          <t>义乌购</t>
        </is>
      </c>
      <c r="G371" s="10" t="inlineStr">
        <is>
          <t>赵经理</t>
        </is>
      </c>
      <c r="H371" s="10" t="inlineStr">
        <is>
          <t>000-0000-0367</t>
        </is>
      </c>
      <c r="I371" s="10" t="inlineStr">
        <is>
          <t>DEMO_GYS_0367</t>
        </is>
      </c>
      <c r="J371" s="11" t="n">
        <v>28.7</v>
      </c>
      <c r="K371" s="11" t="n">
        <v>40.4</v>
      </c>
      <c r="L371" s="12" t="n">
        <v>500</v>
      </c>
      <c r="M371" s="10" t="inlineStr">
        <is>
          <t>是</t>
        </is>
      </c>
      <c r="N371" s="10" t="inlineStr">
        <is>
          <t>是</t>
        </is>
      </c>
      <c r="O371" s="10" t="inlineStr">
        <is>
          <t>supplier0367@example.com</t>
        </is>
      </c>
      <c r="P371" s="10" t="inlineStr">
        <is>
          <t>https://example.com/supplier/0367</t>
        </is>
      </c>
      <c r="Q371" s="10">
        <f>IF(R371&gt;=85,"A",IF(R371&gt;=70,"B","C"))</f>
        <v/>
      </c>
      <c r="R371" s="13">
        <f>MIN(100,50+IF(M371="是",10,0)+IF(N371="是",10,0)+IF(L371&lt;=100,10,IF(L371&lt;=300,5,0))+IF(J371&lt;=20,10,IF(J371&lt;=50,5,0))+IF(K371-J371&lt;=20,5,0)+IF(F371="企业官网",5,0))</f>
        <v/>
      </c>
      <c r="S371" s="10">
        <f>IF(Q371="A","价格与起订量有优势，建议优先询盘",IF(Q371="B","条件较均衡，可作为备选","起订量或价格需要进一步确认"))</f>
        <v/>
      </c>
      <c r="T371" s="10" t="inlineStr">
        <is>
          <t>未联系</t>
        </is>
      </c>
      <c r="U371" s="10" t="inlineStr">
        <is>
          <t>虚构演示数据</t>
        </is>
      </c>
    </row>
    <row r="372" ht="21" customHeight="1">
      <c r="A372" s="10" t="inlineStr">
        <is>
          <t>GYS-0368</t>
        </is>
      </c>
      <c r="B372" s="10" t="inlineStr">
        <is>
          <t>宁波运动户外供应链0368有限公司（演示）</t>
        </is>
      </c>
      <c r="C372" s="10" t="inlineStr">
        <is>
          <t>运动户外</t>
        </is>
      </c>
      <c r="D372" s="10" t="inlineStr">
        <is>
          <t>弹力训练带</t>
        </is>
      </c>
      <c r="E372" s="10" t="inlineStr">
        <is>
          <t>浙江宁波</t>
        </is>
      </c>
      <c r="F372" s="10" t="inlineStr">
        <is>
          <t>慧聪网</t>
        </is>
      </c>
      <c r="G372" s="10" t="inlineStr">
        <is>
          <t>周经理</t>
        </is>
      </c>
      <c r="H372" s="10" t="inlineStr">
        <is>
          <t>000-0000-0368</t>
        </is>
      </c>
      <c r="I372" s="10" t="inlineStr">
        <is>
          <t>DEMO_GYS_0368</t>
        </is>
      </c>
      <c r="J372" s="11" t="n">
        <v>30.4</v>
      </c>
      <c r="K372" s="11" t="n">
        <v>43.2</v>
      </c>
      <c r="L372" s="12" t="n">
        <v>300</v>
      </c>
      <c r="M372" s="10" t="inlineStr">
        <is>
          <t>否</t>
        </is>
      </c>
      <c r="N372" s="10" t="inlineStr">
        <is>
          <t>是</t>
        </is>
      </c>
      <c r="O372" s="10" t="inlineStr">
        <is>
          <t>supplier0368@example.com</t>
        </is>
      </c>
      <c r="P372" s="10" t="inlineStr">
        <is>
          <t>https://example.com/supplier/0368</t>
        </is>
      </c>
      <c r="Q372" s="10">
        <f>IF(R372&gt;=85,"A",IF(R372&gt;=70,"B","C"))</f>
        <v/>
      </c>
      <c r="R372" s="13">
        <f>MIN(100,50+IF(M372="是",10,0)+IF(N372="是",10,0)+IF(L372&lt;=100,10,IF(L372&lt;=300,5,0))+IF(J372&lt;=20,10,IF(J372&lt;=50,5,0))+IF(K372-J372&lt;=20,5,0)+IF(F372="企业官网",5,0))</f>
        <v/>
      </c>
      <c r="S372" s="10">
        <f>IF(Q372="A","价格与起订量有优势，建议优先询盘",IF(Q372="B","条件较均衡，可作为备选","起订量或价格需要进一步确认"))</f>
        <v/>
      </c>
      <c r="T372" s="10" t="inlineStr">
        <is>
          <t>未联系</t>
        </is>
      </c>
      <c r="U372" s="10" t="inlineStr">
        <is>
          <t>虚构演示数据</t>
        </is>
      </c>
    </row>
    <row r="373" ht="21" customHeight="1">
      <c r="A373" s="10" t="inlineStr">
        <is>
          <t>GYS-0369</t>
        </is>
      </c>
      <c r="B373" s="10" t="inlineStr">
        <is>
          <t>深圳办公文具供应链0369有限公司（演示）</t>
        </is>
      </c>
      <c r="C373" s="10" t="inlineStr">
        <is>
          <t>办公文具</t>
        </is>
      </c>
      <c r="D373" s="10" t="inlineStr">
        <is>
          <t>桌面收纳架</t>
        </is>
      </c>
      <c r="E373" s="10" t="inlineStr">
        <is>
          <t>广东深圳</t>
        </is>
      </c>
      <c r="F373" s="10" t="inlineStr">
        <is>
          <t>1688</t>
        </is>
      </c>
      <c r="G373" s="10" t="inlineStr">
        <is>
          <t>吴经理</t>
        </is>
      </c>
      <c r="H373" s="10" t="inlineStr">
        <is>
          <t>000-0000-0369</t>
        </is>
      </c>
      <c r="I373" s="10" t="inlineStr">
        <is>
          <t>DEMO_GYS_0369</t>
        </is>
      </c>
      <c r="J373" s="11" t="n">
        <v>32.1</v>
      </c>
      <c r="K373" s="11" t="n">
        <v>46</v>
      </c>
      <c r="L373" s="12" t="n">
        <v>200</v>
      </c>
      <c r="M373" s="10" t="inlineStr">
        <is>
          <t>是</t>
        </is>
      </c>
      <c r="N373" s="10" t="inlineStr">
        <is>
          <t>否</t>
        </is>
      </c>
      <c r="O373" s="10" t="inlineStr">
        <is>
          <t>supplier0369@example.com</t>
        </is>
      </c>
      <c r="P373" s="10" t="inlineStr">
        <is>
          <t>https://example.com/supplier/0369</t>
        </is>
      </c>
      <c r="Q373" s="10">
        <f>IF(R373&gt;=85,"A",IF(R373&gt;=70,"B","C"))</f>
        <v/>
      </c>
      <c r="R373" s="13">
        <f>MIN(100,50+IF(M373="是",10,0)+IF(N373="是",10,0)+IF(L373&lt;=100,10,IF(L373&lt;=300,5,0))+IF(J373&lt;=20,10,IF(J373&lt;=50,5,0))+IF(K373-J373&lt;=20,5,0)+IF(F373="企业官网",5,0))</f>
        <v/>
      </c>
      <c r="S373" s="10">
        <f>IF(Q373="A","价格与起订量有优势，建议优先询盘",IF(Q373="B","条件较均衡，可作为备选","起订量或价格需要进一步确认"))</f>
        <v/>
      </c>
      <c r="T373" s="10" t="inlineStr">
        <is>
          <t>未联系</t>
        </is>
      </c>
      <c r="U373" s="10" t="inlineStr">
        <is>
          <t>虚构演示数据</t>
        </is>
      </c>
    </row>
    <row r="374" ht="21" customHeight="1">
      <c r="A374" s="10" t="inlineStr">
        <is>
          <t>GYS-0370</t>
        </is>
      </c>
      <c r="B374" s="10" t="inlineStr">
        <is>
          <t>佛山汽车用品供应链0370有限公司（演示）</t>
        </is>
      </c>
      <c r="C374" s="10" t="inlineStr">
        <is>
          <t>汽车用品</t>
        </is>
      </c>
      <c r="D374" s="10" t="inlineStr">
        <is>
          <t>车载香薰</t>
        </is>
      </c>
      <c r="E374" s="10" t="inlineStr">
        <is>
          <t>广东佛山</t>
        </is>
      </c>
      <c r="F374" s="10" t="inlineStr">
        <is>
          <t>中国制造网</t>
        </is>
      </c>
      <c r="G374" s="10" t="inlineStr">
        <is>
          <t>陈经理</t>
        </is>
      </c>
      <c r="H374" s="10" t="inlineStr">
        <is>
          <t>000-0000-0370</t>
        </is>
      </c>
      <c r="I374" s="10" t="inlineStr">
        <is>
          <t>DEMO_GYS_0370</t>
        </is>
      </c>
      <c r="J374" s="11" t="n">
        <v>33.8</v>
      </c>
      <c r="K374" s="11" t="n">
        <v>48.8</v>
      </c>
      <c r="L374" s="12" t="n">
        <v>100</v>
      </c>
      <c r="M374" s="10" t="inlineStr">
        <is>
          <t>是</t>
        </is>
      </c>
      <c r="N374" s="10" t="inlineStr">
        <is>
          <t>是</t>
        </is>
      </c>
      <c r="O374" s="10" t="inlineStr">
        <is>
          <t>supplier0370@example.com</t>
        </is>
      </c>
      <c r="P374" s="10" t="inlineStr">
        <is>
          <t>https://example.com/supplier/0370</t>
        </is>
      </c>
      <c r="Q374" s="10">
        <f>IF(R374&gt;=85,"A",IF(R374&gt;=70,"B","C"))</f>
        <v/>
      </c>
      <c r="R374" s="13">
        <f>MIN(100,50+IF(M374="是",10,0)+IF(N374="是",10,0)+IF(L374&lt;=100,10,IF(L374&lt;=300,5,0))+IF(J374&lt;=20,10,IF(J374&lt;=50,5,0))+IF(K374-J374&lt;=20,5,0)+IF(F374="企业官网",5,0))</f>
        <v/>
      </c>
      <c r="S374" s="10">
        <f>IF(Q374="A","价格与起订量有优势，建议优先询盘",IF(Q374="B","条件较均衡，可作为备选","起订量或价格需要进一步确认"))</f>
        <v/>
      </c>
      <c r="T374" s="10" t="inlineStr">
        <is>
          <t>未联系</t>
        </is>
      </c>
      <c r="U374" s="10" t="inlineStr">
        <is>
          <t>虚构演示数据</t>
        </is>
      </c>
    </row>
    <row r="375" ht="21" customHeight="1">
      <c r="A375" s="10" t="inlineStr">
        <is>
          <t>GYS-0371</t>
        </is>
      </c>
      <c r="B375" s="10" t="inlineStr">
        <is>
          <t>苏州美容工具供应链0371有限公司（演示）</t>
        </is>
      </c>
      <c r="C375" s="10" t="inlineStr">
        <is>
          <t>美容工具</t>
        </is>
      </c>
      <c r="D375" s="10" t="inlineStr">
        <is>
          <t>便携化妆镜</t>
        </is>
      </c>
      <c r="E375" s="10" t="inlineStr">
        <is>
          <t>江苏苏州</t>
        </is>
      </c>
      <c r="F375" s="10" t="inlineStr">
        <is>
          <t>企业官网</t>
        </is>
      </c>
      <c r="G375" s="10" t="inlineStr">
        <is>
          <t>林经理</t>
        </is>
      </c>
      <c r="H375" s="10" t="inlineStr">
        <is>
          <t>000-0000-0371</t>
        </is>
      </c>
      <c r="I375" s="10" t="inlineStr">
        <is>
          <t>DEMO_GYS_0371</t>
        </is>
      </c>
      <c r="J375" s="11" t="n">
        <v>35.5</v>
      </c>
      <c r="K375" s="11" t="n">
        <v>51.6</v>
      </c>
      <c r="L375" s="12" t="n">
        <v>50</v>
      </c>
      <c r="M375" s="10" t="inlineStr">
        <is>
          <t>是</t>
        </is>
      </c>
      <c r="N375" s="10" t="inlineStr">
        <is>
          <t>是</t>
        </is>
      </c>
      <c r="O375" s="10" t="inlineStr">
        <is>
          <t>supplier0371@example.com</t>
        </is>
      </c>
      <c r="P375" s="10" t="inlineStr">
        <is>
          <t>https://example.com/supplier/0371</t>
        </is>
      </c>
      <c r="Q375" s="10">
        <f>IF(R375&gt;=85,"A",IF(R375&gt;=70,"B","C"))</f>
        <v/>
      </c>
      <c r="R375" s="13">
        <f>MIN(100,50+IF(M375="是",10,0)+IF(N375="是",10,0)+IF(L375&lt;=100,10,IF(L375&lt;=300,5,0))+IF(J375&lt;=20,10,IF(J375&lt;=50,5,0))+IF(K375-J375&lt;=20,5,0)+IF(F375="企业官网",5,0))</f>
        <v/>
      </c>
      <c r="S375" s="10">
        <f>IF(Q375="A","价格与起订量有优势，建议优先询盘",IF(Q375="B","条件较均衡，可作为备选","起订量或价格需要进一步确认"))</f>
        <v/>
      </c>
      <c r="T375" s="10" t="inlineStr">
        <is>
          <t>未联系</t>
        </is>
      </c>
      <c r="U375" s="10" t="inlineStr">
        <is>
          <t>虚构演示数据</t>
        </is>
      </c>
    </row>
    <row r="376" ht="21" customHeight="1">
      <c r="A376" s="10" t="inlineStr">
        <is>
          <t>GYS-0372</t>
        </is>
      </c>
      <c r="B376" s="10" t="inlineStr">
        <is>
          <t>白沟旅行用品供应链0372有限公司（演示）</t>
        </is>
      </c>
      <c r="C376" s="10" t="inlineStr">
        <is>
          <t>旅行用品</t>
        </is>
      </c>
      <c r="D376" s="10" t="inlineStr">
        <is>
          <t>压缩收纳袋</t>
        </is>
      </c>
      <c r="E376" s="10" t="inlineStr">
        <is>
          <t>河北白沟</t>
        </is>
      </c>
      <c r="F376" s="10" t="inlineStr">
        <is>
          <t>义乌购</t>
        </is>
      </c>
      <c r="G376" s="10" t="inlineStr">
        <is>
          <t>王经理</t>
        </is>
      </c>
      <c r="H376" s="10" t="inlineStr">
        <is>
          <t>000-0000-0372</t>
        </is>
      </c>
      <c r="I376" s="10" t="inlineStr">
        <is>
          <t>DEMO_GYS_0372</t>
        </is>
      </c>
      <c r="J376" s="11" t="n">
        <v>37.2</v>
      </c>
      <c r="K376" s="11" t="n">
        <v>54.4</v>
      </c>
      <c r="L376" s="12" t="n">
        <v>20</v>
      </c>
      <c r="M376" s="10" t="inlineStr">
        <is>
          <t>否</t>
        </is>
      </c>
      <c r="N376" s="10" t="inlineStr">
        <is>
          <t>否</t>
        </is>
      </c>
      <c r="O376" s="10" t="inlineStr">
        <is>
          <t>supplier0372@example.com</t>
        </is>
      </c>
      <c r="P376" s="10" t="inlineStr">
        <is>
          <t>https://example.com/supplier/0372</t>
        </is>
      </c>
      <c r="Q376" s="10">
        <f>IF(R376&gt;=85,"A",IF(R376&gt;=70,"B","C"))</f>
        <v/>
      </c>
      <c r="R376" s="13">
        <f>MIN(100,50+IF(M376="是",10,0)+IF(N376="是",10,0)+IF(L376&lt;=100,10,IF(L376&lt;=300,5,0))+IF(J376&lt;=20,10,IF(J376&lt;=50,5,0))+IF(K376-J376&lt;=20,5,0)+IF(F376="企业官网",5,0))</f>
        <v/>
      </c>
      <c r="S376" s="10">
        <f>IF(Q376="A","价格与起订量有优势，建议优先询盘",IF(Q376="B","条件较均衡，可作为备选","起订量或价格需要进一步确认"))</f>
        <v/>
      </c>
      <c r="T376" s="10" t="inlineStr">
        <is>
          <t>未联系</t>
        </is>
      </c>
      <c r="U376" s="10" t="inlineStr">
        <is>
          <t>虚构演示数据</t>
        </is>
      </c>
    </row>
    <row r="377" ht="21" customHeight="1">
      <c r="A377" s="10" t="inlineStr">
        <is>
          <t>GYS-0373</t>
        </is>
      </c>
      <c r="B377" s="10" t="inlineStr">
        <is>
          <t>义乌清洁工具供应链0373有限公司（演示）</t>
        </is>
      </c>
      <c r="C377" s="10" t="inlineStr">
        <is>
          <t>清洁工具</t>
        </is>
      </c>
      <c r="D377" s="10" t="inlineStr">
        <is>
          <t>免手洗拖把</t>
        </is>
      </c>
      <c r="E377" s="10" t="inlineStr">
        <is>
          <t>浙江义乌</t>
        </is>
      </c>
      <c r="F377" s="10" t="inlineStr">
        <is>
          <t>慧聪网</t>
        </is>
      </c>
      <c r="G377" s="10" t="inlineStr">
        <is>
          <t>李经理</t>
        </is>
      </c>
      <c r="H377" s="10" t="inlineStr">
        <is>
          <t>000-0000-0373</t>
        </is>
      </c>
      <c r="I377" s="10" t="inlineStr">
        <is>
          <t>DEMO_GYS_0373</t>
        </is>
      </c>
      <c r="J377" s="11" t="n">
        <v>38.9</v>
      </c>
      <c r="K377" s="11" t="n">
        <v>57.2</v>
      </c>
      <c r="L377" s="12" t="n">
        <v>500</v>
      </c>
      <c r="M377" s="10" t="inlineStr">
        <is>
          <t>是</t>
        </is>
      </c>
      <c r="N377" s="10" t="inlineStr">
        <is>
          <t>是</t>
        </is>
      </c>
      <c r="O377" s="10" t="inlineStr">
        <is>
          <t>supplier0373@example.com</t>
        </is>
      </c>
      <c r="P377" s="10" t="inlineStr">
        <is>
          <t>https://example.com/supplier/0373</t>
        </is>
      </c>
      <c r="Q377" s="10">
        <f>IF(R377&gt;=85,"A",IF(R377&gt;=70,"B","C"))</f>
        <v/>
      </c>
      <c r="R377" s="13">
        <f>MIN(100,50+IF(M377="是",10,0)+IF(N377="是",10,0)+IF(L377&lt;=100,10,IF(L377&lt;=300,5,0))+IF(J377&lt;=20,10,IF(J377&lt;=50,5,0))+IF(K377-J377&lt;=20,5,0)+IF(F377="企业官网",5,0))</f>
        <v/>
      </c>
      <c r="S377" s="10">
        <f>IF(Q377="A","价格与起订量有优势，建议优先询盘",IF(Q377="B","条件较均衡，可作为备选","起订量或价格需要进一步确认"))</f>
        <v/>
      </c>
      <c r="T377" s="10" t="inlineStr">
        <is>
          <t>未联系</t>
        </is>
      </c>
      <c r="U377" s="10" t="inlineStr">
        <is>
          <t>虚构演示数据</t>
        </is>
      </c>
    </row>
    <row r="378" ht="21" customHeight="1">
      <c r="A378" s="10" t="inlineStr">
        <is>
          <t>GYS-0374</t>
        </is>
      </c>
      <c r="B378" s="10" t="inlineStr">
        <is>
          <t>台州小家电供应链0374有限公司（演示）</t>
        </is>
      </c>
      <c r="C378" s="10" t="inlineStr">
        <is>
          <t>小家电</t>
        </is>
      </c>
      <c r="D378" s="10" t="inlineStr">
        <is>
          <t>迷你加湿器</t>
        </is>
      </c>
      <c r="E378" s="10" t="inlineStr">
        <is>
          <t>浙江台州</t>
        </is>
      </c>
      <c r="F378" s="10" t="inlineStr">
        <is>
          <t>1688</t>
        </is>
      </c>
      <c r="G378" s="10" t="inlineStr">
        <is>
          <t>张经理</t>
        </is>
      </c>
      <c r="H378" s="10" t="inlineStr">
        <is>
          <t>000-0000-0374</t>
        </is>
      </c>
      <c r="I378" s="10" t="inlineStr">
        <is>
          <t>DEMO_GYS_0374</t>
        </is>
      </c>
      <c r="J378" s="11" t="n">
        <v>40.6</v>
      </c>
      <c r="K378" s="11" t="n">
        <v>60</v>
      </c>
      <c r="L378" s="12" t="n">
        <v>300</v>
      </c>
      <c r="M378" s="10" t="inlineStr">
        <is>
          <t>是</t>
        </is>
      </c>
      <c r="N378" s="10" t="inlineStr">
        <is>
          <t>是</t>
        </is>
      </c>
      <c r="O378" s="10" t="inlineStr">
        <is>
          <t>supplier0374@example.com</t>
        </is>
      </c>
      <c r="P378" s="10" t="inlineStr">
        <is>
          <t>https://example.com/supplier/0374</t>
        </is>
      </c>
      <c r="Q378" s="10">
        <f>IF(R378&gt;=85,"A",IF(R378&gt;=70,"B","C"))</f>
        <v/>
      </c>
      <c r="R378" s="13">
        <f>MIN(100,50+IF(M378="是",10,0)+IF(N378="是",10,0)+IF(L378&lt;=100,10,IF(L378&lt;=300,5,0))+IF(J378&lt;=20,10,IF(J378&lt;=50,5,0))+IF(K378-J378&lt;=20,5,0)+IF(F378="企业官网",5,0))</f>
        <v/>
      </c>
      <c r="S378" s="10">
        <f>IF(Q378="A","价格与起订量有优势，建议优先询盘",IF(Q378="B","条件较均衡，可作为备选","起订量或价格需要进一步确认"))</f>
        <v/>
      </c>
      <c r="T378" s="10" t="inlineStr">
        <is>
          <t>未联系</t>
        </is>
      </c>
      <c r="U378" s="10" t="inlineStr">
        <is>
          <t>虚构演示数据</t>
        </is>
      </c>
    </row>
    <row r="379" ht="21" customHeight="1">
      <c r="A379" s="10" t="inlineStr">
        <is>
          <t>GYS-0375</t>
        </is>
      </c>
      <c r="B379" s="10" t="inlineStr">
        <is>
          <t>东莞礼品包装供应链0375有限公司（演示）</t>
        </is>
      </c>
      <c r="C379" s="10" t="inlineStr">
        <is>
          <t>礼品包装</t>
        </is>
      </c>
      <c r="D379" s="10" t="inlineStr">
        <is>
          <t>节日礼盒</t>
        </is>
      </c>
      <c r="E379" s="10" t="inlineStr">
        <is>
          <t>广东东莞</t>
        </is>
      </c>
      <c r="F379" s="10" t="inlineStr">
        <is>
          <t>中国制造网</t>
        </is>
      </c>
      <c r="G379" s="10" t="inlineStr">
        <is>
          <t>刘经理</t>
        </is>
      </c>
      <c r="H379" s="10" t="inlineStr">
        <is>
          <t>000-0000-0375</t>
        </is>
      </c>
      <c r="I379" s="10" t="inlineStr">
        <is>
          <t>DEMO_GYS_0375</t>
        </is>
      </c>
      <c r="J379" s="11" t="n">
        <v>42.3</v>
      </c>
      <c r="K379" s="11" t="n">
        <v>62.8</v>
      </c>
      <c r="L379" s="12" t="n">
        <v>200</v>
      </c>
      <c r="M379" s="10" t="inlineStr">
        <is>
          <t>是</t>
        </is>
      </c>
      <c r="N379" s="10" t="inlineStr">
        <is>
          <t>否</t>
        </is>
      </c>
      <c r="O379" s="10" t="inlineStr">
        <is>
          <t>supplier0375@example.com</t>
        </is>
      </c>
      <c r="P379" s="10" t="inlineStr">
        <is>
          <t>https://example.com/supplier/0375</t>
        </is>
      </c>
      <c r="Q379" s="10">
        <f>IF(R379&gt;=85,"A",IF(R379&gt;=70,"B","C"))</f>
        <v/>
      </c>
      <c r="R379" s="13">
        <f>MIN(100,50+IF(M379="是",10,0)+IF(N379="是",10,0)+IF(L379&lt;=100,10,IF(L379&lt;=300,5,0))+IF(J379&lt;=20,10,IF(J379&lt;=50,5,0))+IF(K379-J379&lt;=20,5,0)+IF(F379="企业官网",5,0))</f>
        <v/>
      </c>
      <c r="S379" s="10">
        <f>IF(Q379="A","价格与起订量有优势，建议优先询盘",IF(Q379="B","条件较均衡，可作为备选","起订量或价格需要进一步确认"))</f>
        <v/>
      </c>
      <c r="T379" s="10" t="inlineStr">
        <is>
          <t>未联系</t>
        </is>
      </c>
      <c r="U379" s="10" t="inlineStr">
        <is>
          <t>虚构演示数据</t>
        </is>
      </c>
    </row>
    <row r="380" ht="21" customHeight="1">
      <c r="A380" s="10" t="inlineStr">
        <is>
          <t>GYS-0376</t>
        </is>
      </c>
      <c r="B380" s="10" t="inlineStr">
        <is>
          <t>厦门五金工具供应链0376有限公司（演示）</t>
        </is>
      </c>
      <c r="C380" s="10" t="inlineStr">
        <is>
          <t>五金工具</t>
        </is>
      </c>
      <c r="D380" s="10" t="inlineStr">
        <is>
          <t>多功能螺丝刀</t>
        </is>
      </c>
      <c r="E380" s="10" t="inlineStr">
        <is>
          <t>福建厦门</t>
        </is>
      </c>
      <c r="F380" s="10" t="inlineStr">
        <is>
          <t>企业官网</t>
        </is>
      </c>
      <c r="G380" s="10" t="inlineStr">
        <is>
          <t>黄经理</t>
        </is>
      </c>
      <c r="H380" s="10" t="inlineStr">
        <is>
          <t>000-0000-0376</t>
        </is>
      </c>
      <c r="I380" s="10" t="inlineStr">
        <is>
          <t>DEMO_GYS_0376</t>
        </is>
      </c>
      <c r="J380" s="11" t="n">
        <v>44</v>
      </c>
      <c r="K380" s="11" t="n">
        <v>65.59999999999999</v>
      </c>
      <c r="L380" s="12" t="n">
        <v>100</v>
      </c>
      <c r="M380" s="10" t="inlineStr">
        <is>
          <t>否</t>
        </is>
      </c>
      <c r="N380" s="10" t="inlineStr">
        <is>
          <t>是</t>
        </is>
      </c>
      <c r="O380" s="10" t="inlineStr">
        <is>
          <t>supplier0376@example.com</t>
        </is>
      </c>
      <c r="P380" s="10" t="inlineStr">
        <is>
          <t>https://example.com/supplier/0376</t>
        </is>
      </c>
      <c r="Q380" s="10">
        <f>IF(R380&gt;=85,"A",IF(R380&gt;=70,"B","C"))</f>
        <v/>
      </c>
      <c r="R380" s="13">
        <f>MIN(100,50+IF(M380="是",10,0)+IF(N380="是",10,0)+IF(L380&lt;=100,10,IF(L380&lt;=300,5,0))+IF(J380&lt;=20,10,IF(J380&lt;=50,5,0))+IF(K380-J380&lt;=20,5,0)+IF(F380="企业官网",5,0))</f>
        <v/>
      </c>
      <c r="S380" s="10">
        <f>IF(Q380="A","价格与起订量有优势，建议优先询盘",IF(Q380="B","条件较均衡，可作为备选","起订量或价格需要进一步确认"))</f>
        <v/>
      </c>
      <c r="T380" s="10" t="inlineStr">
        <is>
          <t>未联系</t>
        </is>
      </c>
      <c r="U380" s="10" t="inlineStr">
        <is>
          <t>虚构演示数据</t>
        </is>
      </c>
    </row>
    <row r="381" ht="21" customHeight="1">
      <c r="A381" s="10" t="inlineStr">
        <is>
          <t>GYS-0377</t>
        </is>
      </c>
      <c r="B381" s="10" t="inlineStr">
        <is>
          <t>临沂鞋靴配件供应链0377有限公司（演示）</t>
        </is>
      </c>
      <c r="C381" s="10" t="inlineStr">
        <is>
          <t>鞋靴配件</t>
        </is>
      </c>
      <c r="D381" s="10" t="inlineStr">
        <is>
          <t>防磨脚贴</t>
        </is>
      </c>
      <c r="E381" s="10" t="inlineStr">
        <is>
          <t>山东临沂</t>
        </is>
      </c>
      <c r="F381" s="10" t="inlineStr">
        <is>
          <t>义乌购</t>
        </is>
      </c>
      <c r="G381" s="10" t="inlineStr">
        <is>
          <t>赵经理</t>
        </is>
      </c>
      <c r="H381" s="10" t="inlineStr">
        <is>
          <t>000-0000-0377</t>
        </is>
      </c>
      <c r="I381" s="10" t="inlineStr">
        <is>
          <t>DEMO_GYS_0377</t>
        </is>
      </c>
      <c r="J381" s="11" t="n">
        <v>45.7</v>
      </c>
      <c r="K381" s="11" t="n">
        <v>50.4</v>
      </c>
      <c r="L381" s="12" t="n">
        <v>50</v>
      </c>
      <c r="M381" s="10" t="inlineStr">
        <is>
          <t>是</t>
        </is>
      </c>
      <c r="N381" s="10" t="inlineStr">
        <is>
          <t>是</t>
        </is>
      </c>
      <c r="O381" s="10" t="inlineStr">
        <is>
          <t>supplier0377@example.com</t>
        </is>
      </c>
      <c r="P381" s="10" t="inlineStr">
        <is>
          <t>https://example.com/supplier/0377</t>
        </is>
      </c>
      <c r="Q381" s="10">
        <f>IF(R381&gt;=85,"A",IF(R381&gt;=70,"B","C"))</f>
        <v/>
      </c>
      <c r="R381" s="13">
        <f>MIN(100,50+IF(M381="是",10,0)+IF(N381="是",10,0)+IF(L381&lt;=100,10,IF(L381&lt;=300,5,0))+IF(J381&lt;=20,10,IF(J381&lt;=50,5,0))+IF(K381-J381&lt;=20,5,0)+IF(F381="企业官网",5,0))</f>
        <v/>
      </c>
      <c r="S381" s="10">
        <f>IF(Q381="A","价格与起订量有优势，建议优先询盘",IF(Q381="B","条件较均衡，可作为备选","起订量或价格需要进一步确认"))</f>
        <v/>
      </c>
      <c r="T381" s="10" t="inlineStr">
        <is>
          <t>未联系</t>
        </is>
      </c>
      <c r="U381" s="10" t="inlineStr">
        <is>
          <t>虚构演示数据</t>
        </is>
      </c>
    </row>
    <row r="382" ht="21" customHeight="1">
      <c r="A382" s="10" t="inlineStr">
        <is>
          <t>GYS-0378</t>
        </is>
      </c>
      <c r="B382" s="10" t="inlineStr">
        <is>
          <t>南昌食品包装供应链0378有限公司（演示）</t>
        </is>
      </c>
      <c r="C382" s="10" t="inlineStr">
        <is>
          <t>食品包装</t>
        </is>
      </c>
      <c r="D382" s="10" t="inlineStr">
        <is>
          <t>密封包装袋</t>
        </is>
      </c>
      <c r="E382" s="10" t="inlineStr">
        <is>
          <t>江西南昌</t>
        </is>
      </c>
      <c r="F382" s="10" t="inlineStr">
        <is>
          <t>慧聪网</t>
        </is>
      </c>
      <c r="G382" s="10" t="inlineStr">
        <is>
          <t>周经理</t>
        </is>
      </c>
      <c r="H382" s="10" t="inlineStr">
        <is>
          <t>000-0000-0378</t>
        </is>
      </c>
      <c r="I382" s="10" t="inlineStr">
        <is>
          <t>DEMO_GYS_0378</t>
        </is>
      </c>
      <c r="J382" s="11" t="n">
        <v>47.4</v>
      </c>
      <c r="K382" s="11" t="n">
        <v>53.2</v>
      </c>
      <c r="L382" s="12" t="n">
        <v>20</v>
      </c>
      <c r="M382" s="10" t="inlineStr">
        <is>
          <t>是</t>
        </is>
      </c>
      <c r="N382" s="10" t="inlineStr">
        <is>
          <t>否</t>
        </is>
      </c>
      <c r="O382" s="10" t="inlineStr">
        <is>
          <t>supplier0378@example.com</t>
        </is>
      </c>
      <c r="P382" s="10" t="inlineStr">
        <is>
          <t>https://example.com/supplier/0378</t>
        </is>
      </c>
      <c r="Q382" s="10">
        <f>IF(R382&gt;=85,"A",IF(R382&gt;=70,"B","C"))</f>
        <v/>
      </c>
      <c r="R382" s="13">
        <f>MIN(100,50+IF(M382="是",10,0)+IF(N382="是",10,0)+IF(L382&lt;=100,10,IF(L382&lt;=300,5,0))+IF(J382&lt;=20,10,IF(J382&lt;=50,5,0))+IF(K382-J382&lt;=20,5,0)+IF(F382="企业官网",5,0))</f>
        <v/>
      </c>
      <c r="S382" s="10">
        <f>IF(Q382="A","价格与起订量有优势，建议优先询盘",IF(Q382="B","条件较均衡，可作为备选","起订量或价格需要进一步确认"))</f>
        <v/>
      </c>
      <c r="T382" s="10" t="inlineStr">
        <is>
          <t>未联系</t>
        </is>
      </c>
      <c r="U382" s="10" t="inlineStr">
        <is>
          <t>虚构演示数据</t>
        </is>
      </c>
    </row>
    <row r="383" ht="21" customHeight="1">
      <c r="A383" s="10" t="inlineStr">
        <is>
          <t>GYS-0379</t>
        </is>
      </c>
      <c r="B383" s="10" t="inlineStr">
        <is>
          <t>温州户外照明供应链0379有限公司（演示）</t>
        </is>
      </c>
      <c r="C383" s="10" t="inlineStr">
        <is>
          <t>户外照明</t>
        </is>
      </c>
      <c r="D383" s="10" t="inlineStr">
        <is>
          <t>便携露营灯</t>
        </is>
      </c>
      <c r="E383" s="10" t="inlineStr">
        <is>
          <t>浙江温州</t>
        </is>
      </c>
      <c r="F383" s="10" t="inlineStr">
        <is>
          <t>1688</t>
        </is>
      </c>
      <c r="G383" s="10" t="inlineStr">
        <is>
          <t>吴经理</t>
        </is>
      </c>
      <c r="H383" s="10" t="inlineStr">
        <is>
          <t>000-0000-0379</t>
        </is>
      </c>
      <c r="I383" s="10" t="inlineStr">
        <is>
          <t>DEMO_GYS_0379</t>
        </is>
      </c>
      <c r="J383" s="11" t="n">
        <v>3.1</v>
      </c>
      <c r="K383" s="11" t="n">
        <v>10</v>
      </c>
      <c r="L383" s="12" t="n">
        <v>500</v>
      </c>
      <c r="M383" s="10" t="inlineStr">
        <is>
          <t>是</t>
        </is>
      </c>
      <c r="N383" s="10" t="inlineStr">
        <is>
          <t>是</t>
        </is>
      </c>
      <c r="O383" s="10" t="inlineStr">
        <is>
          <t>supplier0379@example.com</t>
        </is>
      </c>
      <c r="P383" s="10" t="inlineStr">
        <is>
          <t>https://example.com/supplier/0379</t>
        </is>
      </c>
      <c r="Q383" s="10">
        <f>IF(R383&gt;=85,"A",IF(R383&gt;=70,"B","C"))</f>
        <v/>
      </c>
      <c r="R383" s="13">
        <f>MIN(100,50+IF(M383="是",10,0)+IF(N383="是",10,0)+IF(L383&lt;=100,10,IF(L383&lt;=300,5,0))+IF(J383&lt;=20,10,IF(J383&lt;=50,5,0))+IF(K383-J383&lt;=20,5,0)+IF(F383="企业官网",5,0))</f>
        <v/>
      </c>
      <c r="S383" s="10">
        <f>IF(Q383="A","价格与起订量有优势，建议优先询盘",IF(Q383="B","条件较均衡，可作为备选","起订量或价格需要进一步确认"))</f>
        <v/>
      </c>
      <c r="T383" s="10" t="inlineStr">
        <is>
          <t>未联系</t>
        </is>
      </c>
      <c r="U383" s="10" t="inlineStr">
        <is>
          <t>虚构演示数据</t>
        </is>
      </c>
    </row>
    <row r="384" ht="21" customHeight="1">
      <c r="A384" s="10" t="inlineStr">
        <is>
          <t>GYS-0380</t>
        </is>
      </c>
      <c r="B384" s="10" t="inlineStr">
        <is>
          <t>广州健康用品供应链0380有限公司（演示）</t>
        </is>
      </c>
      <c r="C384" s="10" t="inlineStr">
        <is>
          <t>健康用品</t>
        </is>
      </c>
      <c r="D384" s="10" t="inlineStr">
        <is>
          <t>热敷眼罩</t>
        </is>
      </c>
      <c r="E384" s="10" t="inlineStr">
        <is>
          <t>广东广州</t>
        </is>
      </c>
      <c r="F384" s="10" t="inlineStr">
        <is>
          <t>中国制造网</t>
        </is>
      </c>
      <c r="G384" s="10" t="inlineStr">
        <is>
          <t>陈经理</t>
        </is>
      </c>
      <c r="H384" s="10" t="inlineStr">
        <is>
          <t>000-0000-0380</t>
        </is>
      </c>
      <c r="I384" s="10" t="inlineStr">
        <is>
          <t>DEMO_GYS_0380</t>
        </is>
      </c>
      <c r="J384" s="11" t="n">
        <v>4.8</v>
      </c>
      <c r="K384" s="11" t="n">
        <v>12.8</v>
      </c>
      <c r="L384" s="12" t="n">
        <v>300</v>
      </c>
      <c r="M384" s="10" t="inlineStr">
        <is>
          <t>否</t>
        </is>
      </c>
      <c r="N384" s="10" t="inlineStr">
        <is>
          <t>是</t>
        </is>
      </c>
      <c r="O384" s="10" t="inlineStr">
        <is>
          <t>supplier0380@example.com</t>
        </is>
      </c>
      <c r="P384" s="10" t="inlineStr">
        <is>
          <t>https://example.com/supplier/0380</t>
        </is>
      </c>
      <c r="Q384" s="10">
        <f>IF(R384&gt;=85,"A",IF(R384&gt;=70,"B","C"))</f>
        <v/>
      </c>
      <c r="R384" s="13">
        <f>MIN(100,50+IF(M384="是",10,0)+IF(N384="是",10,0)+IF(L384&lt;=100,10,IF(L384&lt;=300,5,0))+IF(J384&lt;=20,10,IF(J384&lt;=50,5,0))+IF(K384-J384&lt;=20,5,0)+IF(F384="企业官网",5,0))</f>
        <v/>
      </c>
      <c r="S384" s="10">
        <f>IF(Q384="A","价格与起订量有优势，建议优先询盘",IF(Q384="B","条件较均衡，可作为备选","起订量或价格需要进一步确认"))</f>
        <v/>
      </c>
      <c r="T384" s="10" t="inlineStr">
        <is>
          <t>未联系</t>
        </is>
      </c>
      <c r="U384" s="10" t="inlineStr">
        <is>
          <t>虚构演示数据</t>
        </is>
      </c>
    </row>
    <row r="385" ht="21" customHeight="1">
      <c r="A385" s="10" t="inlineStr">
        <is>
          <t>GYS-0381</t>
        </is>
      </c>
      <c r="B385" s="10" t="inlineStr">
        <is>
          <t>泉州服饰内衣供应链0381有限公司（演示）</t>
        </is>
      </c>
      <c r="C385" s="10" t="inlineStr">
        <is>
          <t>服饰内衣</t>
        </is>
      </c>
      <c r="D385" s="10" t="inlineStr">
        <is>
          <t>防滑袜</t>
        </is>
      </c>
      <c r="E385" s="10" t="inlineStr">
        <is>
          <t>福建泉州</t>
        </is>
      </c>
      <c r="F385" s="10" t="inlineStr">
        <is>
          <t>企业官网</t>
        </is>
      </c>
      <c r="G385" s="10" t="inlineStr">
        <is>
          <t>林经理</t>
        </is>
      </c>
      <c r="H385" s="10" t="inlineStr">
        <is>
          <t>000-0000-0381</t>
        </is>
      </c>
      <c r="I385" s="10" t="inlineStr">
        <is>
          <t>DEMO_GYS_0381</t>
        </is>
      </c>
      <c r="J385" s="11" t="n">
        <v>6.5</v>
      </c>
      <c r="K385" s="11" t="n">
        <v>15.6</v>
      </c>
      <c r="L385" s="12" t="n">
        <v>200</v>
      </c>
      <c r="M385" s="10" t="inlineStr">
        <is>
          <t>是</t>
        </is>
      </c>
      <c r="N385" s="10" t="inlineStr">
        <is>
          <t>否</t>
        </is>
      </c>
      <c r="O385" s="10" t="inlineStr">
        <is>
          <t>supplier0381@example.com</t>
        </is>
      </c>
      <c r="P385" s="10" t="inlineStr">
        <is>
          <t>https://example.com/supplier/0381</t>
        </is>
      </c>
      <c r="Q385" s="10">
        <f>IF(R385&gt;=85,"A",IF(R385&gt;=70,"B","C"))</f>
        <v/>
      </c>
      <c r="R385" s="13">
        <f>MIN(100,50+IF(M385="是",10,0)+IF(N385="是",10,0)+IF(L385&lt;=100,10,IF(L385&lt;=300,5,0))+IF(J385&lt;=20,10,IF(J385&lt;=50,5,0))+IF(K385-J385&lt;=20,5,0)+IF(F385="企业官网",5,0))</f>
        <v/>
      </c>
      <c r="S385" s="10">
        <f>IF(Q385="A","价格与起订量有优势，建议优先询盘",IF(Q385="B","条件较均衡，可作为备选","起订量或价格需要进一步确认"))</f>
        <v/>
      </c>
      <c r="T385" s="10" t="inlineStr">
        <is>
          <t>未联系</t>
        </is>
      </c>
      <c r="U385" s="10" t="inlineStr">
        <is>
          <t>虚构演示数据</t>
        </is>
      </c>
    </row>
    <row r="386" ht="21" customHeight="1">
      <c r="A386" s="10" t="inlineStr">
        <is>
          <t>GYS-0382</t>
        </is>
      </c>
      <c r="B386" s="10" t="inlineStr">
        <is>
          <t>南通家居日用供应链0382有限公司（演示）</t>
        </is>
      </c>
      <c r="C386" s="10" t="inlineStr">
        <is>
          <t>家居日用</t>
        </is>
      </c>
      <c r="D386" s="10" t="inlineStr">
        <is>
          <t>折叠收纳箱</t>
        </is>
      </c>
      <c r="E386" s="10" t="inlineStr">
        <is>
          <t>江苏南通</t>
        </is>
      </c>
      <c r="F386" s="10" t="inlineStr">
        <is>
          <t>义乌购</t>
        </is>
      </c>
      <c r="G386" s="10" t="inlineStr">
        <is>
          <t>王经理</t>
        </is>
      </c>
      <c r="H386" s="10" t="inlineStr">
        <is>
          <t>000-0000-0382</t>
        </is>
      </c>
      <c r="I386" s="10" t="inlineStr">
        <is>
          <t>DEMO_GYS_0382</t>
        </is>
      </c>
      <c r="J386" s="11" t="n">
        <v>8.199999999999999</v>
      </c>
      <c r="K386" s="11" t="n">
        <v>18.4</v>
      </c>
      <c r="L386" s="12" t="n">
        <v>100</v>
      </c>
      <c r="M386" s="10" t="inlineStr">
        <is>
          <t>是</t>
        </is>
      </c>
      <c r="N386" s="10" t="inlineStr">
        <is>
          <t>是</t>
        </is>
      </c>
      <c r="O386" s="10" t="inlineStr">
        <is>
          <t>supplier0382@example.com</t>
        </is>
      </c>
      <c r="P386" s="10" t="inlineStr">
        <is>
          <t>https://example.com/supplier/0382</t>
        </is>
      </c>
      <c r="Q386" s="10">
        <f>IF(R386&gt;=85,"A",IF(R386&gt;=70,"B","C"))</f>
        <v/>
      </c>
      <c r="R386" s="13">
        <f>MIN(100,50+IF(M386="是",10,0)+IF(N386="是",10,0)+IF(L386&lt;=100,10,IF(L386&lt;=300,5,0))+IF(J386&lt;=20,10,IF(J386&lt;=50,5,0))+IF(K386-J386&lt;=20,5,0)+IF(F386="企业官网",5,0))</f>
        <v/>
      </c>
      <c r="S386" s="10">
        <f>IF(Q386="A","价格与起订量有优势，建议优先询盘",IF(Q386="B","条件较均衡，可作为备选","起订量或价格需要进一步确认"))</f>
        <v/>
      </c>
      <c r="T386" s="10" t="inlineStr">
        <is>
          <t>未联系</t>
        </is>
      </c>
      <c r="U386" s="10" t="inlineStr">
        <is>
          <t>虚构演示数据</t>
        </is>
      </c>
    </row>
    <row r="387" ht="21" customHeight="1">
      <c r="A387" s="10" t="inlineStr">
        <is>
          <t>GYS-0383</t>
        </is>
      </c>
      <c r="B387" s="10" t="inlineStr">
        <is>
          <t>郑州个护清洁供应链0383有限公司（演示）</t>
        </is>
      </c>
      <c r="C387" s="10" t="inlineStr">
        <is>
          <t>个护清洁</t>
        </is>
      </c>
      <c r="D387" s="10" t="inlineStr">
        <is>
          <t>便携洗脸巾</t>
        </is>
      </c>
      <c r="E387" s="10" t="inlineStr">
        <is>
          <t>河南郑州</t>
        </is>
      </c>
      <c r="F387" s="10" t="inlineStr">
        <is>
          <t>慧聪网</t>
        </is>
      </c>
      <c r="G387" s="10" t="inlineStr">
        <is>
          <t>李经理</t>
        </is>
      </c>
      <c r="H387" s="10" t="inlineStr">
        <is>
          <t>000-0000-0383</t>
        </is>
      </c>
      <c r="I387" s="10" t="inlineStr">
        <is>
          <t>DEMO_GYS_0383</t>
        </is>
      </c>
      <c r="J387" s="11" t="n">
        <v>9.9</v>
      </c>
      <c r="K387" s="11" t="n">
        <v>21.2</v>
      </c>
      <c r="L387" s="12" t="n">
        <v>50</v>
      </c>
      <c r="M387" s="10" t="inlineStr">
        <is>
          <t>是</t>
        </is>
      </c>
      <c r="N387" s="10" t="inlineStr">
        <is>
          <t>是</t>
        </is>
      </c>
      <c r="O387" s="10" t="inlineStr">
        <is>
          <t>supplier0383@example.com</t>
        </is>
      </c>
      <c r="P387" s="10" t="inlineStr">
        <is>
          <t>https://example.com/supplier/0383</t>
        </is>
      </c>
      <c r="Q387" s="10">
        <f>IF(R387&gt;=85,"A",IF(R387&gt;=70,"B","C"))</f>
        <v/>
      </c>
      <c r="R387" s="13">
        <f>MIN(100,50+IF(M387="是",10,0)+IF(N387="是",10,0)+IF(L387&lt;=100,10,IF(L387&lt;=300,5,0))+IF(J387&lt;=20,10,IF(J387&lt;=50,5,0))+IF(K387-J387&lt;=20,5,0)+IF(F387="企业官网",5,0))</f>
        <v/>
      </c>
      <c r="S387" s="10">
        <f>IF(Q387="A","价格与起订量有优势，建议优先询盘",IF(Q387="B","条件较均衡，可作为备选","起订量或价格需要进一步确认"))</f>
        <v/>
      </c>
      <c r="T387" s="10" t="inlineStr">
        <is>
          <t>未联系</t>
        </is>
      </c>
      <c r="U387" s="10" t="inlineStr">
        <is>
          <t>虚构演示数据</t>
        </is>
      </c>
    </row>
    <row r="388" ht="21" customHeight="1">
      <c r="A388" s="10" t="inlineStr">
        <is>
          <t>GYS-0384</t>
        </is>
      </c>
      <c r="B388" s="10" t="inlineStr">
        <is>
          <t>宁波厨房用品供应链0384有限公司（演示）</t>
        </is>
      </c>
      <c r="C388" s="10" t="inlineStr">
        <is>
          <t>厨房用品</t>
        </is>
      </c>
      <c r="D388" s="10" t="inlineStr">
        <is>
          <t>硅胶保鲜盒</t>
        </is>
      </c>
      <c r="E388" s="10" t="inlineStr">
        <is>
          <t>浙江宁波</t>
        </is>
      </c>
      <c r="F388" s="10" t="inlineStr">
        <is>
          <t>1688</t>
        </is>
      </c>
      <c r="G388" s="10" t="inlineStr">
        <is>
          <t>张经理</t>
        </is>
      </c>
      <c r="H388" s="10" t="inlineStr">
        <is>
          <t>000-0000-0384</t>
        </is>
      </c>
      <c r="I388" s="10" t="inlineStr">
        <is>
          <t>DEMO_GYS_0384</t>
        </is>
      </c>
      <c r="J388" s="11" t="n">
        <v>11.6</v>
      </c>
      <c r="K388" s="11" t="n">
        <v>24</v>
      </c>
      <c r="L388" s="12" t="n">
        <v>20</v>
      </c>
      <c r="M388" s="10" t="inlineStr">
        <is>
          <t>否</t>
        </is>
      </c>
      <c r="N388" s="10" t="inlineStr">
        <is>
          <t>否</t>
        </is>
      </c>
      <c r="O388" s="10" t="inlineStr">
        <is>
          <t>supplier0384@example.com</t>
        </is>
      </c>
      <c r="P388" s="10" t="inlineStr">
        <is>
          <t>https://example.com/supplier/0384</t>
        </is>
      </c>
      <c r="Q388" s="10">
        <f>IF(R388&gt;=85,"A",IF(R388&gt;=70,"B","C"))</f>
        <v/>
      </c>
      <c r="R388" s="13">
        <f>MIN(100,50+IF(M388="是",10,0)+IF(N388="是",10,0)+IF(L388&lt;=100,10,IF(L388&lt;=300,5,0))+IF(J388&lt;=20,10,IF(J388&lt;=50,5,0))+IF(K388-J388&lt;=20,5,0)+IF(F388="企业官网",5,0))</f>
        <v/>
      </c>
      <c r="S388" s="10">
        <f>IF(Q388="A","价格与起订量有优势，建议优先询盘",IF(Q388="B","条件较均衡，可作为备选","起订量或价格需要进一步确认"))</f>
        <v/>
      </c>
      <c r="T388" s="10" t="inlineStr">
        <is>
          <t>未联系</t>
        </is>
      </c>
      <c r="U388" s="10" t="inlineStr">
        <is>
          <t>虚构演示数据</t>
        </is>
      </c>
    </row>
    <row r="389" ht="21" customHeight="1">
      <c r="A389" s="10" t="inlineStr">
        <is>
          <t>GYS-0385</t>
        </is>
      </c>
      <c r="B389" s="10" t="inlineStr">
        <is>
          <t>深圳数码配件供应链0385有限公司（演示）</t>
        </is>
      </c>
      <c r="C389" s="10" t="inlineStr">
        <is>
          <t>数码配件</t>
        </is>
      </c>
      <c r="D389" s="10" t="inlineStr">
        <is>
          <t>磁吸手机支架</t>
        </is>
      </c>
      <c r="E389" s="10" t="inlineStr">
        <is>
          <t>广东深圳</t>
        </is>
      </c>
      <c r="F389" s="10" t="inlineStr">
        <is>
          <t>中国制造网</t>
        </is>
      </c>
      <c r="G389" s="10" t="inlineStr">
        <is>
          <t>刘经理</t>
        </is>
      </c>
      <c r="H389" s="10" t="inlineStr">
        <is>
          <t>000-0000-0385</t>
        </is>
      </c>
      <c r="I389" s="10" t="inlineStr">
        <is>
          <t>DEMO_GYS_0385</t>
        </is>
      </c>
      <c r="J389" s="11" t="n">
        <v>13.3</v>
      </c>
      <c r="K389" s="11" t="n">
        <v>26.8</v>
      </c>
      <c r="L389" s="12" t="n">
        <v>500</v>
      </c>
      <c r="M389" s="10" t="inlineStr">
        <is>
          <t>是</t>
        </is>
      </c>
      <c r="N389" s="10" t="inlineStr">
        <is>
          <t>是</t>
        </is>
      </c>
      <c r="O389" s="10" t="inlineStr">
        <is>
          <t>supplier0385@example.com</t>
        </is>
      </c>
      <c r="P389" s="10" t="inlineStr">
        <is>
          <t>https://example.com/supplier/0385</t>
        </is>
      </c>
      <c r="Q389" s="10">
        <f>IF(R389&gt;=85,"A",IF(R389&gt;=70,"B","C"))</f>
        <v/>
      </c>
      <c r="R389" s="13">
        <f>MIN(100,50+IF(M389="是",10,0)+IF(N389="是",10,0)+IF(L389&lt;=100,10,IF(L389&lt;=300,5,0))+IF(J389&lt;=20,10,IF(J389&lt;=50,5,0))+IF(K389-J389&lt;=20,5,0)+IF(F389="企业官网",5,0))</f>
        <v/>
      </c>
      <c r="S389" s="10">
        <f>IF(Q389="A","价格与起订量有优势，建议优先询盘",IF(Q389="B","条件较均衡，可作为备选","起订量或价格需要进一步确认"))</f>
        <v/>
      </c>
      <c r="T389" s="10" t="inlineStr">
        <is>
          <t>未联系</t>
        </is>
      </c>
      <c r="U389" s="10" t="inlineStr">
        <is>
          <t>虚构演示数据</t>
        </is>
      </c>
    </row>
    <row r="390" ht="21" customHeight="1">
      <c r="A390" s="10" t="inlineStr">
        <is>
          <t>GYS-0386</t>
        </is>
      </c>
      <c r="B390" s="10" t="inlineStr">
        <is>
          <t>佛山宠物用品供应链0386有限公司（演示）</t>
        </is>
      </c>
      <c r="C390" s="10" t="inlineStr">
        <is>
          <t>宠物用品</t>
        </is>
      </c>
      <c r="D390" s="10" t="inlineStr">
        <is>
          <t>宠物清洁手套</t>
        </is>
      </c>
      <c r="E390" s="10" t="inlineStr">
        <is>
          <t>广东佛山</t>
        </is>
      </c>
      <c r="F390" s="10" t="inlineStr">
        <is>
          <t>企业官网</t>
        </is>
      </c>
      <c r="G390" s="10" t="inlineStr">
        <is>
          <t>黄经理</t>
        </is>
      </c>
      <c r="H390" s="10" t="inlineStr">
        <is>
          <t>000-0000-0386</t>
        </is>
      </c>
      <c r="I390" s="10" t="inlineStr">
        <is>
          <t>DEMO_GYS_0386</t>
        </is>
      </c>
      <c r="J390" s="11" t="n">
        <v>15</v>
      </c>
      <c r="K390" s="11" t="n">
        <v>29.6</v>
      </c>
      <c r="L390" s="12" t="n">
        <v>300</v>
      </c>
      <c r="M390" s="10" t="inlineStr">
        <is>
          <t>是</t>
        </is>
      </c>
      <c r="N390" s="10" t="inlineStr">
        <is>
          <t>是</t>
        </is>
      </c>
      <c r="O390" s="10" t="inlineStr">
        <is>
          <t>supplier0386@example.com</t>
        </is>
      </c>
      <c r="P390" s="10" t="inlineStr">
        <is>
          <t>https://example.com/supplier/0386</t>
        </is>
      </c>
      <c r="Q390" s="10">
        <f>IF(R390&gt;=85,"A",IF(R390&gt;=70,"B","C"))</f>
        <v/>
      </c>
      <c r="R390" s="13">
        <f>MIN(100,50+IF(M390="是",10,0)+IF(N390="是",10,0)+IF(L390&lt;=100,10,IF(L390&lt;=300,5,0))+IF(J390&lt;=20,10,IF(J390&lt;=50,5,0))+IF(K390-J390&lt;=20,5,0)+IF(F390="企业官网",5,0))</f>
        <v/>
      </c>
      <c r="S390" s="10">
        <f>IF(Q390="A","价格与起订量有优势，建议优先询盘",IF(Q390="B","条件较均衡，可作为备选","起订量或价格需要进一步确认"))</f>
        <v/>
      </c>
      <c r="T390" s="10" t="inlineStr">
        <is>
          <t>未联系</t>
        </is>
      </c>
      <c r="U390" s="10" t="inlineStr">
        <is>
          <t>虚构演示数据</t>
        </is>
      </c>
    </row>
    <row r="391" ht="21" customHeight="1">
      <c r="A391" s="10" t="inlineStr">
        <is>
          <t>GYS-0387</t>
        </is>
      </c>
      <c r="B391" s="10" t="inlineStr">
        <is>
          <t>苏州母婴用品供应链0387有限公司（演示）</t>
        </is>
      </c>
      <c r="C391" s="10" t="inlineStr">
        <is>
          <t>母婴用品</t>
        </is>
      </c>
      <c r="D391" s="10" t="inlineStr">
        <is>
          <t>婴儿防撞条</t>
        </is>
      </c>
      <c r="E391" s="10" t="inlineStr">
        <is>
          <t>江苏苏州</t>
        </is>
      </c>
      <c r="F391" s="10" t="inlineStr">
        <is>
          <t>义乌购</t>
        </is>
      </c>
      <c r="G391" s="10" t="inlineStr">
        <is>
          <t>赵经理</t>
        </is>
      </c>
      <c r="H391" s="10" t="inlineStr">
        <is>
          <t>000-0000-0387</t>
        </is>
      </c>
      <c r="I391" s="10" t="inlineStr">
        <is>
          <t>DEMO_GYS_0387</t>
        </is>
      </c>
      <c r="J391" s="11" t="n">
        <v>16.7</v>
      </c>
      <c r="K391" s="11" t="n">
        <v>32.4</v>
      </c>
      <c r="L391" s="12" t="n">
        <v>200</v>
      </c>
      <c r="M391" s="10" t="inlineStr">
        <is>
          <t>是</t>
        </is>
      </c>
      <c r="N391" s="10" t="inlineStr">
        <is>
          <t>否</t>
        </is>
      </c>
      <c r="O391" s="10" t="inlineStr">
        <is>
          <t>supplier0387@example.com</t>
        </is>
      </c>
      <c r="P391" s="10" t="inlineStr">
        <is>
          <t>https://example.com/supplier/0387</t>
        </is>
      </c>
      <c r="Q391" s="10">
        <f>IF(R391&gt;=85,"A",IF(R391&gt;=70,"B","C"))</f>
        <v/>
      </c>
      <c r="R391" s="13">
        <f>MIN(100,50+IF(M391="是",10,0)+IF(N391="是",10,0)+IF(L391&lt;=100,10,IF(L391&lt;=300,5,0))+IF(J391&lt;=20,10,IF(J391&lt;=50,5,0))+IF(K391-J391&lt;=20,5,0)+IF(F391="企业官网",5,0))</f>
        <v/>
      </c>
      <c r="S391" s="10">
        <f>IF(Q391="A","价格与起订量有优势，建议优先询盘",IF(Q391="B","条件较均衡，可作为备选","起订量或价格需要进一步确认"))</f>
        <v/>
      </c>
      <c r="T391" s="10" t="inlineStr">
        <is>
          <t>未联系</t>
        </is>
      </c>
      <c r="U391" s="10" t="inlineStr">
        <is>
          <t>虚构演示数据</t>
        </is>
      </c>
    </row>
    <row r="392" ht="21" customHeight="1">
      <c r="A392" s="10" t="inlineStr">
        <is>
          <t>GYS-0388</t>
        </is>
      </c>
      <c r="B392" s="10" t="inlineStr">
        <is>
          <t>白沟运动户外供应链0388有限公司（演示）</t>
        </is>
      </c>
      <c r="C392" s="10" t="inlineStr">
        <is>
          <t>运动户外</t>
        </is>
      </c>
      <c r="D392" s="10" t="inlineStr">
        <is>
          <t>弹力训练带</t>
        </is>
      </c>
      <c r="E392" s="10" t="inlineStr">
        <is>
          <t>河北白沟</t>
        </is>
      </c>
      <c r="F392" s="10" t="inlineStr">
        <is>
          <t>慧聪网</t>
        </is>
      </c>
      <c r="G392" s="10" t="inlineStr">
        <is>
          <t>周经理</t>
        </is>
      </c>
      <c r="H392" s="10" t="inlineStr">
        <is>
          <t>000-0000-0388</t>
        </is>
      </c>
      <c r="I392" s="10" t="inlineStr">
        <is>
          <t>DEMO_GYS_0388</t>
        </is>
      </c>
      <c r="J392" s="11" t="n">
        <v>18.4</v>
      </c>
      <c r="K392" s="11" t="n">
        <v>35.2</v>
      </c>
      <c r="L392" s="12" t="n">
        <v>100</v>
      </c>
      <c r="M392" s="10" t="inlineStr">
        <is>
          <t>否</t>
        </is>
      </c>
      <c r="N392" s="10" t="inlineStr">
        <is>
          <t>是</t>
        </is>
      </c>
      <c r="O392" s="10" t="inlineStr">
        <is>
          <t>supplier0388@example.com</t>
        </is>
      </c>
      <c r="P392" s="10" t="inlineStr">
        <is>
          <t>https://example.com/supplier/0388</t>
        </is>
      </c>
      <c r="Q392" s="10">
        <f>IF(R392&gt;=85,"A",IF(R392&gt;=70,"B","C"))</f>
        <v/>
      </c>
      <c r="R392" s="13">
        <f>MIN(100,50+IF(M392="是",10,0)+IF(N392="是",10,0)+IF(L392&lt;=100,10,IF(L392&lt;=300,5,0))+IF(J392&lt;=20,10,IF(J392&lt;=50,5,0))+IF(K392-J392&lt;=20,5,0)+IF(F392="企业官网",5,0))</f>
        <v/>
      </c>
      <c r="S392" s="10">
        <f>IF(Q392="A","价格与起订量有优势，建议优先询盘",IF(Q392="B","条件较均衡，可作为备选","起订量或价格需要进一步确认"))</f>
        <v/>
      </c>
      <c r="T392" s="10" t="inlineStr">
        <is>
          <t>未联系</t>
        </is>
      </c>
      <c r="U392" s="10" t="inlineStr">
        <is>
          <t>虚构演示数据</t>
        </is>
      </c>
    </row>
    <row r="393" ht="21" customHeight="1">
      <c r="A393" s="10" t="inlineStr">
        <is>
          <t>GYS-0389</t>
        </is>
      </c>
      <c r="B393" s="10" t="inlineStr">
        <is>
          <t>义乌办公文具供应链0389有限公司（演示）</t>
        </is>
      </c>
      <c r="C393" s="10" t="inlineStr">
        <is>
          <t>办公文具</t>
        </is>
      </c>
      <c r="D393" s="10" t="inlineStr">
        <is>
          <t>桌面收纳架</t>
        </is>
      </c>
      <c r="E393" s="10" t="inlineStr">
        <is>
          <t>浙江义乌</t>
        </is>
      </c>
      <c r="F393" s="10" t="inlineStr">
        <is>
          <t>1688</t>
        </is>
      </c>
      <c r="G393" s="10" t="inlineStr">
        <is>
          <t>吴经理</t>
        </is>
      </c>
      <c r="H393" s="10" t="inlineStr">
        <is>
          <t>000-0000-0389</t>
        </is>
      </c>
      <c r="I393" s="10" t="inlineStr">
        <is>
          <t>DEMO_GYS_0389</t>
        </is>
      </c>
      <c r="J393" s="11" t="n">
        <v>20.1</v>
      </c>
      <c r="K393" s="11" t="n">
        <v>38</v>
      </c>
      <c r="L393" s="12" t="n">
        <v>50</v>
      </c>
      <c r="M393" s="10" t="inlineStr">
        <is>
          <t>是</t>
        </is>
      </c>
      <c r="N393" s="10" t="inlineStr">
        <is>
          <t>是</t>
        </is>
      </c>
      <c r="O393" s="10" t="inlineStr">
        <is>
          <t>supplier0389@example.com</t>
        </is>
      </c>
      <c r="P393" s="10" t="inlineStr">
        <is>
          <t>https://example.com/supplier/0389</t>
        </is>
      </c>
      <c r="Q393" s="10">
        <f>IF(R393&gt;=85,"A",IF(R393&gt;=70,"B","C"))</f>
        <v/>
      </c>
      <c r="R393" s="13">
        <f>MIN(100,50+IF(M393="是",10,0)+IF(N393="是",10,0)+IF(L393&lt;=100,10,IF(L393&lt;=300,5,0))+IF(J393&lt;=20,10,IF(J393&lt;=50,5,0))+IF(K393-J393&lt;=20,5,0)+IF(F393="企业官网",5,0))</f>
        <v/>
      </c>
      <c r="S393" s="10">
        <f>IF(Q393="A","价格与起订量有优势，建议优先询盘",IF(Q393="B","条件较均衡，可作为备选","起订量或价格需要进一步确认"))</f>
        <v/>
      </c>
      <c r="T393" s="10" t="inlineStr">
        <is>
          <t>未联系</t>
        </is>
      </c>
      <c r="U393" s="10" t="inlineStr">
        <is>
          <t>虚构演示数据</t>
        </is>
      </c>
    </row>
    <row r="394" ht="21" customHeight="1">
      <c r="A394" s="10" t="inlineStr">
        <is>
          <t>GYS-0390</t>
        </is>
      </c>
      <c r="B394" s="10" t="inlineStr">
        <is>
          <t>台州汽车用品供应链0390有限公司（演示）</t>
        </is>
      </c>
      <c r="C394" s="10" t="inlineStr">
        <is>
          <t>汽车用品</t>
        </is>
      </c>
      <c r="D394" s="10" t="inlineStr">
        <is>
          <t>车载香薰</t>
        </is>
      </c>
      <c r="E394" s="10" t="inlineStr">
        <is>
          <t>浙江台州</t>
        </is>
      </c>
      <c r="F394" s="10" t="inlineStr">
        <is>
          <t>中国制造网</t>
        </is>
      </c>
      <c r="G394" s="10" t="inlineStr">
        <is>
          <t>陈经理</t>
        </is>
      </c>
      <c r="H394" s="10" t="inlineStr">
        <is>
          <t>000-0000-0390</t>
        </is>
      </c>
      <c r="I394" s="10" t="inlineStr">
        <is>
          <t>DEMO_GYS_0390</t>
        </is>
      </c>
      <c r="J394" s="11" t="n">
        <v>21.8</v>
      </c>
      <c r="K394" s="11" t="n">
        <v>40.8</v>
      </c>
      <c r="L394" s="12" t="n">
        <v>20</v>
      </c>
      <c r="M394" s="10" t="inlineStr">
        <is>
          <t>是</t>
        </is>
      </c>
      <c r="N394" s="10" t="inlineStr">
        <is>
          <t>否</t>
        </is>
      </c>
      <c r="O394" s="10" t="inlineStr">
        <is>
          <t>supplier0390@example.com</t>
        </is>
      </c>
      <c r="P394" s="10" t="inlineStr">
        <is>
          <t>https://example.com/supplier/0390</t>
        </is>
      </c>
      <c r="Q394" s="10">
        <f>IF(R394&gt;=85,"A",IF(R394&gt;=70,"B","C"))</f>
        <v/>
      </c>
      <c r="R394" s="13">
        <f>MIN(100,50+IF(M394="是",10,0)+IF(N394="是",10,0)+IF(L394&lt;=100,10,IF(L394&lt;=300,5,0))+IF(J394&lt;=20,10,IF(J394&lt;=50,5,0))+IF(K394-J394&lt;=20,5,0)+IF(F394="企业官网",5,0))</f>
        <v/>
      </c>
      <c r="S394" s="10">
        <f>IF(Q394="A","价格与起订量有优势，建议优先询盘",IF(Q394="B","条件较均衡，可作为备选","起订量或价格需要进一步确认"))</f>
        <v/>
      </c>
      <c r="T394" s="10" t="inlineStr">
        <is>
          <t>未联系</t>
        </is>
      </c>
      <c r="U394" s="10" t="inlineStr">
        <is>
          <t>虚构演示数据</t>
        </is>
      </c>
    </row>
    <row r="395" ht="21" customHeight="1">
      <c r="A395" s="10" t="inlineStr">
        <is>
          <t>GYS-0391</t>
        </is>
      </c>
      <c r="B395" s="10" t="inlineStr">
        <is>
          <t>东莞美容工具供应链0391有限公司（演示）</t>
        </is>
      </c>
      <c r="C395" s="10" t="inlineStr">
        <is>
          <t>美容工具</t>
        </is>
      </c>
      <c r="D395" s="10" t="inlineStr">
        <is>
          <t>便携化妆镜</t>
        </is>
      </c>
      <c r="E395" s="10" t="inlineStr">
        <is>
          <t>广东东莞</t>
        </is>
      </c>
      <c r="F395" s="10" t="inlineStr">
        <is>
          <t>企业官网</t>
        </is>
      </c>
      <c r="G395" s="10" t="inlineStr">
        <is>
          <t>林经理</t>
        </is>
      </c>
      <c r="H395" s="10" t="inlineStr">
        <is>
          <t>000-0000-0391</t>
        </is>
      </c>
      <c r="I395" s="10" t="inlineStr">
        <is>
          <t>DEMO_GYS_0391</t>
        </is>
      </c>
      <c r="J395" s="11" t="n">
        <v>23.5</v>
      </c>
      <c r="K395" s="11" t="n">
        <v>43.6</v>
      </c>
      <c r="L395" s="12" t="n">
        <v>500</v>
      </c>
      <c r="M395" s="10" t="inlineStr">
        <is>
          <t>是</t>
        </is>
      </c>
      <c r="N395" s="10" t="inlineStr">
        <is>
          <t>是</t>
        </is>
      </c>
      <c r="O395" s="10" t="inlineStr">
        <is>
          <t>supplier0391@example.com</t>
        </is>
      </c>
      <c r="P395" s="10" t="inlineStr">
        <is>
          <t>https://example.com/supplier/0391</t>
        </is>
      </c>
      <c r="Q395" s="10">
        <f>IF(R395&gt;=85,"A",IF(R395&gt;=70,"B","C"))</f>
        <v/>
      </c>
      <c r="R395" s="13">
        <f>MIN(100,50+IF(M395="是",10,0)+IF(N395="是",10,0)+IF(L395&lt;=100,10,IF(L395&lt;=300,5,0))+IF(J395&lt;=20,10,IF(J395&lt;=50,5,0))+IF(K395-J395&lt;=20,5,0)+IF(F395="企业官网",5,0))</f>
        <v/>
      </c>
      <c r="S395" s="10">
        <f>IF(Q395="A","价格与起订量有优势，建议优先询盘",IF(Q395="B","条件较均衡，可作为备选","起订量或价格需要进一步确认"))</f>
        <v/>
      </c>
      <c r="T395" s="10" t="inlineStr">
        <is>
          <t>未联系</t>
        </is>
      </c>
      <c r="U395" s="10" t="inlineStr">
        <is>
          <t>虚构演示数据</t>
        </is>
      </c>
    </row>
    <row r="396" ht="21" customHeight="1">
      <c r="A396" s="10" t="inlineStr">
        <is>
          <t>GYS-0392</t>
        </is>
      </c>
      <c r="B396" s="10" t="inlineStr">
        <is>
          <t>厦门旅行用品供应链0392有限公司（演示）</t>
        </is>
      </c>
      <c r="C396" s="10" t="inlineStr">
        <is>
          <t>旅行用品</t>
        </is>
      </c>
      <c r="D396" s="10" t="inlineStr">
        <is>
          <t>压缩收纳袋</t>
        </is>
      </c>
      <c r="E396" s="10" t="inlineStr">
        <is>
          <t>福建厦门</t>
        </is>
      </c>
      <c r="F396" s="10" t="inlineStr">
        <is>
          <t>义乌购</t>
        </is>
      </c>
      <c r="G396" s="10" t="inlineStr">
        <is>
          <t>王经理</t>
        </is>
      </c>
      <c r="H396" s="10" t="inlineStr">
        <is>
          <t>000-0000-0392</t>
        </is>
      </c>
      <c r="I396" s="10" t="inlineStr">
        <is>
          <t>DEMO_GYS_0392</t>
        </is>
      </c>
      <c r="J396" s="11" t="n">
        <v>25.2</v>
      </c>
      <c r="K396" s="11" t="n">
        <v>46.4</v>
      </c>
      <c r="L396" s="12" t="n">
        <v>300</v>
      </c>
      <c r="M396" s="10" t="inlineStr">
        <is>
          <t>否</t>
        </is>
      </c>
      <c r="N396" s="10" t="inlineStr">
        <is>
          <t>是</t>
        </is>
      </c>
      <c r="O396" s="10" t="inlineStr">
        <is>
          <t>supplier0392@example.com</t>
        </is>
      </c>
      <c r="P396" s="10" t="inlineStr">
        <is>
          <t>https://example.com/supplier/0392</t>
        </is>
      </c>
      <c r="Q396" s="10">
        <f>IF(R396&gt;=85,"A",IF(R396&gt;=70,"B","C"))</f>
        <v/>
      </c>
      <c r="R396" s="13">
        <f>MIN(100,50+IF(M396="是",10,0)+IF(N396="是",10,0)+IF(L396&lt;=100,10,IF(L396&lt;=300,5,0))+IF(J396&lt;=20,10,IF(J396&lt;=50,5,0))+IF(K396-J396&lt;=20,5,0)+IF(F396="企业官网",5,0))</f>
        <v/>
      </c>
      <c r="S396" s="10">
        <f>IF(Q396="A","价格与起订量有优势，建议优先询盘",IF(Q396="B","条件较均衡，可作为备选","起订量或价格需要进一步确认"))</f>
        <v/>
      </c>
      <c r="T396" s="10" t="inlineStr">
        <is>
          <t>未联系</t>
        </is>
      </c>
      <c r="U396" s="10" t="inlineStr">
        <is>
          <t>虚构演示数据</t>
        </is>
      </c>
    </row>
    <row r="397" ht="21" customHeight="1">
      <c r="A397" s="10" t="inlineStr">
        <is>
          <t>GYS-0393</t>
        </is>
      </c>
      <c r="B397" s="10" t="inlineStr">
        <is>
          <t>临沂清洁工具供应链0393有限公司（演示）</t>
        </is>
      </c>
      <c r="C397" s="10" t="inlineStr">
        <is>
          <t>清洁工具</t>
        </is>
      </c>
      <c r="D397" s="10" t="inlineStr">
        <is>
          <t>免手洗拖把</t>
        </is>
      </c>
      <c r="E397" s="10" t="inlineStr">
        <is>
          <t>山东临沂</t>
        </is>
      </c>
      <c r="F397" s="10" t="inlineStr">
        <is>
          <t>慧聪网</t>
        </is>
      </c>
      <c r="G397" s="10" t="inlineStr">
        <is>
          <t>李经理</t>
        </is>
      </c>
      <c r="H397" s="10" t="inlineStr">
        <is>
          <t>000-0000-0393</t>
        </is>
      </c>
      <c r="I397" s="10" t="inlineStr">
        <is>
          <t>DEMO_GYS_0393</t>
        </is>
      </c>
      <c r="J397" s="11" t="n">
        <v>26.9</v>
      </c>
      <c r="K397" s="11" t="n">
        <v>31.2</v>
      </c>
      <c r="L397" s="12" t="n">
        <v>200</v>
      </c>
      <c r="M397" s="10" t="inlineStr">
        <is>
          <t>是</t>
        </is>
      </c>
      <c r="N397" s="10" t="inlineStr">
        <is>
          <t>否</t>
        </is>
      </c>
      <c r="O397" s="10" t="inlineStr">
        <is>
          <t>supplier0393@example.com</t>
        </is>
      </c>
      <c r="P397" s="10" t="inlineStr">
        <is>
          <t>https://example.com/supplier/0393</t>
        </is>
      </c>
      <c r="Q397" s="10">
        <f>IF(R397&gt;=85,"A",IF(R397&gt;=70,"B","C"))</f>
        <v/>
      </c>
      <c r="R397" s="13">
        <f>MIN(100,50+IF(M397="是",10,0)+IF(N397="是",10,0)+IF(L397&lt;=100,10,IF(L397&lt;=300,5,0))+IF(J397&lt;=20,10,IF(J397&lt;=50,5,0))+IF(K397-J397&lt;=20,5,0)+IF(F397="企业官网",5,0))</f>
        <v/>
      </c>
      <c r="S397" s="10">
        <f>IF(Q397="A","价格与起订量有优势，建议优先询盘",IF(Q397="B","条件较均衡，可作为备选","起订量或价格需要进一步确认"))</f>
        <v/>
      </c>
      <c r="T397" s="10" t="inlineStr">
        <is>
          <t>未联系</t>
        </is>
      </c>
      <c r="U397" s="10" t="inlineStr">
        <is>
          <t>虚构演示数据</t>
        </is>
      </c>
    </row>
    <row r="398" ht="21" customHeight="1">
      <c r="A398" s="10" t="inlineStr">
        <is>
          <t>GYS-0394</t>
        </is>
      </c>
      <c r="B398" s="10" t="inlineStr">
        <is>
          <t>南昌小家电供应链0394有限公司（演示）</t>
        </is>
      </c>
      <c r="C398" s="10" t="inlineStr">
        <is>
          <t>小家电</t>
        </is>
      </c>
      <c r="D398" s="10" t="inlineStr">
        <is>
          <t>迷你加湿器</t>
        </is>
      </c>
      <c r="E398" s="10" t="inlineStr">
        <is>
          <t>江西南昌</t>
        </is>
      </c>
      <c r="F398" s="10" t="inlineStr">
        <is>
          <t>1688</t>
        </is>
      </c>
      <c r="G398" s="10" t="inlineStr">
        <is>
          <t>张经理</t>
        </is>
      </c>
      <c r="H398" s="10" t="inlineStr">
        <is>
          <t>000-0000-0394</t>
        </is>
      </c>
      <c r="I398" s="10" t="inlineStr">
        <is>
          <t>DEMO_GYS_0394</t>
        </is>
      </c>
      <c r="J398" s="11" t="n">
        <v>28.6</v>
      </c>
      <c r="K398" s="11" t="n">
        <v>34</v>
      </c>
      <c r="L398" s="12" t="n">
        <v>100</v>
      </c>
      <c r="M398" s="10" t="inlineStr">
        <is>
          <t>是</t>
        </is>
      </c>
      <c r="N398" s="10" t="inlineStr">
        <is>
          <t>是</t>
        </is>
      </c>
      <c r="O398" s="10" t="inlineStr">
        <is>
          <t>supplier0394@example.com</t>
        </is>
      </c>
      <c r="P398" s="10" t="inlineStr">
        <is>
          <t>https://example.com/supplier/0394</t>
        </is>
      </c>
      <c r="Q398" s="10">
        <f>IF(R398&gt;=85,"A",IF(R398&gt;=70,"B","C"))</f>
        <v/>
      </c>
      <c r="R398" s="13">
        <f>MIN(100,50+IF(M398="是",10,0)+IF(N398="是",10,0)+IF(L398&lt;=100,10,IF(L398&lt;=300,5,0))+IF(J398&lt;=20,10,IF(J398&lt;=50,5,0))+IF(K398-J398&lt;=20,5,0)+IF(F398="企业官网",5,0))</f>
        <v/>
      </c>
      <c r="S398" s="10">
        <f>IF(Q398="A","价格与起订量有优势，建议优先询盘",IF(Q398="B","条件较均衡，可作为备选","起订量或价格需要进一步确认"))</f>
        <v/>
      </c>
      <c r="T398" s="10" t="inlineStr">
        <is>
          <t>未联系</t>
        </is>
      </c>
      <c r="U398" s="10" t="inlineStr">
        <is>
          <t>虚构演示数据</t>
        </is>
      </c>
    </row>
    <row r="399" ht="21" customHeight="1">
      <c r="A399" s="10" t="inlineStr">
        <is>
          <t>GYS-0395</t>
        </is>
      </c>
      <c r="B399" s="10" t="inlineStr">
        <is>
          <t>温州礼品包装供应链0395有限公司（演示）</t>
        </is>
      </c>
      <c r="C399" s="10" t="inlineStr">
        <is>
          <t>礼品包装</t>
        </is>
      </c>
      <c r="D399" s="10" t="inlineStr">
        <is>
          <t>节日礼盒</t>
        </is>
      </c>
      <c r="E399" s="10" t="inlineStr">
        <is>
          <t>浙江温州</t>
        </is>
      </c>
      <c r="F399" s="10" t="inlineStr">
        <is>
          <t>中国制造网</t>
        </is>
      </c>
      <c r="G399" s="10" t="inlineStr">
        <is>
          <t>刘经理</t>
        </is>
      </c>
      <c r="H399" s="10" t="inlineStr">
        <is>
          <t>000-0000-0395</t>
        </is>
      </c>
      <c r="I399" s="10" t="inlineStr">
        <is>
          <t>DEMO_GYS_0395</t>
        </is>
      </c>
      <c r="J399" s="11" t="n">
        <v>30.3</v>
      </c>
      <c r="K399" s="11" t="n">
        <v>36.8</v>
      </c>
      <c r="L399" s="12" t="n">
        <v>50</v>
      </c>
      <c r="M399" s="10" t="inlineStr">
        <is>
          <t>是</t>
        </is>
      </c>
      <c r="N399" s="10" t="inlineStr">
        <is>
          <t>是</t>
        </is>
      </c>
      <c r="O399" s="10" t="inlineStr">
        <is>
          <t>supplier0395@example.com</t>
        </is>
      </c>
      <c r="P399" s="10" t="inlineStr">
        <is>
          <t>https://example.com/supplier/0395</t>
        </is>
      </c>
      <c r="Q399" s="10">
        <f>IF(R399&gt;=85,"A",IF(R399&gt;=70,"B","C"))</f>
        <v/>
      </c>
      <c r="R399" s="13">
        <f>MIN(100,50+IF(M399="是",10,0)+IF(N399="是",10,0)+IF(L399&lt;=100,10,IF(L399&lt;=300,5,0))+IF(J399&lt;=20,10,IF(J399&lt;=50,5,0))+IF(K399-J399&lt;=20,5,0)+IF(F399="企业官网",5,0))</f>
        <v/>
      </c>
      <c r="S399" s="10">
        <f>IF(Q399="A","价格与起订量有优势，建议优先询盘",IF(Q399="B","条件较均衡，可作为备选","起订量或价格需要进一步确认"))</f>
        <v/>
      </c>
      <c r="T399" s="10" t="inlineStr">
        <is>
          <t>未联系</t>
        </is>
      </c>
      <c r="U399" s="10" t="inlineStr">
        <is>
          <t>虚构演示数据</t>
        </is>
      </c>
    </row>
    <row r="400" ht="21" customHeight="1">
      <c r="A400" s="10" t="inlineStr">
        <is>
          <t>GYS-0396</t>
        </is>
      </c>
      <c r="B400" s="10" t="inlineStr">
        <is>
          <t>广州五金工具供应链0396有限公司（演示）</t>
        </is>
      </c>
      <c r="C400" s="10" t="inlineStr">
        <is>
          <t>五金工具</t>
        </is>
      </c>
      <c r="D400" s="10" t="inlineStr">
        <is>
          <t>多功能螺丝刀</t>
        </is>
      </c>
      <c r="E400" s="10" t="inlineStr">
        <is>
          <t>广东广州</t>
        </is>
      </c>
      <c r="F400" s="10" t="inlineStr">
        <is>
          <t>企业官网</t>
        </is>
      </c>
      <c r="G400" s="10" t="inlineStr">
        <is>
          <t>黄经理</t>
        </is>
      </c>
      <c r="H400" s="10" t="inlineStr">
        <is>
          <t>000-0000-0396</t>
        </is>
      </c>
      <c r="I400" s="10" t="inlineStr">
        <is>
          <t>DEMO_GYS_0396</t>
        </is>
      </c>
      <c r="J400" s="11" t="n">
        <v>32</v>
      </c>
      <c r="K400" s="11" t="n">
        <v>39.6</v>
      </c>
      <c r="L400" s="12" t="n">
        <v>20</v>
      </c>
      <c r="M400" s="10" t="inlineStr">
        <is>
          <t>否</t>
        </is>
      </c>
      <c r="N400" s="10" t="inlineStr">
        <is>
          <t>否</t>
        </is>
      </c>
      <c r="O400" s="10" t="inlineStr">
        <is>
          <t>supplier0396@example.com</t>
        </is>
      </c>
      <c r="P400" s="10" t="inlineStr">
        <is>
          <t>https://example.com/supplier/0396</t>
        </is>
      </c>
      <c r="Q400" s="10">
        <f>IF(R400&gt;=85,"A",IF(R400&gt;=70,"B","C"))</f>
        <v/>
      </c>
      <c r="R400" s="13">
        <f>MIN(100,50+IF(M400="是",10,0)+IF(N400="是",10,0)+IF(L400&lt;=100,10,IF(L400&lt;=300,5,0))+IF(J400&lt;=20,10,IF(J400&lt;=50,5,0))+IF(K400-J400&lt;=20,5,0)+IF(F400="企业官网",5,0))</f>
        <v/>
      </c>
      <c r="S400" s="10">
        <f>IF(Q400="A","价格与起订量有优势，建议优先询盘",IF(Q400="B","条件较均衡，可作为备选","起订量或价格需要进一步确认"))</f>
        <v/>
      </c>
      <c r="T400" s="10" t="inlineStr">
        <is>
          <t>未联系</t>
        </is>
      </c>
      <c r="U400" s="10" t="inlineStr">
        <is>
          <t>虚构演示数据</t>
        </is>
      </c>
    </row>
    <row r="401" ht="21" customHeight="1">
      <c r="A401" s="10" t="inlineStr">
        <is>
          <t>GYS-0397</t>
        </is>
      </c>
      <c r="B401" s="10" t="inlineStr">
        <is>
          <t>泉州鞋靴配件供应链0397有限公司（演示）</t>
        </is>
      </c>
      <c r="C401" s="10" t="inlineStr">
        <is>
          <t>鞋靴配件</t>
        </is>
      </c>
      <c r="D401" s="10" t="inlineStr">
        <is>
          <t>防磨脚贴</t>
        </is>
      </c>
      <c r="E401" s="10" t="inlineStr">
        <is>
          <t>福建泉州</t>
        </is>
      </c>
      <c r="F401" s="10" t="inlineStr">
        <is>
          <t>义乌购</t>
        </is>
      </c>
      <c r="G401" s="10" t="inlineStr">
        <is>
          <t>赵经理</t>
        </is>
      </c>
      <c r="H401" s="10" t="inlineStr">
        <is>
          <t>000-0000-0397</t>
        </is>
      </c>
      <c r="I401" s="10" t="inlineStr">
        <is>
          <t>DEMO_GYS_0397</t>
        </is>
      </c>
      <c r="J401" s="11" t="n">
        <v>33.7</v>
      </c>
      <c r="K401" s="11" t="n">
        <v>42.4</v>
      </c>
      <c r="L401" s="12" t="n">
        <v>500</v>
      </c>
      <c r="M401" s="10" t="inlineStr">
        <is>
          <t>是</t>
        </is>
      </c>
      <c r="N401" s="10" t="inlineStr">
        <is>
          <t>是</t>
        </is>
      </c>
      <c r="O401" s="10" t="inlineStr">
        <is>
          <t>supplier0397@example.com</t>
        </is>
      </c>
      <c r="P401" s="10" t="inlineStr">
        <is>
          <t>https://example.com/supplier/0397</t>
        </is>
      </c>
      <c r="Q401" s="10">
        <f>IF(R401&gt;=85,"A",IF(R401&gt;=70,"B","C"))</f>
        <v/>
      </c>
      <c r="R401" s="13">
        <f>MIN(100,50+IF(M401="是",10,0)+IF(N401="是",10,0)+IF(L401&lt;=100,10,IF(L401&lt;=300,5,0))+IF(J401&lt;=20,10,IF(J401&lt;=50,5,0))+IF(K401-J401&lt;=20,5,0)+IF(F401="企业官网",5,0))</f>
        <v/>
      </c>
      <c r="S401" s="10">
        <f>IF(Q401="A","价格与起订量有优势，建议优先询盘",IF(Q401="B","条件较均衡，可作为备选","起订量或价格需要进一步确认"))</f>
        <v/>
      </c>
      <c r="T401" s="10" t="inlineStr">
        <is>
          <t>未联系</t>
        </is>
      </c>
      <c r="U401" s="10" t="inlineStr">
        <is>
          <t>虚构演示数据</t>
        </is>
      </c>
    </row>
    <row r="402" ht="21" customHeight="1">
      <c r="A402" s="10" t="inlineStr">
        <is>
          <t>GYS-0398</t>
        </is>
      </c>
      <c r="B402" s="10" t="inlineStr">
        <is>
          <t>南通食品包装供应链0398有限公司（演示）</t>
        </is>
      </c>
      <c r="C402" s="10" t="inlineStr">
        <is>
          <t>食品包装</t>
        </is>
      </c>
      <c r="D402" s="10" t="inlineStr">
        <is>
          <t>密封包装袋</t>
        </is>
      </c>
      <c r="E402" s="10" t="inlineStr">
        <is>
          <t>江苏南通</t>
        </is>
      </c>
      <c r="F402" s="10" t="inlineStr">
        <is>
          <t>慧聪网</t>
        </is>
      </c>
      <c r="G402" s="10" t="inlineStr">
        <is>
          <t>周经理</t>
        </is>
      </c>
      <c r="H402" s="10" t="inlineStr">
        <is>
          <t>000-0000-0398</t>
        </is>
      </c>
      <c r="I402" s="10" t="inlineStr">
        <is>
          <t>DEMO_GYS_0398</t>
        </is>
      </c>
      <c r="J402" s="11" t="n">
        <v>35.4</v>
      </c>
      <c r="K402" s="11" t="n">
        <v>45.2</v>
      </c>
      <c r="L402" s="12" t="n">
        <v>300</v>
      </c>
      <c r="M402" s="10" t="inlineStr">
        <is>
          <t>是</t>
        </is>
      </c>
      <c r="N402" s="10" t="inlineStr">
        <is>
          <t>是</t>
        </is>
      </c>
      <c r="O402" s="10" t="inlineStr">
        <is>
          <t>supplier0398@example.com</t>
        </is>
      </c>
      <c r="P402" s="10" t="inlineStr">
        <is>
          <t>https://example.com/supplier/0398</t>
        </is>
      </c>
      <c r="Q402" s="10">
        <f>IF(R402&gt;=85,"A",IF(R402&gt;=70,"B","C"))</f>
        <v/>
      </c>
      <c r="R402" s="13">
        <f>MIN(100,50+IF(M402="是",10,0)+IF(N402="是",10,0)+IF(L402&lt;=100,10,IF(L402&lt;=300,5,0))+IF(J402&lt;=20,10,IF(J402&lt;=50,5,0))+IF(K402-J402&lt;=20,5,0)+IF(F402="企业官网",5,0))</f>
        <v/>
      </c>
      <c r="S402" s="10">
        <f>IF(Q402="A","价格与起订量有优势，建议优先询盘",IF(Q402="B","条件较均衡，可作为备选","起订量或价格需要进一步确认"))</f>
        <v/>
      </c>
      <c r="T402" s="10" t="inlineStr">
        <is>
          <t>未联系</t>
        </is>
      </c>
      <c r="U402" s="10" t="inlineStr">
        <is>
          <t>虚构演示数据</t>
        </is>
      </c>
    </row>
    <row r="403" ht="21" customHeight="1">
      <c r="A403" s="10" t="inlineStr">
        <is>
          <t>GYS-0399</t>
        </is>
      </c>
      <c r="B403" s="10" t="inlineStr">
        <is>
          <t>郑州户外照明供应链0399有限公司（演示）</t>
        </is>
      </c>
      <c r="C403" s="10" t="inlineStr">
        <is>
          <t>户外照明</t>
        </is>
      </c>
      <c r="D403" s="10" t="inlineStr">
        <is>
          <t>便携露营灯</t>
        </is>
      </c>
      <c r="E403" s="10" t="inlineStr">
        <is>
          <t>河南郑州</t>
        </is>
      </c>
      <c r="F403" s="10" t="inlineStr">
        <is>
          <t>1688</t>
        </is>
      </c>
      <c r="G403" s="10" t="inlineStr">
        <is>
          <t>吴经理</t>
        </is>
      </c>
      <c r="H403" s="10" t="inlineStr">
        <is>
          <t>000-0000-0399</t>
        </is>
      </c>
      <c r="I403" s="10" t="inlineStr">
        <is>
          <t>DEMO_GYS_0399</t>
        </is>
      </c>
      <c r="J403" s="11" t="n">
        <v>37.1</v>
      </c>
      <c r="K403" s="11" t="n">
        <v>48</v>
      </c>
      <c r="L403" s="12" t="n">
        <v>200</v>
      </c>
      <c r="M403" s="10" t="inlineStr">
        <is>
          <t>是</t>
        </is>
      </c>
      <c r="N403" s="10" t="inlineStr">
        <is>
          <t>否</t>
        </is>
      </c>
      <c r="O403" s="10" t="inlineStr">
        <is>
          <t>supplier0399@example.com</t>
        </is>
      </c>
      <c r="P403" s="10" t="inlineStr">
        <is>
          <t>https://example.com/supplier/0399</t>
        </is>
      </c>
      <c r="Q403" s="10">
        <f>IF(R403&gt;=85,"A",IF(R403&gt;=70,"B","C"))</f>
        <v/>
      </c>
      <c r="R403" s="13">
        <f>MIN(100,50+IF(M403="是",10,0)+IF(N403="是",10,0)+IF(L403&lt;=100,10,IF(L403&lt;=300,5,0))+IF(J403&lt;=20,10,IF(J403&lt;=50,5,0))+IF(K403-J403&lt;=20,5,0)+IF(F403="企业官网",5,0))</f>
        <v/>
      </c>
      <c r="S403" s="10">
        <f>IF(Q403="A","价格与起订量有优势，建议优先询盘",IF(Q403="B","条件较均衡，可作为备选","起订量或价格需要进一步确认"))</f>
        <v/>
      </c>
      <c r="T403" s="10" t="inlineStr">
        <is>
          <t>未联系</t>
        </is>
      </c>
      <c r="U403" s="10" t="inlineStr">
        <is>
          <t>虚构演示数据</t>
        </is>
      </c>
    </row>
    <row r="404" ht="21" customHeight="1">
      <c r="A404" s="10" t="inlineStr">
        <is>
          <t>GYS-0400</t>
        </is>
      </c>
      <c r="B404" s="10" t="inlineStr">
        <is>
          <t>宁波健康用品供应链0400有限公司（演示）</t>
        </is>
      </c>
      <c r="C404" s="10" t="inlineStr">
        <is>
          <t>健康用品</t>
        </is>
      </c>
      <c r="D404" s="10" t="inlineStr">
        <is>
          <t>热敷眼罩</t>
        </is>
      </c>
      <c r="E404" s="10" t="inlineStr">
        <is>
          <t>浙江宁波</t>
        </is>
      </c>
      <c r="F404" s="10" t="inlineStr">
        <is>
          <t>中国制造网</t>
        </is>
      </c>
      <c r="G404" s="10" t="inlineStr">
        <is>
          <t>陈经理</t>
        </is>
      </c>
      <c r="H404" s="10" t="inlineStr">
        <is>
          <t>000-0000-0400</t>
        </is>
      </c>
      <c r="I404" s="10" t="inlineStr">
        <is>
          <t>DEMO_GYS_0400</t>
        </is>
      </c>
      <c r="J404" s="11" t="n">
        <v>38.8</v>
      </c>
      <c r="K404" s="11" t="n">
        <v>50.8</v>
      </c>
      <c r="L404" s="12" t="n">
        <v>100</v>
      </c>
      <c r="M404" s="10" t="inlineStr">
        <is>
          <t>否</t>
        </is>
      </c>
      <c r="N404" s="10" t="inlineStr">
        <is>
          <t>是</t>
        </is>
      </c>
      <c r="O404" s="10" t="inlineStr">
        <is>
          <t>supplier0400@example.com</t>
        </is>
      </c>
      <c r="P404" s="10" t="inlineStr">
        <is>
          <t>https://example.com/supplier/0400</t>
        </is>
      </c>
      <c r="Q404" s="10">
        <f>IF(R404&gt;=85,"A",IF(R404&gt;=70,"B","C"))</f>
        <v/>
      </c>
      <c r="R404" s="13">
        <f>MIN(100,50+IF(M404="是",10,0)+IF(N404="是",10,0)+IF(L404&lt;=100,10,IF(L404&lt;=300,5,0))+IF(J404&lt;=20,10,IF(J404&lt;=50,5,0))+IF(K404-J404&lt;=20,5,0)+IF(F404="企业官网",5,0))</f>
        <v/>
      </c>
      <c r="S404" s="10">
        <f>IF(Q404="A","价格与起订量有优势，建议优先询盘",IF(Q404="B","条件较均衡，可作为备选","起订量或价格需要进一步确认"))</f>
        <v/>
      </c>
      <c r="T404" s="10" t="inlineStr">
        <is>
          <t>未联系</t>
        </is>
      </c>
      <c r="U404" s="10" t="inlineStr">
        <is>
          <t>虚构演示数据</t>
        </is>
      </c>
    </row>
    <row r="405" ht="21" customHeight="1">
      <c r="A405" s="10" t="inlineStr">
        <is>
          <t>GYS-0401</t>
        </is>
      </c>
      <c r="B405" s="10" t="inlineStr">
        <is>
          <t>深圳服饰内衣供应链0401有限公司（演示）</t>
        </is>
      </c>
      <c r="C405" s="10" t="inlineStr">
        <is>
          <t>服饰内衣</t>
        </is>
      </c>
      <c r="D405" s="10" t="inlineStr">
        <is>
          <t>防滑袜</t>
        </is>
      </c>
      <c r="E405" s="10" t="inlineStr">
        <is>
          <t>广东深圳</t>
        </is>
      </c>
      <c r="F405" s="10" t="inlineStr">
        <is>
          <t>企业官网</t>
        </is>
      </c>
      <c r="G405" s="10" t="inlineStr">
        <is>
          <t>林经理</t>
        </is>
      </c>
      <c r="H405" s="10" t="inlineStr">
        <is>
          <t>000-0000-0401</t>
        </is>
      </c>
      <c r="I405" s="10" t="inlineStr">
        <is>
          <t>DEMO_GYS_0401</t>
        </is>
      </c>
      <c r="J405" s="11" t="n">
        <v>40.5</v>
      </c>
      <c r="K405" s="11" t="n">
        <v>53.6</v>
      </c>
      <c r="L405" s="12" t="n">
        <v>50</v>
      </c>
      <c r="M405" s="10" t="inlineStr">
        <is>
          <t>是</t>
        </is>
      </c>
      <c r="N405" s="10" t="inlineStr">
        <is>
          <t>是</t>
        </is>
      </c>
      <c r="O405" s="10" t="inlineStr">
        <is>
          <t>supplier0401@example.com</t>
        </is>
      </c>
      <c r="P405" s="10" t="inlineStr">
        <is>
          <t>https://example.com/supplier/0401</t>
        </is>
      </c>
      <c r="Q405" s="10">
        <f>IF(R405&gt;=85,"A",IF(R405&gt;=70,"B","C"))</f>
        <v/>
      </c>
      <c r="R405" s="13">
        <f>MIN(100,50+IF(M405="是",10,0)+IF(N405="是",10,0)+IF(L405&lt;=100,10,IF(L405&lt;=300,5,0))+IF(J405&lt;=20,10,IF(J405&lt;=50,5,0))+IF(K405-J405&lt;=20,5,0)+IF(F405="企业官网",5,0))</f>
        <v/>
      </c>
      <c r="S405" s="10">
        <f>IF(Q405="A","价格与起订量有优势，建议优先询盘",IF(Q405="B","条件较均衡，可作为备选","起订量或价格需要进一步确认"))</f>
        <v/>
      </c>
      <c r="T405" s="10" t="inlineStr">
        <is>
          <t>未联系</t>
        </is>
      </c>
      <c r="U405" s="10" t="inlineStr">
        <is>
          <t>虚构演示数据</t>
        </is>
      </c>
    </row>
    <row r="406" ht="21" customHeight="1">
      <c r="A406" s="10" t="inlineStr">
        <is>
          <t>GYS-0402</t>
        </is>
      </c>
      <c r="B406" s="10" t="inlineStr">
        <is>
          <t>佛山家居日用供应链0402有限公司（演示）</t>
        </is>
      </c>
      <c r="C406" s="10" t="inlineStr">
        <is>
          <t>家居日用</t>
        </is>
      </c>
      <c r="D406" s="10" t="inlineStr">
        <is>
          <t>折叠收纳箱</t>
        </is>
      </c>
      <c r="E406" s="10" t="inlineStr">
        <is>
          <t>广东佛山</t>
        </is>
      </c>
      <c r="F406" s="10" t="inlineStr">
        <is>
          <t>义乌购</t>
        </is>
      </c>
      <c r="G406" s="10" t="inlineStr">
        <is>
          <t>王经理</t>
        </is>
      </c>
      <c r="H406" s="10" t="inlineStr">
        <is>
          <t>000-0000-0402</t>
        </is>
      </c>
      <c r="I406" s="10" t="inlineStr">
        <is>
          <t>DEMO_GYS_0402</t>
        </is>
      </c>
      <c r="J406" s="11" t="n">
        <v>42.2</v>
      </c>
      <c r="K406" s="11" t="n">
        <v>56.4</v>
      </c>
      <c r="L406" s="12" t="n">
        <v>20</v>
      </c>
      <c r="M406" s="10" t="inlineStr">
        <is>
          <t>是</t>
        </is>
      </c>
      <c r="N406" s="10" t="inlineStr">
        <is>
          <t>否</t>
        </is>
      </c>
      <c r="O406" s="10" t="inlineStr">
        <is>
          <t>supplier0402@example.com</t>
        </is>
      </c>
      <c r="P406" s="10" t="inlineStr">
        <is>
          <t>https://example.com/supplier/0402</t>
        </is>
      </c>
      <c r="Q406" s="10">
        <f>IF(R406&gt;=85,"A",IF(R406&gt;=70,"B","C"))</f>
        <v/>
      </c>
      <c r="R406" s="13">
        <f>MIN(100,50+IF(M406="是",10,0)+IF(N406="是",10,0)+IF(L406&lt;=100,10,IF(L406&lt;=300,5,0))+IF(J406&lt;=20,10,IF(J406&lt;=50,5,0))+IF(K406-J406&lt;=20,5,0)+IF(F406="企业官网",5,0))</f>
        <v/>
      </c>
      <c r="S406" s="10">
        <f>IF(Q406="A","价格与起订量有优势，建议优先询盘",IF(Q406="B","条件较均衡，可作为备选","起订量或价格需要进一步确认"))</f>
        <v/>
      </c>
      <c r="T406" s="10" t="inlineStr">
        <is>
          <t>未联系</t>
        </is>
      </c>
      <c r="U406" s="10" t="inlineStr">
        <is>
          <t>虚构演示数据</t>
        </is>
      </c>
    </row>
    <row r="407" ht="21" customHeight="1">
      <c r="A407" s="10" t="inlineStr">
        <is>
          <t>GYS-0403</t>
        </is>
      </c>
      <c r="B407" s="10" t="inlineStr">
        <is>
          <t>苏州个护清洁供应链0403有限公司（演示）</t>
        </is>
      </c>
      <c r="C407" s="10" t="inlineStr">
        <is>
          <t>个护清洁</t>
        </is>
      </c>
      <c r="D407" s="10" t="inlineStr">
        <is>
          <t>便携洗脸巾</t>
        </is>
      </c>
      <c r="E407" s="10" t="inlineStr">
        <is>
          <t>江苏苏州</t>
        </is>
      </c>
      <c r="F407" s="10" t="inlineStr">
        <is>
          <t>慧聪网</t>
        </is>
      </c>
      <c r="G407" s="10" t="inlineStr">
        <is>
          <t>李经理</t>
        </is>
      </c>
      <c r="H407" s="10" t="inlineStr">
        <is>
          <t>000-0000-0403</t>
        </is>
      </c>
      <c r="I407" s="10" t="inlineStr">
        <is>
          <t>DEMO_GYS_0403</t>
        </is>
      </c>
      <c r="J407" s="11" t="n">
        <v>43.9</v>
      </c>
      <c r="K407" s="11" t="n">
        <v>59.2</v>
      </c>
      <c r="L407" s="12" t="n">
        <v>500</v>
      </c>
      <c r="M407" s="10" t="inlineStr">
        <is>
          <t>是</t>
        </is>
      </c>
      <c r="N407" s="10" t="inlineStr">
        <is>
          <t>是</t>
        </is>
      </c>
      <c r="O407" s="10" t="inlineStr">
        <is>
          <t>supplier0403@example.com</t>
        </is>
      </c>
      <c r="P407" s="10" t="inlineStr">
        <is>
          <t>https://example.com/supplier/0403</t>
        </is>
      </c>
      <c r="Q407" s="10">
        <f>IF(R407&gt;=85,"A",IF(R407&gt;=70,"B","C"))</f>
        <v/>
      </c>
      <c r="R407" s="13">
        <f>MIN(100,50+IF(M407="是",10,0)+IF(N407="是",10,0)+IF(L407&lt;=100,10,IF(L407&lt;=300,5,0))+IF(J407&lt;=20,10,IF(J407&lt;=50,5,0))+IF(K407-J407&lt;=20,5,0)+IF(F407="企业官网",5,0))</f>
        <v/>
      </c>
      <c r="S407" s="10">
        <f>IF(Q407="A","价格与起订量有优势，建议优先询盘",IF(Q407="B","条件较均衡，可作为备选","起订量或价格需要进一步确认"))</f>
        <v/>
      </c>
      <c r="T407" s="10" t="inlineStr">
        <is>
          <t>未联系</t>
        </is>
      </c>
      <c r="U407" s="10" t="inlineStr">
        <is>
          <t>虚构演示数据</t>
        </is>
      </c>
    </row>
    <row r="408" ht="21" customHeight="1">
      <c r="A408" s="10" t="inlineStr">
        <is>
          <t>GYS-0404</t>
        </is>
      </c>
      <c r="B408" s="10" t="inlineStr">
        <is>
          <t>白沟厨房用品供应链0404有限公司（演示）</t>
        </is>
      </c>
      <c r="C408" s="10" t="inlineStr">
        <is>
          <t>厨房用品</t>
        </is>
      </c>
      <c r="D408" s="10" t="inlineStr">
        <is>
          <t>硅胶保鲜盒</t>
        </is>
      </c>
      <c r="E408" s="10" t="inlineStr">
        <is>
          <t>河北白沟</t>
        </is>
      </c>
      <c r="F408" s="10" t="inlineStr">
        <is>
          <t>1688</t>
        </is>
      </c>
      <c r="G408" s="10" t="inlineStr">
        <is>
          <t>张经理</t>
        </is>
      </c>
      <c r="H408" s="10" t="inlineStr">
        <is>
          <t>000-0000-0404</t>
        </is>
      </c>
      <c r="I408" s="10" t="inlineStr">
        <is>
          <t>DEMO_GYS_0404</t>
        </is>
      </c>
      <c r="J408" s="11" t="n">
        <v>45.6</v>
      </c>
      <c r="K408" s="11" t="n">
        <v>62</v>
      </c>
      <c r="L408" s="12" t="n">
        <v>300</v>
      </c>
      <c r="M408" s="10" t="inlineStr">
        <is>
          <t>否</t>
        </is>
      </c>
      <c r="N408" s="10" t="inlineStr">
        <is>
          <t>是</t>
        </is>
      </c>
      <c r="O408" s="10" t="inlineStr">
        <is>
          <t>supplier0404@example.com</t>
        </is>
      </c>
      <c r="P408" s="10" t="inlineStr">
        <is>
          <t>https://example.com/supplier/0404</t>
        </is>
      </c>
      <c r="Q408" s="10">
        <f>IF(R408&gt;=85,"A",IF(R408&gt;=70,"B","C"))</f>
        <v/>
      </c>
      <c r="R408" s="13">
        <f>MIN(100,50+IF(M408="是",10,0)+IF(N408="是",10,0)+IF(L408&lt;=100,10,IF(L408&lt;=300,5,0))+IF(J408&lt;=20,10,IF(J408&lt;=50,5,0))+IF(K408-J408&lt;=20,5,0)+IF(F408="企业官网",5,0))</f>
        <v/>
      </c>
      <c r="S408" s="10">
        <f>IF(Q408="A","价格与起订量有优势，建议优先询盘",IF(Q408="B","条件较均衡，可作为备选","起订量或价格需要进一步确认"))</f>
        <v/>
      </c>
      <c r="T408" s="10" t="inlineStr">
        <is>
          <t>未联系</t>
        </is>
      </c>
      <c r="U408" s="10" t="inlineStr">
        <is>
          <t>虚构演示数据</t>
        </is>
      </c>
    </row>
    <row r="409" ht="21" customHeight="1">
      <c r="A409" s="10" t="inlineStr">
        <is>
          <t>GYS-0405</t>
        </is>
      </c>
      <c r="B409" s="10" t="inlineStr">
        <is>
          <t>义乌数码配件供应链0405有限公司（演示）</t>
        </is>
      </c>
      <c r="C409" s="10" t="inlineStr">
        <is>
          <t>数码配件</t>
        </is>
      </c>
      <c r="D409" s="10" t="inlineStr">
        <is>
          <t>磁吸手机支架</t>
        </is>
      </c>
      <c r="E409" s="10" t="inlineStr">
        <is>
          <t>浙江义乌</t>
        </is>
      </c>
      <c r="F409" s="10" t="inlineStr">
        <is>
          <t>中国制造网</t>
        </is>
      </c>
      <c r="G409" s="10" t="inlineStr">
        <is>
          <t>刘经理</t>
        </is>
      </c>
      <c r="H409" s="10" t="inlineStr">
        <is>
          <t>000-0000-0405</t>
        </is>
      </c>
      <c r="I409" s="10" t="inlineStr">
        <is>
          <t>DEMO_GYS_0405</t>
        </is>
      </c>
      <c r="J409" s="11" t="n">
        <v>47.3</v>
      </c>
      <c r="K409" s="11" t="n">
        <v>64.8</v>
      </c>
      <c r="L409" s="12" t="n">
        <v>200</v>
      </c>
      <c r="M409" s="10" t="inlineStr">
        <is>
          <t>是</t>
        </is>
      </c>
      <c r="N409" s="10" t="inlineStr">
        <is>
          <t>否</t>
        </is>
      </c>
      <c r="O409" s="10" t="inlineStr">
        <is>
          <t>supplier0405@example.com</t>
        </is>
      </c>
      <c r="P409" s="10" t="inlineStr">
        <is>
          <t>https://example.com/supplier/0405</t>
        </is>
      </c>
      <c r="Q409" s="10">
        <f>IF(R409&gt;=85,"A",IF(R409&gt;=70,"B","C"))</f>
        <v/>
      </c>
      <c r="R409" s="13">
        <f>MIN(100,50+IF(M409="是",10,0)+IF(N409="是",10,0)+IF(L409&lt;=100,10,IF(L409&lt;=300,5,0))+IF(J409&lt;=20,10,IF(J409&lt;=50,5,0))+IF(K409-J409&lt;=20,5,0)+IF(F409="企业官网",5,0))</f>
        <v/>
      </c>
      <c r="S409" s="10">
        <f>IF(Q409="A","价格与起订量有优势，建议优先询盘",IF(Q409="B","条件较均衡，可作为备选","起订量或价格需要进一步确认"))</f>
        <v/>
      </c>
      <c r="T409" s="10" t="inlineStr">
        <is>
          <t>未联系</t>
        </is>
      </c>
      <c r="U409" s="10" t="inlineStr">
        <is>
          <t>虚构演示数据</t>
        </is>
      </c>
    </row>
    <row r="410" ht="21" customHeight="1">
      <c r="A410" s="10" t="inlineStr">
        <is>
          <t>GYS-0406</t>
        </is>
      </c>
      <c r="B410" s="10" t="inlineStr">
        <is>
          <t>台州宠物用品供应链0406有限公司（演示）</t>
        </is>
      </c>
      <c r="C410" s="10" t="inlineStr">
        <is>
          <t>宠物用品</t>
        </is>
      </c>
      <c r="D410" s="10" t="inlineStr">
        <is>
          <t>宠物清洁手套</t>
        </is>
      </c>
      <c r="E410" s="10" t="inlineStr">
        <is>
          <t>浙江台州</t>
        </is>
      </c>
      <c r="F410" s="10" t="inlineStr">
        <is>
          <t>企业官网</t>
        </is>
      </c>
      <c r="G410" s="10" t="inlineStr">
        <is>
          <t>黄经理</t>
        </is>
      </c>
      <c r="H410" s="10" t="inlineStr">
        <is>
          <t>000-0000-0406</t>
        </is>
      </c>
      <c r="I410" s="10" t="inlineStr">
        <is>
          <t>DEMO_GYS_0406</t>
        </is>
      </c>
      <c r="J410" s="11" t="n">
        <v>3</v>
      </c>
      <c r="K410" s="11" t="n">
        <v>21.6</v>
      </c>
      <c r="L410" s="12" t="n">
        <v>100</v>
      </c>
      <c r="M410" s="10" t="inlineStr">
        <is>
          <t>是</t>
        </is>
      </c>
      <c r="N410" s="10" t="inlineStr">
        <is>
          <t>是</t>
        </is>
      </c>
      <c r="O410" s="10" t="inlineStr">
        <is>
          <t>supplier0406@example.com</t>
        </is>
      </c>
      <c r="P410" s="10" t="inlineStr">
        <is>
          <t>https://example.com/supplier/0406</t>
        </is>
      </c>
      <c r="Q410" s="10">
        <f>IF(R410&gt;=85,"A",IF(R410&gt;=70,"B","C"))</f>
        <v/>
      </c>
      <c r="R410" s="13">
        <f>MIN(100,50+IF(M410="是",10,0)+IF(N410="是",10,0)+IF(L410&lt;=100,10,IF(L410&lt;=300,5,0))+IF(J410&lt;=20,10,IF(J410&lt;=50,5,0))+IF(K410-J410&lt;=20,5,0)+IF(F410="企业官网",5,0))</f>
        <v/>
      </c>
      <c r="S410" s="10">
        <f>IF(Q410="A","价格与起订量有优势，建议优先询盘",IF(Q410="B","条件较均衡，可作为备选","起订量或价格需要进一步确认"))</f>
        <v/>
      </c>
      <c r="T410" s="10" t="inlineStr">
        <is>
          <t>未联系</t>
        </is>
      </c>
      <c r="U410" s="10" t="inlineStr">
        <is>
          <t>虚构演示数据</t>
        </is>
      </c>
    </row>
    <row r="411" ht="21" customHeight="1">
      <c r="A411" s="10" t="inlineStr">
        <is>
          <t>GYS-0407</t>
        </is>
      </c>
      <c r="B411" s="10" t="inlineStr">
        <is>
          <t>东莞母婴用品供应链0407有限公司（演示）</t>
        </is>
      </c>
      <c r="C411" s="10" t="inlineStr">
        <is>
          <t>母婴用品</t>
        </is>
      </c>
      <c r="D411" s="10" t="inlineStr">
        <is>
          <t>婴儿防撞条</t>
        </is>
      </c>
      <c r="E411" s="10" t="inlineStr">
        <is>
          <t>广东东莞</t>
        </is>
      </c>
      <c r="F411" s="10" t="inlineStr">
        <is>
          <t>义乌购</t>
        </is>
      </c>
      <c r="G411" s="10" t="inlineStr">
        <is>
          <t>赵经理</t>
        </is>
      </c>
      <c r="H411" s="10" t="inlineStr">
        <is>
          <t>000-0000-0407</t>
        </is>
      </c>
      <c r="I411" s="10" t="inlineStr">
        <is>
          <t>DEMO_GYS_0407</t>
        </is>
      </c>
      <c r="J411" s="11" t="n">
        <v>4.7</v>
      </c>
      <c r="K411" s="11" t="n">
        <v>24.4</v>
      </c>
      <c r="L411" s="12" t="n">
        <v>50</v>
      </c>
      <c r="M411" s="10" t="inlineStr">
        <is>
          <t>是</t>
        </is>
      </c>
      <c r="N411" s="10" t="inlineStr">
        <is>
          <t>是</t>
        </is>
      </c>
      <c r="O411" s="10" t="inlineStr">
        <is>
          <t>supplier0407@example.com</t>
        </is>
      </c>
      <c r="P411" s="10" t="inlineStr">
        <is>
          <t>https://example.com/supplier/0407</t>
        </is>
      </c>
      <c r="Q411" s="10">
        <f>IF(R411&gt;=85,"A",IF(R411&gt;=70,"B","C"))</f>
        <v/>
      </c>
      <c r="R411" s="13">
        <f>MIN(100,50+IF(M411="是",10,0)+IF(N411="是",10,0)+IF(L411&lt;=100,10,IF(L411&lt;=300,5,0))+IF(J411&lt;=20,10,IF(J411&lt;=50,5,0))+IF(K411-J411&lt;=20,5,0)+IF(F411="企业官网",5,0))</f>
        <v/>
      </c>
      <c r="S411" s="10">
        <f>IF(Q411="A","价格与起订量有优势，建议优先询盘",IF(Q411="B","条件较均衡，可作为备选","起订量或价格需要进一步确认"))</f>
        <v/>
      </c>
      <c r="T411" s="10" t="inlineStr">
        <is>
          <t>未联系</t>
        </is>
      </c>
      <c r="U411" s="10" t="inlineStr">
        <is>
          <t>虚构演示数据</t>
        </is>
      </c>
    </row>
    <row r="412" ht="21" customHeight="1">
      <c r="A412" s="10" t="inlineStr">
        <is>
          <t>GYS-0408</t>
        </is>
      </c>
      <c r="B412" s="10" t="inlineStr">
        <is>
          <t>厦门运动户外供应链0408有限公司（演示）</t>
        </is>
      </c>
      <c r="C412" s="10" t="inlineStr">
        <is>
          <t>运动户外</t>
        </is>
      </c>
      <c r="D412" s="10" t="inlineStr">
        <is>
          <t>弹力训练带</t>
        </is>
      </c>
      <c r="E412" s="10" t="inlineStr">
        <is>
          <t>福建厦门</t>
        </is>
      </c>
      <c r="F412" s="10" t="inlineStr">
        <is>
          <t>慧聪网</t>
        </is>
      </c>
      <c r="G412" s="10" t="inlineStr">
        <is>
          <t>周经理</t>
        </is>
      </c>
      <c r="H412" s="10" t="inlineStr">
        <is>
          <t>000-0000-0408</t>
        </is>
      </c>
      <c r="I412" s="10" t="inlineStr">
        <is>
          <t>DEMO_GYS_0408</t>
        </is>
      </c>
      <c r="J412" s="11" t="n">
        <v>6.4</v>
      </c>
      <c r="K412" s="11" t="n">
        <v>27.2</v>
      </c>
      <c r="L412" s="12" t="n">
        <v>20</v>
      </c>
      <c r="M412" s="10" t="inlineStr">
        <is>
          <t>否</t>
        </is>
      </c>
      <c r="N412" s="10" t="inlineStr">
        <is>
          <t>否</t>
        </is>
      </c>
      <c r="O412" s="10" t="inlineStr">
        <is>
          <t>supplier0408@example.com</t>
        </is>
      </c>
      <c r="P412" s="10" t="inlineStr">
        <is>
          <t>https://example.com/supplier/0408</t>
        </is>
      </c>
      <c r="Q412" s="10">
        <f>IF(R412&gt;=85,"A",IF(R412&gt;=70,"B","C"))</f>
        <v/>
      </c>
      <c r="R412" s="13">
        <f>MIN(100,50+IF(M412="是",10,0)+IF(N412="是",10,0)+IF(L412&lt;=100,10,IF(L412&lt;=300,5,0))+IF(J412&lt;=20,10,IF(J412&lt;=50,5,0))+IF(K412-J412&lt;=20,5,0)+IF(F412="企业官网",5,0))</f>
        <v/>
      </c>
      <c r="S412" s="10">
        <f>IF(Q412="A","价格与起订量有优势，建议优先询盘",IF(Q412="B","条件较均衡，可作为备选","起订量或价格需要进一步确认"))</f>
        <v/>
      </c>
      <c r="T412" s="10" t="inlineStr">
        <is>
          <t>未联系</t>
        </is>
      </c>
      <c r="U412" s="10" t="inlineStr">
        <is>
          <t>虚构演示数据</t>
        </is>
      </c>
    </row>
    <row r="413" ht="21" customHeight="1">
      <c r="A413" s="10" t="inlineStr">
        <is>
          <t>GYS-0409</t>
        </is>
      </c>
      <c r="B413" s="10" t="inlineStr">
        <is>
          <t>临沂办公文具供应链0409有限公司（演示）</t>
        </is>
      </c>
      <c r="C413" s="10" t="inlineStr">
        <is>
          <t>办公文具</t>
        </is>
      </c>
      <c r="D413" s="10" t="inlineStr">
        <is>
          <t>桌面收纳架</t>
        </is>
      </c>
      <c r="E413" s="10" t="inlineStr">
        <is>
          <t>山东临沂</t>
        </is>
      </c>
      <c r="F413" s="10" t="inlineStr">
        <is>
          <t>1688</t>
        </is>
      </c>
      <c r="G413" s="10" t="inlineStr">
        <is>
          <t>吴经理</t>
        </is>
      </c>
      <c r="H413" s="10" t="inlineStr">
        <is>
          <t>000-0000-0409</t>
        </is>
      </c>
      <c r="I413" s="10" t="inlineStr">
        <is>
          <t>DEMO_GYS_0409</t>
        </is>
      </c>
      <c r="J413" s="11" t="n">
        <v>8.1</v>
      </c>
      <c r="K413" s="11" t="n">
        <v>30</v>
      </c>
      <c r="L413" s="12" t="n">
        <v>500</v>
      </c>
      <c r="M413" s="10" t="inlineStr">
        <is>
          <t>是</t>
        </is>
      </c>
      <c r="N413" s="10" t="inlineStr">
        <is>
          <t>是</t>
        </is>
      </c>
      <c r="O413" s="10" t="inlineStr">
        <is>
          <t>supplier0409@example.com</t>
        </is>
      </c>
      <c r="P413" s="10" t="inlineStr">
        <is>
          <t>https://example.com/supplier/0409</t>
        </is>
      </c>
      <c r="Q413" s="10">
        <f>IF(R413&gt;=85,"A",IF(R413&gt;=70,"B","C"))</f>
        <v/>
      </c>
      <c r="R413" s="13">
        <f>MIN(100,50+IF(M413="是",10,0)+IF(N413="是",10,0)+IF(L413&lt;=100,10,IF(L413&lt;=300,5,0))+IF(J413&lt;=20,10,IF(J413&lt;=50,5,0))+IF(K413-J413&lt;=20,5,0)+IF(F413="企业官网",5,0))</f>
        <v/>
      </c>
      <c r="S413" s="10">
        <f>IF(Q413="A","价格与起订量有优势，建议优先询盘",IF(Q413="B","条件较均衡，可作为备选","起订量或价格需要进一步确认"))</f>
        <v/>
      </c>
      <c r="T413" s="10" t="inlineStr">
        <is>
          <t>未联系</t>
        </is>
      </c>
      <c r="U413" s="10" t="inlineStr">
        <is>
          <t>虚构演示数据</t>
        </is>
      </c>
    </row>
    <row r="414" ht="21" customHeight="1">
      <c r="A414" s="10" t="inlineStr">
        <is>
          <t>GYS-0410</t>
        </is>
      </c>
      <c r="B414" s="10" t="inlineStr">
        <is>
          <t>南昌汽车用品供应链0410有限公司（演示）</t>
        </is>
      </c>
      <c r="C414" s="10" t="inlineStr">
        <is>
          <t>汽车用品</t>
        </is>
      </c>
      <c r="D414" s="10" t="inlineStr">
        <is>
          <t>车载香薰</t>
        </is>
      </c>
      <c r="E414" s="10" t="inlineStr">
        <is>
          <t>江西南昌</t>
        </is>
      </c>
      <c r="F414" s="10" t="inlineStr">
        <is>
          <t>中国制造网</t>
        </is>
      </c>
      <c r="G414" s="10" t="inlineStr">
        <is>
          <t>陈经理</t>
        </is>
      </c>
      <c r="H414" s="10" t="inlineStr">
        <is>
          <t>000-0000-0410</t>
        </is>
      </c>
      <c r="I414" s="10" t="inlineStr">
        <is>
          <t>DEMO_GYS_0410</t>
        </is>
      </c>
      <c r="J414" s="11" t="n">
        <v>9.800000000000001</v>
      </c>
      <c r="K414" s="11" t="n">
        <v>14.8</v>
      </c>
      <c r="L414" s="12" t="n">
        <v>300</v>
      </c>
      <c r="M414" s="10" t="inlineStr">
        <is>
          <t>是</t>
        </is>
      </c>
      <c r="N414" s="10" t="inlineStr">
        <is>
          <t>是</t>
        </is>
      </c>
      <c r="O414" s="10" t="inlineStr">
        <is>
          <t>supplier0410@example.com</t>
        </is>
      </c>
      <c r="P414" s="10" t="inlineStr">
        <is>
          <t>https://example.com/supplier/0410</t>
        </is>
      </c>
      <c r="Q414" s="10">
        <f>IF(R414&gt;=85,"A",IF(R414&gt;=70,"B","C"))</f>
        <v/>
      </c>
      <c r="R414" s="13">
        <f>MIN(100,50+IF(M414="是",10,0)+IF(N414="是",10,0)+IF(L414&lt;=100,10,IF(L414&lt;=300,5,0))+IF(J414&lt;=20,10,IF(J414&lt;=50,5,0))+IF(K414-J414&lt;=20,5,0)+IF(F414="企业官网",5,0))</f>
        <v/>
      </c>
      <c r="S414" s="10">
        <f>IF(Q414="A","价格与起订量有优势，建议优先询盘",IF(Q414="B","条件较均衡，可作为备选","起订量或价格需要进一步确认"))</f>
        <v/>
      </c>
      <c r="T414" s="10" t="inlineStr">
        <is>
          <t>未联系</t>
        </is>
      </c>
      <c r="U414" s="10" t="inlineStr">
        <is>
          <t>虚构演示数据</t>
        </is>
      </c>
    </row>
    <row r="415" ht="21" customHeight="1">
      <c r="A415" s="10" t="inlineStr">
        <is>
          <t>GYS-0411</t>
        </is>
      </c>
      <c r="B415" s="10" t="inlineStr">
        <is>
          <t>温州美容工具供应链0411有限公司（演示）</t>
        </is>
      </c>
      <c r="C415" s="10" t="inlineStr">
        <is>
          <t>美容工具</t>
        </is>
      </c>
      <c r="D415" s="10" t="inlineStr">
        <is>
          <t>便携化妆镜</t>
        </is>
      </c>
      <c r="E415" s="10" t="inlineStr">
        <is>
          <t>浙江温州</t>
        </is>
      </c>
      <c r="F415" s="10" t="inlineStr">
        <is>
          <t>企业官网</t>
        </is>
      </c>
      <c r="G415" s="10" t="inlineStr">
        <is>
          <t>林经理</t>
        </is>
      </c>
      <c r="H415" s="10" t="inlineStr">
        <is>
          <t>000-0000-0411</t>
        </is>
      </c>
      <c r="I415" s="10" t="inlineStr">
        <is>
          <t>DEMO_GYS_0411</t>
        </is>
      </c>
      <c r="J415" s="11" t="n">
        <v>11.5</v>
      </c>
      <c r="K415" s="11" t="n">
        <v>17.6</v>
      </c>
      <c r="L415" s="12" t="n">
        <v>200</v>
      </c>
      <c r="M415" s="10" t="inlineStr">
        <is>
          <t>是</t>
        </is>
      </c>
      <c r="N415" s="10" t="inlineStr">
        <is>
          <t>否</t>
        </is>
      </c>
      <c r="O415" s="10" t="inlineStr">
        <is>
          <t>supplier0411@example.com</t>
        </is>
      </c>
      <c r="P415" s="10" t="inlineStr">
        <is>
          <t>https://example.com/supplier/0411</t>
        </is>
      </c>
      <c r="Q415" s="10">
        <f>IF(R415&gt;=85,"A",IF(R415&gt;=70,"B","C"))</f>
        <v/>
      </c>
      <c r="R415" s="13">
        <f>MIN(100,50+IF(M415="是",10,0)+IF(N415="是",10,0)+IF(L415&lt;=100,10,IF(L415&lt;=300,5,0))+IF(J415&lt;=20,10,IF(J415&lt;=50,5,0))+IF(K415-J415&lt;=20,5,0)+IF(F415="企业官网",5,0))</f>
        <v/>
      </c>
      <c r="S415" s="10">
        <f>IF(Q415="A","价格与起订量有优势，建议优先询盘",IF(Q415="B","条件较均衡，可作为备选","起订量或价格需要进一步确认"))</f>
        <v/>
      </c>
      <c r="T415" s="10" t="inlineStr">
        <is>
          <t>未联系</t>
        </is>
      </c>
      <c r="U415" s="10" t="inlineStr">
        <is>
          <t>虚构演示数据</t>
        </is>
      </c>
    </row>
    <row r="416" ht="21" customHeight="1">
      <c r="A416" s="10" t="inlineStr">
        <is>
          <t>GYS-0412</t>
        </is>
      </c>
      <c r="B416" s="10" t="inlineStr">
        <is>
          <t>广州旅行用品供应链0412有限公司（演示）</t>
        </is>
      </c>
      <c r="C416" s="10" t="inlineStr">
        <is>
          <t>旅行用品</t>
        </is>
      </c>
      <c r="D416" s="10" t="inlineStr">
        <is>
          <t>压缩收纳袋</t>
        </is>
      </c>
      <c r="E416" s="10" t="inlineStr">
        <is>
          <t>广东广州</t>
        </is>
      </c>
      <c r="F416" s="10" t="inlineStr">
        <is>
          <t>义乌购</t>
        </is>
      </c>
      <c r="G416" s="10" t="inlineStr">
        <is>
          <t>王经理</t>
        </is>
      </c>
      <c r="H416" s="10" t="inlineStr">
        <is>
          <t>000-0000-0412</t>
        </is>
      </c>
      <c r="I416" s="10" t="inlineStr">
        <is>
          <t>DEMO_GYS_0412</t>
        </is>
      </c>
      <c r="J416" s="11" t="n">
        <v>13.2</v>
      </c>
      <c r="K416" s="11" t="n">
        <v>20.4</v>
      </c>
      <c r="L416" s="12" t="n">
        <v>100</v>
      </c>
      <c r="M416" s="10" t="inlineStr">
        <is>
          <t>否</t>
        </is>
      </c>
      <c r="N416" s="10" t="inlineStr">
        <is>
          <t>是</t>
        </is>
      </c>
      <c r="O416" s="10" t="inlineStr">
        <is>
          <t>supplier0412@example.com</t>
        </is>
      </c>
      <c r="P416" s="10" t="inlineStr">
        <is>
          <t>https://example.com/supplier/0412</t>
        </is>
      </c>
      <c r="Q416" s="10">
        <f>IF(R416&gt;=85,"A",IF(R416&gt;=70,"B","C"))</f>
        <v/>
      </c>
      <c r="R416" s="13">
        <f>MIN(100,50+IF(M416="是",10,0)+IF(N416="是",10,0)+IF(L416&lt;=100,10,IF(L416&lt;=300,5,0))+IF(J416&lt;=20,10,IF(J416&lt;=50,5,0))+IF(K416-J416&lt;=20,5,0)+IF(F416="企业官网",5,0))</f>
        <v/>
      </c>
      <c r="S416" s="10">
        <f>IF(Q416="A","价格与起订量有优势，建议优先询盘",IF(Q416="B","条件较均衡，可作为备选","起订量或价格需要进一步确认"))</f>
        <v/>
      </c>
      <c r="T416" s="10" t="inlineStr">
        <is>
          <t>未联系</t>
        </is>
      </c>
      <c r="U416" s="10" t="inlineStr">
        <is>
          <t>虚构演示数据</t>
        </is>
      </c>
    </row>
    <row r="417" ht="21" customHeight="1">
      <c r="A417" s="10" t="inlineStr">
        <is>
          <t>GYS-0413</t>
        </is>
      </c>
      <c r="B417" s="10" t="inlineStr">
        <is>
          <t>泉州清洁工具供应链0413有限公司（演示）</t>
        </is>
      </c>
      <c r="C417" s="10" t="inlineStr">
        <is>
          <t>清洁工具</t>
        </is>
      </c>
      <c r="D417" s="10" t="inlineStr">
        <is>
          <t>免手洗拖把</t>
        </is>
      </c>
      <c r="E417" s="10" t="inlineStr">
        <is>
          <t>福建泉州</t>
        </is>
      </c>
      <c r="F417" s="10" t="inlineStr">
        <is>
          <t>慧聪网</t>
        </is>
      </c>
      <c r="G417" s="10" t="inlineStr">
        <is>
          <t>李经理</t>
        </is>
      </c>
      <c r="H417" s="10" t="inlineStr">
        <is>
          <t>000-0000-0413</t>
        </is>
      </c>
      <c r="I417" s="10" t="inlineStr">
        <is>
          <t>DEMO_GYS_0413</t>
        </is>
      </c>
      <c r="J417" s="11" t="n">
        <v>14.9</v>
      </c>
      <c r="K417" s="11" t="n">
        <v>23.2</v>
      </c>
      <c r="L417" s="12" t="n">
        <v>50</v>
      </c>
      <c r="M417" s="10" t="inlineStr">
        <is>
          <t>是</t>
        </is>
      </c>
      <c r="N417" s="10" t="inlineStr">
        <is>
          <t>是</t>
        </is>
      </c>
      <c r="O417" s="10" t="inlineStr">
        <is>
          <t>supplier0413@example.com</t>
        </is>
      </c>
      <c r="P417" s="10" t="inlineStr">
        <is>
          <t>https://example.com/supplier/0413</t>
        </is>
      </c>
      <c r="Q417" s="10">
        <f>IF(R417&gt;=85,"A",IF(R417&gt;=70,"B","C"))</f>
        <v/>
      </c>
      <c r="R417" s="13">
        <f>MIN(100,50+IF(M417="是",10,0)+IF(N417="是",10,0)+IF(L417&lt;=100,10,IF(L417&lt;=300,5,0))+IF(J417&lt;=20,10,IF(J417&lt;=50,5,0))+IF(K417-J417&lt;=20,5,0)+IF(F417="企业官网",5,0))</f>
        <v/>
      </c>
      <c r="S417" s="10">
        <f>IF(Q417="A","价格与起订量有优势，建议优先询盘",IF(Q417="B","条件较均衡，可作为备选","起订量或价格需要进一步确认"))</f>
        <v/>
      </c>
      <c r="T417" s="10" t="inlineStr">
        <is>
          <t>未联系</t>
        </is>
      </c>
      <c r="U417" s="10" t="inlineStr">
        <is>
          <t>虚构演示数据</t>
        </is>
      </c>
    </row>
    <row r="418" ht="21" customHeight="1">
      <c r="A418" s="10" t="inlineStr">
        <is>
          <t>GYS-0414</t>
        </is>
      </c>
      <c r="B418" s="10" t="inlineStr">
        <is>
          <t>南通小家电供应链0414有限公司（演示）</t>
        </is>
      </c>
      <c r="C418" s="10" t="inlineStr">
        <is>
          <t>小家电</t>
        </is>
      </c>
      <c r="D418" s="10" t="inlineStr">
        <is>
          <t>迷你加湿器</t>
        </is>
      </c>
      <c r="E418" s="10" t="inlineStr">
        <is>
          <t>江苏南通</t>
        </is>
      </c>
      <c r="F418" s="10" t="inlineStr">
        <is>
          <t>1688</t>
        </is>
      </c>
      <c r="G418" s="10" t="inlineStr">
        <is>
          <t>张经理</t>
        </is>
      </c>
      <c r="H418" s="10" t="inlineStr">
        <is>
          <t>000-0000-0414</t>
        </is>
      </c>
      <c r="I418" s="10" t="inlineStr">
        <is>
          <t>DEMO_GYS_0414</t>
        </is>
      </c>
      <c r="J418" s="11" t="n">
        <v>16.6</v>
      </c>
      <c r="K418" s="11" t="n">
        <v>26</v>
      </c>
      <c r="L418" s="12" t="n">
        <v>20</v>
      </c>
      <c r="M418" s="10" t="inlineStr">
        <is>
          <t>是</t>
        </is>
      </c>
      <c r="N418" s="10" t="inlineStr">
        <is>
          <t>否</t>
        </is>
      </c>
      <c r="O418" s="10" t="inlineStr">
        <is>
          <t>supplier0414@example.com</t>
        </is>
      </c>
      <c r="P418" s="10" t="inlineStr">
        <is>
          <t>https://example.com/supplier/0414</t>
        </is>
      </c>
      <c r="Q418" s="10">
        <f>IF(R418&gt;=85,"A",IF(R418&gt;=70,"B","C"))</f>
        <v/>
      </c>
      <c r="R418" s="13">
        <f>MIN(100,50+IF(M418="是",10,0)+IF(N418="是",10,0)+IF(L418&lt;=100,10,IF(L418&lt;=300,5,0))+IF(J418&lt;=20,10,IF(J418&lt;=50,5,0))+IF(K418-J418&lt;=20,5,0)+IF(F418="企业官网",5,0))</f>
        <v/>
      </c>
      <c r="S418" s="10">
        <f>IF(Q418="A","价格与起订量有优势，建议优先询盘",IF(Q418="B","条件较均衡，可作为备选","起订量或价格需要进一步确认"))</f>
        <v/>
      </c>
      <c r="T418" s="10" t="inlineStr">
        <is>
          <t>未联系</t>
        </is>
      </c>
      <c r="U418" s="10" t="inlineStr">
        <is>
          <t>虚构演示数据</t>
        </is>
      </c>
    </row>
    <row r="419" ht="21" customHeight="1">
      <c r="A419" s="10" t="inlineStr">
        <is>
          <t>GYS-0415</t>
        </is>
      </c>
      <c r="B419" s="10" t="inlineStr">
        <is>
          <t>郑州礼品包装供应链0415有限公司（演示）</t>
        </is>
      </c>
      <c r="C419" s="10" t="inlineStr">
        <is>
          <t>礼品包装</t>
        </is>
      </c>
      <c r="D419" s="10" t="inlineStr">
        <is>
          <t>节日礼盒</t>
        </is>
      </c>
      <c r="E419" s="10" t="inlineStr">
        <is>
          <t>河南郑州</t>
        </is>
      </c>
      <c r="F419" s="10" t="inlineStr">
        <is>
          <t>中国制造网</t>
        </is>
      </c>
      <c r="G419" s="10" t="inlineStr">
        <is>
          <t>刘经理</t>
        </is>
      </c>
      <c r="H419" s="10" t="inlineStr">
        <is>
          <t>000-0000-0415</t>
        </is>
      </c>
      <c r="I419" s="10" t="inlineStr">
        <is>
          <t>DEMO_GYS_0415</t>
        </is>
      </c>
      <c r="J419" s="11" t="n">
        <v>18.3</v>
      </c>
      <c r="K419" s="11" t="n">
        <v>28.8</v>
      </c>
      <c r="L419" s="12" t="n">
        <v>500</v>
      </c>
      <c r="M419" s="10" t="inlineStr">
        <is>
          <t>是</t>
        </is>
      </c>
      <c r="N419" s="10" t="inlineStr">
        <is>
          <t>是</t>
        </is>
      </c>
      <c r="O419" s="10" t="inlineStr">
        <is>
          <t>supplier0415@example.com</t>
        </is>
      </c>
      <c r="P419" s="10" t="inlineStr">
        <is>
          <t>https://example.com/supplier/0415</t>
        </is>
      </c>
      <c r="Q419" s="10">
        <f>IF(R419&gt;=85,"A",IF(R419&gt;=70,"B","C"))</f>
        <v/>
      </c>
      <c r="R419" s="13">
        <f>MIN(100,50+IF(M419="是",10,0)+IF(N419="是",10,0)+IF(L419&lt;=100,10,IF(L419&lt;=300,5,0))+IF(J419&lt;=20,10,IF(J419&lt;=50,5,0))+IF(K419-J419&lt;=20,5,0)+IF(F419="企业官网",5,0))</f>
        <v/>
      </c>
      <c r="S419" s="10">
        <f>IF(Q419="A","价格与起订量有优势，建议优先询盘",IF(Q419="B","条件较均衡，可作为备选","起订量或价格需要进一步确认"))</f>
        <v/>
      </c>
      <c r="T419" s="10" t="inlineStr">
        <is>
          <t>未联系</t>
        </is>
      </c>
      <c r="U419" s="10" t="inlineStr">
        <is>
          <t>虚构演示数据</t>
        </is>
      </c>
    </row>
    <row r="420" ht="21" customHeight="1">
      <c r="A420" s="10" t="inlineStr">
        <is>
          <t>GYS-0416</t>
        </is>
      </c>
      <c r="B420" s="10" t="inlineStr">
        <is>
          <t>宁波五金工具供应链0416有限公司（演示）</t>
        </is>
      </c>
      <c r="C420" s="10" t="inlineStr">
        <is>
          <t>五金工具</t>
        </is>
      </c>
      <c r="D420" s="10" t="inlineStr">
        <is>
          <t>多功能螺丝刀</t>
        </is>
      </c>
      <c r="E420" s="10" t="inlineStr">
        <is>
          <t>浙江宁波</t>
        </is>
      </c>
      <c r="F420" s="10" t="inlineStr">
        <is>
          <t>企业官网</t>
        </is>
      </c>
      <c r="G420" s="10" t="inlineStr">
        <is>
          <t>黄经理</t>
        </is>
      </c>
      <c r="H420" s="10" t="inlineStr">
        <is>
          <t>000-0000-0416</t>
        </is>
      </c>
      <c r="I420" s="10" t="inlineStr">
        <is>
          <t>DEMO_GYS_0416</t>
        </is>
      </c>
      <c r="J420" s="11" t="n">
        <v>20</v>
      </c>
      <c r="K420" s="11" t="n">
        <v>31.6</v>
      </c>
      <c r="L420" s="12" t="n">
        <v>300</v>
      </c>
      <c r="M420" s="10" t="inlineStr">
        <is>
          <t>否</t>
        </is>
      </c>
      <c r="N420" s="10" t="inlineStr">
        <is>
          <t>是</t>
        </is>
      </c>
      <c r="O420" s="10" t="inlineStr">
        <is>
          <t>supplier0416@example.com</t>
        </is>
      </c>
      <c r="P420" s="10" t="inlineStr">
        <is>
          <t>https://example.com/supplier/0416</t>
        </is>
      </c>
      <c r="Q420" s="10">
        <f>IF(R420&gt;=85,"A",IF(R420&gt;=70,"B","C"))</f>
        <v/>
      </c>
      <c r="R420" s="13">
        <f>MIN(100,50+IF(M420="是",10,0)+IF(N420="是",10,0)+IF(L420&lt;=100,10,IF(L420&lt;=300,5,0))+IF(J420&lt;=20,10,IF(J420&lt;=50,5,0))+IF(K420-J420&lt;=20,5,0)+IF(F420="企业官网",5,0))</f>
        <v/>
      </c>
      <c r="S420" s="10">
        <f>IF(Q420="A","价格与起订量有优势，建议优先询盘",IF(Q420="B","条件较均衡，可作为备选","起订量或价格需要进一步确认"))</f>
        <v/>
      </c>
      <c r="T420" s="10" t="inlineStr">
        <is>
          <t>未联系</t>
        </is>
      </c>
      <c r="U420" s="10" t="inlineStr">
        <is>
          <t>虚构演示数据</t>
        </is>
      </c>
    </row>
    <row r="421" ht="21" customHeight="1">
      <c r="A421" s="10" t="inlineStr">
        <is>
          <t>GYS-0417</t>
        </is>
      </c>
      <c r="B421" s="10" t="inlineStr">
        <is>
          <t>深圳鞋靴配件供应链0417有限公司（演示）</t>
        </is>
      </c>
      <c r="C421" s="10" t="inlineStr">
        <is>
          <t>鞋靴配件</t>
        </is>
      </c>
      <c r="D421" s="10" t="inlineStr">
        <is>
          <t>防磨脚贴</t>
        </is>
      </c>
      <c r="E421" s="10" t="inlineStr">
        <is>
          <t>广东深圳</t>
        </is>
      </c>
      <c r="F421" s="10" t="inlineStr">
        <is>
          <t>义乌购</t>
        </is>
      </c>
      <c r="G421" s="10" t="inlineStr">
        <is>
          <t>赵经理</t>
        </is>
      </c>
      <c r="H421" s="10" t="inlineStr">
        <is>
          <t>000-0000-0417</t>
        </is>
      </c>
      <c r="I421" s="10" t="inlineStr">
        <is>
          <t>DEMO_GYS_0417</t>
        </is>
      </c>
      <c r="J421" s="11" t="n">
        <v>21.7</v>
      </c>
      <c r="K421" s="11" t="n">
        <v>34.4</v>
      </c>
      <c r="L421" s="12" t="n">
        <v>200</v>
      </c>
      <c r="M421" s="10" t="inlineStr">
        <is>
          <t>是</t>
        </is>
      </c>
      <c r="N421" s="10" t="inlineStr">
        <is>
          <t>否</t>
        </is>
      </c>
      <c r="O421" s="10" t="inlineStr">
        <is>
          <t>supplier0417@example.com</t>
        </is>
      </c>
      <c r="P421" s="10" t="inlineStr">
        <is>
          <t>https://example.com/supplier/0417</t>
        </is>
      </c>
      <c r="Q421" s="10">
        <f>IF(R421&gt;=85,"A",IF(R421&gt;=70,"B","C"))</f>
        <v/>
      </c>
      <c r="R421" s="13">
        <f>MIN(100,50+IF(M421="是",10,0)+IF(N421="是",10,0)+IF(L421&lt;=100,10,IF(L421&lt;=300,5,0))+IF(J421&lt;=20,10,IF(J421&lt;=50,5,0))+IF(K421-J421&lt;=20,5,0)+IF(F421="企业官网",5,0))</f>
        <v/>
      </c>
      <c r="S421" s="10">
        <f>IF(Q421="A","价格与起订量有优势，建议优先询盘",IF(Q421="B","条件较均衡，可作为备选","起订量或价格需要进一步确认"))</f>
        <v/>
      </c>
      <c r="T421" s="10" t="inlineStr">
        <is>
          <t>未联系</t>
        </is>
      </c>
      <c r="U421" s="10" t="inlineStr">
        <is>
          <t>虚构演示数据</t>
        </is>
      </c>
    </row>
    <row r="422" ht="21" customHeight="1">
      <c r="A422" s="10" t="inlineStr">
        <is>
          <t>GYS-0418</t>
        </is>
      </c>
      <c r="B422" s="10" t="inlineStr">
        <is>
          <t>佛山食品包装供应链0418有限公司（演示）</t>
        </is>
      </c>
      <c r="C422" s="10" t="inlineStr">
        <is>
          <t>食品包装</t>
        </is>
      </c>
      <c r="D422" s="10" t="inlineStr">
        <is>
          <t>密封包装袋</t>
        </is>
      </c>
      <c r="E422" s="10" t="inlineStr">
        <is>
          <t>广东佛山</t>
        </is>
      </c>
      <c r="F422" s="10" t="inlineStr">
        <is>
          <t>慧聪网</t>
        </is>
      </c>
      <c r="G422" s="10" t="inlineStr">
        <is>
          <t>周经理</t>
        </is>
      </c>
      <c r="H422" s="10" t="inlineStr">
        <is>
          <t>000-0000-0418</t>
        </is>
      </c>
      <c r="I422" s="10" t="inlineStr">
        <is>
          <t>DEMO_GYS_0418</t>
        </is>
      </c>
      <c r="J422" s="11" t="n">
        <v>23.4</v>
      </c>
      <c r="K422" s="11" t="n">
        <v>37.2</v>
      </c>
      <c r="L422" s="12" t="n">
        <v>100</v>
      </c>
      <c r="M422" s="10" t="inlineStr">
        <is>
          <t>是</t>
        </is>
      </c>
      <c r="N422" s="10" t="inlineStr">
        <is>
          <t>是</t>
        </is>
      </c>
      <c r="O422" s="10" t="inlineStr">
        <is>
          <t>supplier0418@example.com</t>
        </is>
      </c>
      <c r="P422" s="10" t="inlineStr">
        <is>
          <t>https://example.com/supplier/0418</t>
        </is>
      </c>
      <c r="Q422" s="10">
        <f>IF(R422&gt;=85,"A",IF(R422&gt;=70,"B","C"))</f>
        <v/>
      </c>
      <c r="R422" s="13">
        <f>MIN(100,50+IF(M422="是",10,0)+IF(N422="是",10,0)+IF(L422&lt;=100,10,IF(L422&lt;=300,5,0))+IF(J422&lt;=20,10,IF(J422&lt;=50,5,0))+IF(K422-J422&lt;=20,5,0)+IF(F422="企业官网",5,0))</f>
        <v/>
      </c>
      <c r="S422" s="10">
        <f>IF(Q422="A","价格与起订量有优势，建议优先询盘",IF(Q422="B","条件较均衡，可作为备选","起订量或价格需要进一步确认"))</f>
        <v/>
      </c>
      <c r="T422" s="10" t="inlineStr">
        <is>
          <t>未联系</t>
        </is>
      </c>
      <c r="U422" s="10" t="inlineStr">
        <is>
          <t>虚构演示数据</t>
        </is>
      </c>
    </row>
    <row r="423" ht="21" customHeight="1">
      <c r="A423" s="10" t="inlineStr">
        <is>
          <t>GYS-0419</t>
        </is>
      </c>
      <c r="B423" s="10" t="inlineStr">
        <is>
          <t>苏州户外照明供应链0419有限公司（演示）</t>
        </is>
      </c>
      <c r="C423" s="10" t="inlineStr">
        <is>
          <t>户外照明</t>
        </is>
      </c>
      <c r="D423" s="10" t="inlineStr">
        <is>
          <t>便携露营灯</t>
        </is>
      </c>
      <c r="E423" s="10" t="inlineStr">
        <is>
          <t>江苏苏州</t>
        </is>
      </c>
      <c r="F423" s="10" t="inlineStr">
        <is>
          <t>1688</t>
        </is>
      </c>
      <c r="G423" s="10" t="inlineStr">
        <is>
          <t>吴经理</t>
        </is>
      </c>
      <c r="H423" s="10" t="inlineStr">
        <is>
          <t>000-0000-0419</t>
        </is>
      </c>
      <c r="I423" s="10" t="inlineStr">
        <is>
          <t>DEMO_GYS_0419</t>
        </is>
      </c>
      <c r="J423" s="11" t="n">
        <v>25.1</v>
      </c>
      <c r="K423" s="11" t="n">
        <v>40</v>
      </c>
      <c r="L423" s="12" t="n">
        <v>50</v>
      </c>
      <c r="M423" s="10" t="inlineStr">
        <is>
          <t>是</t>
        </is>
      </c>
      <c r="N423" s="10" t="inlineStr">
        <is>
          <t>是</t>
        </is>
      </c>
      <c r="O423" s="10" t="inlineStr">
        <is>
          <t>supplier0419@example.com</t>
        </is>
      </c>
      <c r="P423" s="10" t="inlineStr">
        <is>
          <t>https://example.com/supplier/0419</t>
        </is>
      </c>
      <c r="Q423" s="10">
        <f>IF(R423&gt;=85,"A",IF(R423&gt;=70,"B","C"))</f>
        <v/>
      </c>
      <c r="R423" s="13">
        <f>MIN(100,50+IF(M423="是",10,0)+IF(N423="是",10,0)+IF(L423&lt;=100,10,IF(L423&lt;=300,5,0))+IF(J423&lt;=20,10,IF(J423&lt;=50,5,0))+IF(K423-J423&lt;=20,5,0)+IF(F423="企业官网",5,0))</f>
        <v/>
      </c>
      <c r="S423" s="10">
        <f>IF(Q423="A","价格与起订量有优势，建议优先询盘",IF(Q423="B","条件较均衡，可作为备选","起订量或价格需要进一步确认"))</f>
        <v/>
      </c>
      <c r="T423" s="10" t="inlineStr">
        <is>
          <t>未联系</t>
        </is>
      </c>
      <c r="U423" s="10" t="inlineStr">
        <is>
          <t>虚构演示数据</t>
        </is>
      </c>
    </row>
    <row r="424" ht="21" customHeight="1">
      <c r="A424" s="10" t="inlineStr">
        <is>
          <t>GYS-0420</t>
        </is>
      </c>
      <c r="B424" s="10" t="inlineStr">
        <is>
          <t>白沟健康用品供应链0420有限公司（演示）</t>
        </is>
      </c>
      <c r="C424" s="10" t="inlineStr">
        <is>
          <t>健康用品</t>
        </is>
      </c>
      <c r="D424" s="10" t="inlineStr">
        <is>
          <t>热敷眼罩</t>
        </is>
      </c>
      <c r="E424" s="10" t="inlineStr">
        <is>
          <t>河北白沟</t>
        </is>
      </c>
      <c r="F424" s="10" t="inlineStr">
        <is>
          <t>中国制造网</t>
        </is>
      </c>
      <c r="G424" s="10" t="inlineStr">
        <is>
          <t>陈经理</t>
        </is>
      </c>
      <c r="H424" s="10" t="inlineStr">
        <is>
          <t>000-0000-0420</t>
        </is>
      </c>
      <c r="I424" s="10" t="inlineStr">
        <is>
          <t>DEMO_GYS_0420</t>
        </is>
      </c>
      <c r="J424" s="11" t="n">
        <v>26.8</v>
      </c>
      <c r="K424" s="11" t="n">
        <v>42.8</v>
      </c>
      <c r="L424" s="12" t="n">
        <v>20</v>
      </c>
      <c r="M424" s="10" t="inlineStr">
        <is>
          <t>否</t>
        </is>
      </c>
      <c r="N424" s="10" t="inlineStr">
        <is>
          <t>否</t>
        </is>
      </c>
      <c r="O424" s="10" t="inlineStr">
        <is>
          <t>supplier0420@example.com</t>
        </is>
      </c>
      <c r="P424" s="10" t="inlineStr">
        <is>
          <t>https://example.com/supplier/0420</t>
        </is>
      </c>
      <c r="Q424" s="10">
        <f>IF(R424&gt;=85,"A",IF(R424&gt;=70,"B","C"))</f>
        <v/>
      </c>
      <c r="R424" s="13">
        <f>MIN(100,50+IF(M424="是",10,0)+IF(N424="是",10,0)+IF(L424&lt;=100,10,IF(L424&lt;=300,5,0))+IF(J424&lt;=20,10,IF(J424&lt;=50,5,0))+IF(K424-J424&lt;=20,5,0)+IF(F424="企业官网",5,0))</f>
        <v/>
      </c>
      <c r="S424" s="10">
        <f>IF(Q424="A","价格与起订量有优势，建议优先询盘",IF(Q424="B","条件较均衡，可作为备选","起订量或价格需要进一步确认"))</f>
        <v/>
      </c>
      <c r="T424" s="10" t="inlineStr">
        <is>
          <t>未联系</t>
        </is>
      </c>
      <c r="U424" s="10" t="inlineStr">
        <is>
          <t>虚构演示数据</t>
        </is>
      </c>
    </row>
    <row r="425" ht="21" customHeight="1">
      <c r="A425" s="10" t="inlineStr">
        <is>
          <t>GYS-0421</t>
        </is>
      </c>
      <c r="B425" s="10" t="inlineStr">
        <is>
          <t>义乌服饰内衣供应链0421有限公司（演示）</t>
        </is>
      </c>
      <c r="C425" s="10" t="inlineStr">
        <is>
          <t>服饰内衣</t>
        </is>
      </c>
      <c r="D425" s="10" t="inlineStr">
        <is>
          <t>防滑袜</t>
        </is>
      </c>
      <c r="E425" s="10" t="inlineStr">
        <is>
          <t>浙江义乌</t>
        </is>
      </c>
      <c r="F425" s="10" t="inlineStr">
        <is>
          <t>企业官网</t>
        </is>
      </c>
      <c r="G425" s="10" t="inlineStr">
        <is>
          <t>林经理</t>
        </is>
      </c>
      <c r="H425" s="10" t="inlineStr">
        <is>
          <t>000-0000-0421</t>
        </is>
      </c>
      <c r="I425" s="10" t="inlineStr">
        <is>
          <t>DEMO_GYS_0421</t>
        </is>
      </c>
      <c r="J425" s="11" t="n">
        <v>28.5</v>
      </c>
      <c r="K425" s="11" t="n">
        <v>45.6</v>
      </c>
      <c r="L425" s="12" t="n">
        <v>500</v>
      </c>
      <c r="M425" s="10" t="inlineStr">
        <is>
          <t>是</t>
        </is>
      </c>
      <c r="N425" s="10" t="inlineStr">
        <is>
          <t>是</t>
        </is>
      </c>
      <c r="O425" s="10" t="inlineStr">
        <is>
          <t>supplier0421@example.com</t>
        </is>
      </c>
      <c r="P425" s="10" t="inlineStr">
        <is>
          <t>https://example.com/supplier/0421</t>
        </is>
      </c>
      <c r="Q425" s="10">
        <f>IF(R425&gt;=85,"A",IF(R425&gt;=70,"B","C"))</f>
        <v/>
      </c>
      <c r="R425" s="13">
        <f>MIN(100,50+IF(M425="是",10,0)+IF(N425="是",10,0)+IF(L425&lt;=100,10,IF(L425&lt;=300,5,0))+IF(J425&lt;=20,10,IF(J425&lt;=50,5,0))+IF(K425-J425&lt;=20,5,0)+IF(F425="企业官网",5,0))</f>
        <v/>
      </c>
      <c r="S425" s="10">
        <f>IF(Q425="A","价格与起订量有优势，建议优先询盘",IF(Q425="B","条件较均衡，可作为备选","起订量或价格需要进一步确认"))</f>
        <v/>
      </c>
      <c r="T425" s="10" t="inlineStr">
        <is>
          <t>未联系</t>
        </is>
      </c>
      <c r="U425" s="10" t="inlineStr">
        <is>
          <t>虚构演示数据</t>
        </is>
      </c>
    </row>
    <row r="426" ht="21" customHeight="1">
      <c r="A426" s="10" t="inlineStr">
        <is>
          <t>GYS-0422</t>
        </is>
      </c>
      <c r="B426" s="10" t="inlineStr">
        <is>
          <t>台州家居日用供应链0422有限公司（演示）</t>
        </is>
      </c>
      <c r="C426" s="10" t="inlineStr">
        <is>
          <t>家居日用</t>
        </is>
      </c>
      <c r="D426" s="10" t="inlineStr">
        <is>
          <t>折叠收纳箱</t>
        </is>
      </c>
      <c r="E426" s="10" t="inlineStr">
        <is>
          <t>浙江台州</t>
        </is>
      </c>
      <c r="F426" s="10" t="inlineStr">
        <is>
          <t>义乌购</t>
        </is>
      </c>
      <c r="G426" s="10" t="inlineStr">
        <is>
          <t>王经理</t>
        </is>
      </c>
      <c r="H426" s="10" t="inlineStr">
        <is>
          <t>000-0000-0422</t>
        </is>
      </c>
      <c r="I426" s="10" t="inlineStr">
        <is>
          <t>DEMO_GYS_0422</t>
        </is>
      </c>
      <c r="J426" s="11" t="n">
        <v>30.2</v>
      </c>
      <c r="K426" s="11" t="n">
        <v>48.4</v>
      </c>
      <c r="L426" s="12" t="n">
        <v>300</v>
      </c>
      <c r="M426" s="10" t="inlineStr">
        <is>
          <t>是</t>
        </is>
      </c>
      <c r="N426" s="10" t="inlineStr">
        <is>
          <t>是</t>
        </is>
      </c>
      <c r="O426" s="10" t="inlineStr">
        <is>
          <t>supplier0422@example.com</t>
        </is>
      </c>
      <c r="P426" s="10" t="inlineStr">
        <is>
          <t>https://example.com/supplier/0422</t>
        </is>
      </c>
      <c r="Q426" s="10">
        <f>IF(R426&gt;=85,"A",IF(R426&gt;=70,"B","C"))</f>
        <v/>
      </c>
      <c r="R426" s="13">
        <f>MIN(100,50+IF(M426="是",10,0)+IF(N426="是",10,0)+IF(L426&lt;=100,10,IF(L426&lt;=300,5,0))+IF(J426&lt;=20,10,IF(J426&lt;=50,5,0))+IF(K426-J426&lt;=20,5,0)+IF(F426="企业官网",5,0))</f>
        <v/>
      </c>
      <c r="S426" s="10">
        <f>IF(Q426="A","价格与起订量有优势，建议优先询盘",IF(Q426="B","条件较均衡，可作为备选","起订量或价格需要进一步确认"))</f>
        <v/>
      </c>
      <c r="T426" s="10" t="inlineStr">
        <is>
          <t>未联系</t>
        </is>
      </c>
      <c r="U426" s="10" t="inlineStr">
        <is>
          <t>虚构演示数据</t>
        </is>
      </c>
    </row>
    <row r="427" ht="21" customHeight="1">
      <c r="A427" s="10" t="inlineStr">
        <is>
          <t>GYS-0423</t>
        </is>
      </c>
      <c r="B427" s="10" t="inlineStr">
        <is>
          <t>东莞个护清洁供应链0423有限公司（演示）</t>
        </is>
      </c>
      <c r="C427" s="10" t="inlineStr">
        <is>
          <t>个护清洁</t>
        </is>
      </c>
      <c r="D427" s="10" t="inlineStr">
        <is>
          <t>便携洗脸巾</t>
        </is>
      </c>
      <c r="E427" s="10" t="inlineStr">
        <is>
          <t>广东东莞</t>
        </is>
      </c>
      <c r="F427" s="10" t="inlineStr">
        <is>
          <t>慧聪网</t>
        </is>
      </c>
      <c r="G427" s="10" t="inlineStr">
        <is>
          <t>李经理</t>
        </is>
      </c>
      <c r="H427" s="10" t="inlineStr">
        <is>
          <t>000-0000-0423</t>
        </is>
      </c>
      <c r="I427" s="10" t="inlineStr">
        <is>
          <t>DEMO_GYS_0423</t>
        </is>
      </c>
      <c r="J427" s="11" t="n">
        <v>31.9</v>
      </c>
      <c r="K427" s="11" t="n">
        <v>51.2</v>
      </c>
      <c r="L427" s="12" t="n">
        <v>200</v>
      </c>
      <c r="M427" s="10" t="inlineStr">
        <is>
          <t>是</t>
        </is>
      </c>
      <c r="N427" s="10" t="inlineStr">
        <is>
          <t>否</t>
        </is>
      </c>
      <c r="O427" s="10" t="inlineStr">
        <is>
          <t>supplier0423@example.com</t>
        </is>
      </c>
      <c r="P427" s="10" t="inlineStr">
        <is>
          <t>https://example.com/supplier/0423</t>
        </is>
      </c>
      <c r="Q427" s="10">
        <f>IF(R427&gt;=85,"A",IF(R427&gt;=70,"B","C"))</f>
        <v/>
      </c>
      <c r="R427" s="13">
        <f>MIN(100,50+IF(M427="是",10,0)+IF(N427="是",10,0)+IF(L427&lt;=100,10,IF(L427&lt;=300,5,0))+IF(J427&lt;=20,10,IF(J427&lt;=50,5,0))+IF(K427-J427&lt;=20,5,0)+IF(F427="企业官网",5,0))</f>
        <v/>
      </c>
      <c r="S427" s="10">
        <f>IF(Q427="A","价格与起订量有优势，建议优先询盘",IF(Q427="B","条件较均衡，可作为备选","起订量或价格需要进一步确认"))</f>
        <v/>
      </c>
      <c r="T427" s="10" t="inlineStr">
        <is>
          <t>未联系</t>
        </is>
      </c>
      <c r="U427" s="10" t="inlineStr">
        <is>
          <t>虚构演示数据</t>
        </is>
      </c>
    </row>
    <row r="428" ht="21" customHeight="1">
      <c r="A428" s="10" t="inlineStr">
        <is>
          <t>GYS-0424</t>
        </is>
      </c>
      <c r="B428" s="10" t="inlineStr">
        <is>
          <t>厦门厨房用品供应链0424有限公司（演示）</t>
        </is>
      </c>
      <c r="C428" s="10" t="inlineStr">
        <is>
          <t>厨房用品</t>
        </is>
      </c>
      <c r="D428" s="10" t="inlineStr">
        <is>
          <t>硅胶保鲜盒</t>
        </is>
      </c>
      <c r="E428" s="10" t="inlineStr">
        <is>
          <t>福建厦门</t>
        </is>
      </c>
      <c r="F428" s="10" t="inlineStr">
        <is>
          <t>1688</t>
        </is>
      </c>
      <c r="G428" s="10" t="inlineStr">
        <is>
          <t>张经理</t>
        </is>
      </c>
      <c r="H428" s="10" t="inlineStr">
        <is>
          <t>000-0000-0424</t>
        </is>
      </c>
      <c r="I428" s="10" t="inlineStr">
        <is>
          <t>DEMO_GYS_0424</t>
        </is>
      </c>
      <c r="J428" s="11" t="n">
        <v>33.6</v>
      </c>
      <c r="K428" s="11" t="n">
        <v>54</v>
      </c>
      <c r="L428" s="12" t="n">
        <v>100</v>
      </c>
      <c r="M428" s="10" t="inlineStr">
        <is>
          <t>否</t>
        </is>
      </c>
      <c r="N428" s="10" t="inlineStr">
        <is>
          <t>是</t>
        </is>
      </c>
      <c r="O428" s="10" t="inlineStr">
        <is>
          <t>supplier0424@example.com</t>
        </is>
      </c>
      <c r="P428" s="10" t="inlineStr">
        <is>
          <t>https://example.com/supplier/0424</t>
        </is>
      </c>
      <c r="Q428" s="10">
        <f>IF(R428&gt;=85,"A",IF(R428&gt;=70,"B","C"))</f>
        <v/>
      </c>
      <c r="R428" s="13">
        <f>MIN(100,50+IF(M428="是",10,0)+IF(N428="是",10,0)+IF(L428&lt;=100,10,IF(L428&lt;=300,5,0))+IF(J428&lt;=20,10,IF(J428&lt;=50,5,0))+IF(K428-J428&lt;=20,5,0)+IF(F428="企业官网",5,0))</f>
        <v/>
      </c>
      <c r="S428" s="10">
        <f>IF(Q428="A","价格与起订量有优势，建议优先询盘",IF(Q428="B","条件较均衡，可作为备选","起订量或价格需要进一步确认"))</f>
        <v/>
      </c>
      <c r="T428" s="10" t="inlineStr">
        <is>
          <t>未联系</t>
        </is>
      </c>
      <c r="U428" s="10" t="inlineStr">
        <is>
          <t>虚构演示数据</t>
        </is>
      </c>
    </row>
    <row r="429" ht="21" customHeight="1">
      <c r="A429" s="10" t="inlineStr">
        <is>
          <t>GYS-0425</t>
        </is>
      </c>
      <c r="B429" s="10" t="inlineStr">
        <is>
          <t>临沂数码配件供应链0425有限公司（演示）</t>
        </is>
      </c>
      <c r="C429" s="10" t="inlineStr">
        <is>
          <t>数码配件</t>
        </is>
      </c>
      <c r="D429" s="10" t="inlineStr">
        <is>
          <t>磁吸手机支架</t>
        </is>
      </c>
      <c r="E429" s="10" t="inlineStr">
        <is>
          <t>山东临沂</t>
        </is>
      </c>
      <c r="F429" s="10" t="inlineStr">
        <is>
          <t>中国制造网</t>
        </is>
      </c>
      <c r="G429" s="10" t="inlineStr">
        <is>
          <t>刘经理</t>
        </is>
      </c>
      <c r="H429" s="10" t="inlineStr">
        <is>
          <t>000-0000-0425</t>
        </is>
      </c>
      <c r="I429" s="10" t="inlineStr">
        <is>
          <t>DEMO_GYS_0425</t>
        </is>
      </c>
      <c r="J429" s="11" t="n">
        <v>35.3</v>
      </c>
      <c r="K429" s="11" t="n">
        <v>56.8</v>
      </c>
      <c r="L429" s="12" t="n">
        <v>50</v>
      </c>
      <c r="M429" s="10" t="inlineStr">
        <is>
          <t>是</t>
        </is>
      </c>
      <c r="N429" s="10" t="inlineStr">
        <is>
          <t>是</t>
        </is>
      </c>
      <c r="O429" s="10" t="inlineStr">
        <is>
          <t>supplier0425@example.com</t>
        </is>
      </c>
      <c r="P429" s="10" t="inlineStr">
        <is>
          <t>https://example.com/supplier/0425</t>
        </is>
      </c>
      <c r="Q429" s="10">
        <f>IF(R429&gt;=85,"A",IF(R429&gt;=70,"B","C"))</f>
        <v/>
      </c>
      <c r="R429" s="13">
        <f>MIN(100,50+IF(M429="是",10,0)+IF(N429="是",10,0)+IF(L429&lt;=100,10,IF(L429&lt;=300,5,0))+IF(J429&lt;=20,10,IF(J429&lt;=50,5,0))+IF(K429-J429&lt;=20,5,0)+IF(F429="企业官网",5,0))</f>
        <v/>
      </c>
      <c r="S429" s="10">
        <f>IF(Q429="A","价格与起订量有优势，建议优先询盘",IF(Q429="B","条件较均衡，可作为备选","起订量或价格需要进一步确认"))</f>
        <v/>
      </c>
      <c r="T429" s="10" t="inlineStr">
        <is>
          <t>未联系</t>
        </is>
      </c>
      <c r="U429" s="10" t="inlineStr">
        <is>
          <t>虚构演示数据</t>
        </is>
      </c>
    </row>
    <row r="430" ht="21" customHeight="1">
      <c r="A430" s="10" t="inlineStr">
        <is>
          <t>GYS-0426</t>
        </is>
      </c>
      <c r="B430" s="10" t="inlineStr">
        <is>
          <t>南昌宠物用品供应链0426有限公司（演示）</t>
        </is>
      </c>
      <c r="C430" s="10" t="inlineStr">
        <is>
          <t>宠物用品</t>
        </is>
      </c>
      <c r="D430" s="10" t="inlineStr">
        <is>
          <t>宠物清洁手套</t>
        </is>
      </c>
      <c r="E430" s="10" t="inlineStr">
        <is>
          <t>江西南昌</t>
        </is>
      </c>
      <c r="F430" s="10" t="inlineStr">
        <is>
          <t>企业官网</t>
        </is>
      </c>
      <c r="G430" s="10" t="inlineStr">
        <is>
          <t>黄经理</t>
        </is>
      </c>
      <c r="H430" s="10" t="inlineStr">
        <is>
          <t>000-0000-0426</t>
        </is>
      </c>
      <c r="I430" s="10" t="inlineStr">
        <is>
          <t>DEMO_GYS_0426</t>
        </is>
      </c>
      <c r="J430" s="11" t="n">
        <v>37</v>
      </c>
      <c r="K430" s="11" t="n">
        <v>41.6</v>
      </c>
      <c r="L430" s="12" t="n">
        <v>20</v>
      </c>
      <c r="M430" s="10" t="inlineStr">
        <is>
          <t>是</t>
        </is>
      </c>
      <c r="N430" s="10" t="inlineStr">
        <is>
          <t>否</t>
        </is>
      </c>
      <c r="O430" s="10" t="inlineStr">
        <is>
          <t>supplier0426@example.com</t>
        </is>
      </c>
      <c r="P430" s="10" t="inlineStr">
        <is>
          <t>https://example.com/supplier/0426</t>
        </is>
      </c>
      <c r="Q430" s="10">
        <f>IF(R430&gt;=85,"A",IF(R430&gt;=70,"B","C"))</f>
        <v/>
      </c>
      <c r="R430" s="13">
        <f>MIN(100,50+IF(M430="是",10,0)+IF(N430="是",10,0)+IF(L430&lt;=100,10,IF(L430&lt;=300,5,0))+IF(J430&lt;=20,10,IF(J430&lt;=50,5,0))+IF(K430-J430&lt;=20,5,0)+IF(F430="企业官网",5,0))</f>
        <v/>
      </c>
      <c r="S430" s="10">
        <f>IF(Q430="A","价格与起订量有优势，建议优先询盘",IF(Q430="B","条件较均衡，可作为备选","起订量或价格需要进一步确认"))</f>
        <v/>
      </c>
      <c r="T430" s="10" t="inlineStr">
        <is>
          <t>未联系</t>
        </is>
      </c>
      <c r="U430" s="10" t="inlineStr">
        <is>
          <t>虚构演示数据</t>
        </is>
      </c>
    </row>
    <row r="431" ht="21" customHeight="1">
      <c r="A431" s="10" t="inlineStr">
        <is>
          <t>GYS-0427</t>
        </is>
      </c>
      <c r="B431" s="10" t="inlineStr">
        <is>
          <t>温州母婴用品供应链0427有限公司（演示）</t>
        </is>
      </c>
      <c r="C431" s="10" t="inlineStr">
        <is>
          <t>母婴用品</t>
        </is>
      </c>
      <c r="D431" s="10" t="inlineStr">
        <is>
          <t>婴儿防撞条</t>
        </is>
      </c>
      <c r="E431" s="10" t="inlineStr">
        <is>
          <t>浙江温州</t>
        </is>
      </c>
      <c r="F431" s="10" t="inlineStr">
        <is>
          <t>义乌购</t>
        </is>
      </c>
      <c r="G431" s="10" t="inlineStr">
        <is>
          <t>赵经理</t>
        </is>
      </c>
      <c r="H431" s="10" t="inlineStr">
        <is>
          <t>000-0000-0427</t>
        </is>
      </c>
      <c r="I431" s="10" t="inlineStr">
        <is>
          <t>DEMO_GYS_0427</t>
        </is>
      </c>
      <c r="J431" s="11" t="n">
        <v>38.7</v>
      </c>
      <c r="K431" s="11" t="n">
        <v>44.4</v>
      </c>
      <c r="L431" s="12" t="n">
        <v>500</v>
      </c>
      <c r="M431" s="10" t="inlineStr">
        <is>
          <t>是</t>
        </is>
      </c>
      <c r="N431" s="10" t="inlineStr">
        <is>
          <t>是</t>
        </is>
      </c>
      <c r="O431" s="10" t="inlineStr">
        <is>
          <t>supplier0427@example.com</t>
        </is>
      </c>
      <c r="P431" s="10" t="inlineStr">
        <is>
          <t>https://example.com/supplier/0427</t>
        </is>
      </c>
      <c r="Q431" s="10">
        <f>IF(R431&gt;=85,"A",IF(R431&gt;=70,"B","C"))</f>
        <v/>
      </c>
      <c r="R431" s="13">
        <f>MIN(100,50+IF(M431="是",10,0)+IF(N431="是",10,0)+IF(L431&lt;=100,10,IF(L431&lt;=300,5,0))+IF(J431&lt;=20,10,IF(J431&lt;=50,5,0))+IF(K431-J431&lt;=20,5,0)+IF(F431="企业官网",5,0))</f>
        <v/>
      </c>
      <c r="S431" s="10">
        <f>IF(Q431="A","价格与起订量有优势，建议优先询盘",IF(Q431="B","条件较均衡，可作为备选","起订量或价格需要进一步确认"))</f>
        <v/>
      </c>
      <c r="T431" s="10" t="inlineStr">
        <is>
          <t>未联系</t>
        </is>
      </c>
      <c r="U431" s="10" t="inlineStr">
        <is>
          <t>虚构演示数据</t>
        </is>
      </c>
    </row>
    <row r="432" ht="21" customHeight="1">
      <c r="A432" s="10" t="inlineStr">
        <is>
          <t>GYS-0428</t>
        </is>
      </c>
      <c r="B432" s="10" t="inlineStr">
        <is>
          <t>广州运动户外供应链0428有限公司（演示）</t>
        </is>
      </c>
      <c r="C432" s="10" t="inlineStr">
        <is>
          <t>运动户外</t>
        </is>
      </c>
      <c r="D432" s="10" t="inlineStr">
        <is>
          <t>弹力训练带</t>
        </is>
      </c>
      <c r="E432" s="10" t="inlineStr">
        <is>
          <t>广东广州</t>
        </is>
      </c>
      <c r="F432" s="10" t="inlineStr">
        <is>
          <t>慧聪网</t>
        </is>
      </c>
      <c r="G432" s="10" t="inlineStr">
        <is>
          <t>周经理</t>
        </is>
      </c>
      <c r="H432" s="10" t="inlineStr">
        <is>
          <t>000-0000-0428</t>
        </is>
      </c>
      <c r="I432" s="10" t="inlineStr">
        <is>
          <t>DEMO_GYS_0428</t>
        </is>
      </c>
      <c r="J432" s="11" t="n">
        <v>40.4</v>
      </c>
      <c r="K432" s="11" t="n">
        <v>47.2</v>
      </c>
      <c r="L432" s="12" t="n">
        <v>300</v>
      </c>
      <c r="M432" s="10" t="inlineStr">
        <is>
          <t>否</t>
        </is>
      </c>
      <c r="N432" s="10" t="inlineStr">
        <is>
          <t>是</t>
        </is>
      </c>
      <c r="O432" s="10" t="inlineStr">
        <is>
          <t>supplier0428@example.com</t>
        </is>
      </c>
      <c r="P432" s="10" t="inlineStr">
        <is>
          <t>https://example.com/supplier/0428</t>
        </is>
      </c>
      <c r="Q432" s="10">
        <f>IF(R432&gt;=85,"A",IF(R432&gt;=70,"B","C"))</f>
        <v/>
      </c>
      <c r="R432" s="13">
        <f>MIN(100,50+IF(M432="是",10,0)+IF(N432="是",10,0)+IF(L432&lt;=100,10,IF(L432&lt;=300,5,0))+IF(J432&lt;=20,10,IF(J432&lt;=50,5,0))+IF(K432-J432&lt;=20,5,0)+IF(F432="企业官网",5,0))</f>
        <v/>
      </c>
      <c r="S432" s="10">
        <f>IF(Q432="A","价格与起订量有优势，建议优先询盘",IF(Q432="B","条件较均衡，可作为备选","起订量或价格需要进一步确认"))</f>
        <v/>
      </c>
      <c r="T432" s="10" t="inlineStr">
        <is>
          <t>未联系</t>
        </is>
      </c>
      <c r="U432" s="10" t="inlineStr">
        <is>
          <t>虚构演示数据</t>
        </is>
      </c>
    </row>
    <row r="433" ht="21" customHeight="1">
      <c r="A433" s="10" t="inlineStr">
        <is>
          <t>GYS-0429</t>
        </is>
      </c>
      <c r="B433" s="10" t="inlineStr">
        <is>
          <t>泉州办公文具供应链0429有限公司（演示）</t>
        </is>
      </c>
      <c r="C433" s="10" t="inlineStr">
        <is>
          <t>办公文具</t>
        </is>
      </c>
      <c r="D433" s="10" t="inlineStr">
        <is>
          <t>桌面收纳架</t>
        </is>
      </c>
      <c r="E433" s="10" t="inlineStr">
        <is>
          <t>福建泉州</t>
        </is>
      </c>
      <c r="F433" s="10" t="inlineStr">
        <is>
          <t>1688</t>
        </is>
      </c>
      <c r="G433" s="10" t="inlineStr">
        <is>
          <t>吴经理</t>
        </is>
      </c>
      <c r="H433" s="10" t="inlineStr">
        <is>
          <t>000-0000-0429</t>
        </is>
      </c>
      <c r="I433" s="10" t="inlineStr">
        <is>
          <t>DEMO_GYS_0429</t>
        </is>
      </c>
      <c r="J433" s="11" t="n">
        <v>42.1</v>
      </c>
      <c r="K433" s="11" t="n">
        <v>50</v>
      </c>
      <c r="L433" s="12" t="n">
        <v>200</v>
      </c>
      <c r="M433" s="10" t="inlineStr">
        <is>
          <t>是</t>
        </is>
      </c>
      <c r="N433" s="10" t="inlineStr">
        <is>
          <t>否</t>
        </is>
      </c>
      <c r="O433" s="10" t="inlineStr">
        <is>
          <t>supplier0429@example.com</t>
        </is>
      </c>
      <c r="P433" s="10" t="inlineStr">
        <is>
          <t>https://example.com/supplier/0429</t>
        </is>
      </c>
      <c r="Q433" s="10">
        <f>IF(R433&gt;=85,"A",IF(R433&gt;=70,"B","C"))</f>
        <v/>
      </c>
      <c r="R433" s="13">
        <f>MIN(100,50+IF(M433="是",10,0)+IF(N433="是",10,0)+IF(L433&lt;=100,10,IF(L433&lt;=300,5,0))+IF(J433&lt;=20,10,IF(J433&lt;=50,5,0))+IF(K433-J433&lt;=20,5,0)+IF(F433="企业官网",5,0))</f>
        <v/>
      </c>
      <c r="S433" s="10">
        <f>IF(Q433="A","价格与起订量有优势，建议优先询盘",IF(Q433="B","条件较均衡，可作为备选","起订量或价格需要进一步确认"))</f>
        <v/>
      </c>
      <c r="T433" s="10" t="inlineStr">
        <is>
          <t>未联系</t>
        </is>
      </c>
      <c r="U433" s="10" t="inlineStr">
        <is>
          <t>虚构演示数据</t>
        </is>
      </c>
    </row>
    <row r="434" ht="21" customHeight="1">
      <c r="A434" s="10" t="inlineStr">
        <is>
          <t>GYS-0430</t>
        </is>
      </c>
      <c r="B434" s="10" t="inlineStr">
        <is>
          <t>南通汽车用品供应链0430有限公司（演示）</t>
        </is>
      </c>
      <c r="C434" s="10" t="inlineStr">
        <is>
          <t>汽车用品</t>
        </is>
      </c>
      <c r="D434" s="10" t="inlineStr">
        <is>
          <t>车载香薰</t>
        </is>
      </c>
      <c r="E434" s="10" t="inlineStr">
        <is>
          <t>江苏南通</t>
        </is>
      </c>
      <c r="F434" s="10" t="inlineStr">
        <is>
          <t>中国制造网</t>
        </is>
      </c>
      <c r="G434" s="10" t="inlineStr">
        <is>
          <t>陈经理</t>
        </is>
      </c>
      <c r="H434" s="10" t="inlineStr">
        <is>
          <t>000-0000-0430</t>
        </is>
      </c>
      <c r="I434" s="10" t="inlineStr">
        <is>
          <t>DEMO_GYS_0430</t>
        </is>
      </c>
      <c r="J434" s="11" t="n">
        <v>43.8</v>
      </c>
      <c r="K434" s="11" t="n">
        <v>52.8</v>
      </c>
      <c r="L434" s="12" t="n">
        <v>100</v>
      </c>
      <c r="M434" s="10" t="inlineStr">
        <is>
          <t>是</t>
        </is>
      </c>
      <c r="N434" s="10" t="inlineStr">
        <is>
          <t>是</t>
        </is>
      </c>
      <c r="O434" s="10" t="inlineStr">
        <is>
          <t>supplier0430@example.com</t>
        </is>
      </c>
      <c r="P434" s="10" t="inlineStr">
        <is>
          <t>https://example.com/supplier/0430</t>
        </is>
      </c>
      <c r="Q434" s="10">
        <f>IF(R434&gt;=85,"A",IF(R434&gt;=70,"B","C"))</f>
        <v/>
      </c>
      <c r="R434" s="13">
        <f>MIN(100,50+IF(M434="是",10,0)+IF(N434="是",10,0)+IF(L434&lt;=100,10,IF(L434&lt;=300,5,0))+IF(J434&lt;=20,10,IF(J434&lt;=50,5,0))+IF(K434-J434&lt;=20,5,0)+IF(F434="企业官网",5,0))</f>
        <v/>
      </c>
      <c r="S434" s="10">
        <f>IF(Q434="A","价格与起订量有优势，建议优先询盘",IF(Q434="B","条件较均衡，可作为备选","起订量或价格需要进一步确认"))</f>
        <v/>
      </c>
      <c r="T434" s="10" t="inlineStr">
        <is>
          <t>未联系</t>
        </is>
      </c>
      <c r="U434" s="10" t="inlineStr">
        <is>
          <t>虚构演示数据</t>
        </is>
      </c>
    </row>
    <row r="435" ht="21" customHeight="1">
      <c r="A435" s="10" t="inlineStr">
        <is>
          <t>GYS-0431</t>
        </is>
      </c>
      <c r="B435" s="10" t="inlineStr">
        <is>
          <t>郑州美容工具供应链0431有限公司（演示）</t>
        </is>
      </c>
      <c r="C435" s="10" t="inlineStr">
        <is>
          <t>美容工具</t>
        </is>
      </c>
      <c r="D435" s="10" t="inlineStr">
        <is>
          <t>便携化妆镜</t>
        </is>
      </c>
      <c r="E435" s="10" t="inlineStr">
        <is>
          <t>河南郑州</t>
        </is>
      </c>
      <c r="F435" s="10" t="inlineStr">
        <is>
          <t>企业官网</t>
        </is>
      </c>
      <c r="G435" s="10" t="inlineStr">
        <is>
          <t>林经理</t>
        </is>
      </c>
      <c r="H435" s="10" t="inlineStr">
        <is>
          <t>000-0000-0431</t>
        </is>
      </c>
      <c r="I435" s="10" t="inlineStr">
        <is>
          <t>DEMO_GYS_0431</t>
        </is>
      </c>
      <c r="J435" s="11" t="n">
        <v>45.5</v>
      </c>
      <c r="K435" s="11" t="n">
        <v>55.6</v>
      </c>
      <c r="L435" s="12" t="n">
        <v>50</v>
      </c>
      <c r="M435" s="10" t="inlineStr">
        <is>
          <t>是</t>
        </is>
      </c>
      <c r="N435" s="10" t="inlineStr">
        <is>
          <t>是</t>
        </is>
      </c>
      <c r="O435" s="10" t="inlineStr">
        <is>
          <t>supplier0431@example.com</t>
        </is>
      </c>
      <c r="P435" s="10" t="inlineStr">
        <is>
          <t>https://example.com/supplier/0431</t>
        </is>
      </c>
      <c r="Q435" s="10">
        <f>IF(R435&gt;=85,"A",IF(R435&gt;=70,"B","C"))</f>
        <v/>
      </c>
      <c r="R435" s="13">
        <f>MIN(100,50+IF(M435="是",10,0)+IF(N435="是",10,0)+IF(L435&lt;=100,10,IF(L435&lt;=300,5,0))+IF(J435&lt;=20,10,IF(J435&lt;=50,5,0))+IF(K435-J435&lt;=20,5,0)+IF(F435="企业官网",5,0))</f>
        <v/>
      </c>
      <c r="S435" s="10">
        <f>IF(Q435="A","价格与起订量有优势，建议优先询盘",IF(Q435="B","条件较均衡，可作为备选","起订量或价格需要进一步确认"))</f>
        <v/>
      </c>
      <c r="T435" s="10" t="inlineStr">
        <is>
          <t>未联系</t>
        </is>
      </c>
      <c r="U435" s="10" t="inlineStr">
        <is>
          <t>虚构演示数据</t>
        </is>
      </c>
    </row>
    <row r="436" ht="21" customHeight="1">
      <c r="A436" s="10" t="inlineStr">
        <is>
          <t>GYS-0432</t>
        </is>
      </c>
      <c r="B436" s="10" t="inlineStr">
        <is>
          <t>宁波旅行用品供应链0432有限公司（演示）</t>
        </is>
      </c>
      <c r="C436" s="10" t="inlineStr">
        <is>
          <t>旅行用品</t>
        </is>
      </c>
      <c r="D436" s="10" t="inlineStr">
        <is>
          <t>压缩收纳袋</t>
        </is>
      </c>
      <c r="E436" s="10" t="inlineStr">
        <is>
          <t>浙江宁波</t>
        </is>
      </c>
      <c r="F436" s="10" t="inlineStr">
        <is>
          <t>义乌购</t>
        </is>
      </c>
      <c r="G436" s="10" t="inlineStr">
        <is>
          <t>王经理</t>
        </is>
      </c>
      <c r="H436" s="10" t="inlineStr">
        <is>
          <t>000-0000-0432</t>
        </is>
      </c>
      <c r="I436" s="10" t="inlineStr">
        <is>
          <t>DEMO_GYS_0432</t>
        </is>
      </c>
      <c r="J436" s="11" t="n">
        <v>47.2</v>
      </c>
      <c r="K436" s="11" t="n">
        <v>58.4</v>
      </c>
      <c r="L436" s="12" t="n">
        <v>20</v>
      </c>
      <c r="M436" s="10" t="inlineStr">
        <is>
          <t>否</t>
        </is>
      </c>
      <c r="N436" s="10" t="inlineStr">
        <is>
          <t>否</t>
        </is>
      </c>
      <c r="O436" s="10" t="inlineStr">
        <is>
          <t>supplier0432@example.com</t>
        </is>
      </c>
      <c r="P436" s="10" t="inlineStr">
        <is>
          <t>https://example.com/supplier/0432</t>
        </is>
      </c>
      <c r="Q436" s="10">
        <f>IF(R436&gt;=85,"A",IF(R436&gt;=70,"B","C"))</f>
        <v/>
      </c>
      <c r="R436" s="13">
        <f>MIN(100,50+IF(M436="是",10,0)+IF(N436="是",10,0)+IF(L436&lt;=100,10,IF(L436&lt;=300,5,0))+IF(J436&lt;=20,10,IF(J436&lt;=50,5,0))+IF(K436-J436&lt;=20,5,0)+IF(F436="企业官网",5,0))</f>
        <v/>
      </c>
      <c r="S436" s="10">
        <f>IF(Q436="A","价格与起订量有优势，建议优先询盘",IF(Q436="B","条件较均衡，可作为备选","起订量或价格需要进一步确认"))</f>
        <v/>
      </c>
      <c r="T436" s="10" t="inlineStr">
        <is>
          <t>未联系</t>
        </is>
      </c>
      <c r="U436" s="10" t="inlineStr">
        <is>
          <t>虚构演示数据</t>
        </is>
      </c>
    </row>
    <row r="437" ht="21" customHeight="1">
      <c r="A437" s="10" t="inlineStr">
        <is>
          <t>GYS-0433</t>
        </is>
      </c>
      <c r="B437" s="10" t="inlineStr">
        <is>
          <t>深圳清洁工具供应链0433有限公司（演示）</t>
        </is>
      </c>
      <c r="C437" s="10" t="inlineStr">
        <is>
          <t>清洁工具</t>
        </is>
      </c>
      <c r="D437" s="10" t="inlineStr">
        <is>
          <t>免手洗拖把</t>
        </is>
      </c>
      <c r="E437" s="10" t="inlineStr">
        <is>
          <t>广东深圳</t>
        </is>
      </c>
      <c r="F437" s="10" t="inlineStr">
        <is>
          <t>慧聪网</t>
        </is>
      </c>
      <c r="G437" s="10" t="inlineStr">
        <is>
          <t>李经理</t>
        </is>
      </c>
      <c r="H437" s="10" t="inlineStr">
        <is>
          <t>000-0000-0433</t>
        </is>
      </c>
      <c r="I437" s="10" t="inlineStr">
        <is>
          <t>DEMO_GYS_0433</t>
        </is>
      </c>
      <c r="J437" s="11" t="n">
        <v>2.9</v>
      </c>
      <c r="K437" s="11" t="n">
        <v>15.2</v>
      </c>
      <c r="L437" s="12" t="n">
        <v>500</v>
      </c>
      <c r="M437" s="10" t="inlineStr">
        <is>
          <t>是</t>
        </is>
      </c>
      <c r="N437" s="10" t="inlineStr">
        <is>
          <t>是</t>
        </is>
      </c>
      <c r="O437" s="10" t="inlineStr">
        <is>
          <t>supplier0433@example.com</t>
        </is>
      </c>
      <c r="P437" s="10" t="inlineStr">
        <is>
          <t>https://example.com/supplier/0433</t>
        </is>
      </c>
      <c r="Q437" s="10">
        <f>IF(R437&gt;=85,"A",IF(R437&gt;=70,"B","C"))</f>
        <v/>
      </c>
      <c r="R437" s="13">
        <f>MIN(100,50+IF(M437="是",10,0)+IF(N437="是",10,0)+IF(L437&lt;=100,10,IF(L437&lt;=300,5,0))+IF(J437&lt;=20,10,IF(J437&lt;=50,5,0))+IF(K437-J437&lt;=20,5,0)+IF(F437="企业官网",5,0))</f>
        <v/>
      </c>
      <c r="S437" s="10">
        <f>IF(Q437="A","价格与起订量有优势，建议优先询盘",IF(Q437="B","条件较均衡，可作为备选","起订量或价格需要进一步确认"))</f>
        <v/>
      </c>
      <c r="T437" s="10" t="inlineStr">
        <is>
          <t>未联系</t>
        </is>
      </c>
      <c r="U437" s="10" t="inlineStr">
        <is>
          <t>虚构演示数据</t>
        </is>
      </c>
    </row>
    <row r="438" ht="21" customHeight="1">
      <c r="A438" s="10" t="inlineStr">
        <is>
          <t>GYS-0434</t>
        </is>
      </c>
      <c r="B438" s="10" t="inlineStr">
        <is>
          <t>佛山小家电供应链0434有限公司（演示）</t>
        </is>
      </c>
      <c r="C438" s="10" t="inlineStr">
        <is>
          <t>小家电</t>
        </is>
      </c>
      <c r="D438" s="10" t="inlineStr">
        <is>
          <t>迷你加湿器</t>
        </is>
      </c>
      <c r="E438" s="10" t="inlineStr">
        <is>
          <t>广东佛山</t>
        </is>
      </c>
      <c r="F438" s="10" t="inlineStr">
        <is>
          <t>1688</t>
        </is>
      </c>
      <c r="G438" s="10" t="inlineStr">
        <is>
          <t>张经理</t>
        </is>
      </c>
      <c r="H438" s="10" t="inlineStr">
        <is>
          <t>000-0000-0434</t>
        </is>
      </c>
      <c r="I438" s="10" t="inlineStr">
        <is>
          <t>DEMO_GYS_0434</t>
        </is>
      </c>
      <c r="J438" s="11" t="n">
        <v>4.6</v>
      </c>
      <c r="K438" s="11" t="n">
        <v>18</v>
      </c>
      <c r="L438" s="12" t="n">
        <v>300</v>
      </c>
      <c r="M438" s="10" t="inlineStr">
        <is>
          <t>是</t>
        </is>
      </c>
      <c r="N438" s="10" t="inlineStr">
        <is>
          <t>是</t>
        </is>
      </c>
      <c r="O438" s="10" t="inlineStr">
        <is>
          <t>supplier0434@example.com</t>
        </is>
      </c>
      <c r="P438" s="10" t="inlineStr">
        <is>
          <t>https://example.com/supplier/0434</t>
        </is>
      </c>
      <c r="Q438" s="10">
        <f>IF(R438&gt;=85,"A",IF(R438&gt;=70,"B","C"))</f>
        <v/>
      </c>
      <c r="R438" s="13">
        <f>MIN(100,50+IF(M438="是",10,0)+IF(N438="是",10,0)+IF(L438&lt;=100,10,IF(L438&lt;=300,5,0))+IF(J438&lt;=20,10,IF(J438&lt;=50,5,0))+IF(K438-J438&lt;=20,5,0)+IF(F438="企业官网",5,0))</f>
        <v/>
      </c>
      <c r="S438" s="10">
        <f>IF(Q438="A","价格与起订量有优势，建议优先询盘",IF(Q438="B","条件较均衡，可作为备选","起订量或价格需要进一步确认"))</f>
        <v/>
      </c>
      <c r="T438" s="10" t="inlineStr">
        <is>
          <t>未联系</t>
        </is>
      </c>
      <c r="U438" s="10" t="inlineStr">
        <is>
          <t>虚构演示数据</t>
        </is>
      </c>
    </row>
    <row r="439" ht="21" customHeight="1">
      <c r="A439" s="10" t="inlineStr">
        <is>
          <t>GYS-0435</t>
        </is>
      </c>
      <c r="B439" s="10" t="inlineStr">
        <is>
          <t>苏州礼品包装供应链0435有限公司（演示）</t>
        </is>
      </c>
      <c r="C439" s="10" t="inlineStr">
        <is>
          <t>礼品包装</t>
        </is>
      </c>
      <c r="D439" s="10" t="inlineStr">
        <is>
          <t>节日礼盒</t>
        </is>
      </c>
      <c r="E439" s="10" t="inlineStr">
        <is>
          <t>江苏苏州</t>
        </is>
      </c>
      <c r="F439" s="10" t="inlineStr">
        <is>
          <t>中国制造网</t>
        </is>
      </c>
      <c r="G439" s="10" t="inlineStr">
        <is>
          <t>刘经理</t>
        </is>
      </c>
      <c r="H439" s="10" t="inlineStr">
        <is>
          <t>000-0000-0435</t>
        </is>
      </c>
      <c r="I439" s="10" t="inlineStr">
        <is>
          <t>DEMO_GYS_0435</t>
        </is>
      </c>
      <c r="J439" s="11" t="n">
        <v>6.3</v>
      </c>
      <c r="K439" s="11" t="n">
        <v>20.8</v>
      </c>
      <c r="L439" s="12" t="n">
        <v>200</v>
      </c>
      <c r="M439" s="10" t="inlineStr">
        <is>
          <t>是</t>
        </is>
      </c>
      <c r="N439" s="10" t="inlineStr">
        <is>
          <t>否</t>
        </is>
      </c>
      <c r="O439" s="10" t="inlineStr">
        <is>
          <t>supplier0435@example.com</t>
        </is>
      </c>
      <c r="P439" s="10" t="inlineStr">
        <is>
          <t>https://example.com/supplier/0435</t>
        </is>
      </c>
      <c r="Q439" s="10">
        <f>IF(R439&gt;=85,"A",IF(R439&gt;=70,"B","C"))</f>
        <v/>
      </c>
      <c r="R439" s="13">
        <f>MIN(100,50+IF(M439="是",10,0)+IF(N439="是",10,0)+IF(L439&lt;=100,10,IF(L439&lt;=300,5,0))+IF(J439&lt;=20,10,IF(J439&lt;=50,5,0))+IF(K439-J439&lt;=20,5,0)+IF(F439="企业官网",5,0))</f>
        <v/>
      </c>
      <c r="S439" s="10">
        <f>IF(Q439="A","价格与起订量有优势，建议优先询盘",IF(Q439="B","条件较均衡，可作为备选","起订量或价格需要进一步确认"))</f>
        <v/>
      </c>
      <c r="T439" s="10" t="inlineStr">
        <is>
          <t>未联系</t>
        </is>
      </c>
      <c r="U439" s="10" t="inlineStr">
        <is>
          <t>虚构演示数据</t>
        </is>
      </c>
    </row>
    <row r="440" ht="21" customHeight="1">
      <c r="A440" s="10" t="inlineStr">
        <is>
          <t>GYS-0436</t>
        </is>
      </c>
      <c r="B440" s="10" t="inlineStr">
        <is>
          <t>白沟五金工具供应链0436有限公司（演示）</t>
        </is>
      </c>
      <c r="C440" s="10" t="inlineStr">
        <is>
          <t>五金工具</t>
        </is>
      </c>
      <c r="D440" s="10" t="inlineStr">
        <is>
          <t>多功能螺丝刀</t>
        </is>
      </c>
      <c r="E440" s="10" t="inlineStr">
        <is>
          <t>河北白沟</t>
        </is>
      </c>
      <c r="F440" s="10" t="inlineStr">
        <is>
          <t>企业官网</t>
        </is>
      </c>
      <c r="G440" s="10" t="inlineStr">
        <is>
          <t>黄经理</t>
        </is>
      </c>
      <c r="H440" s="10" t="inlineStr">
        <is>
          <t>000-0000-0436</t>
        </is>
      </c>
      <c r="I440" s="10" t="inlineStr">
        <is>
          <t>DEMO_GYS_0436</t>
        </is>
      </c>
      <c r="J440" s="11" t="n">
        <v>8</v>
      </c>
      <c r="K440" s="11" t="n">
        <v>23.6</v>
      </c>
      <c r="L440" s="12" t="n">
        <v>100</v>
      </c>
      <c r="M440" s="10" t="inlineStr">
        <is>
          <t>否</t>
        </is>
      </c>
      <c r="N440" s="10" t="inlineStr">
        <is>
          <t>是</t>
        </is>
      </c>
      <c r="O440" s="10" t="inlineStr">
        <is>
          <t>supplier0436@example.com</t>
        </is>
      </c>
      <c r="P440" s="10" t="inlineStr">
        <is>
          <t>https://example.com/supplier/0436</t>
        </is>
      </c>
      <c r="Q440" s="10">
        <f>IF(R440&gt;=85,"A",IF(R440&gt;=70,"B","C"))</f>
        <v/>
      </c>
      <c r="R440" s="13">
        <f>MIN(100,50+IF(M440="是",10,0)+IF(N440="是",10,0)+IF(L440&lt;=100,10,IF(L440&lt;=300,5,0))+IF(J440&lt;=20,10,IF(J440&lt;=50,5,0))+IF(K440-J440&lt;=20,5,0)+IF(F440="企业官网",5,0))</f>
        <v/>
      </c>
      <c r="S440" s="10">
        <f>IF(Q440="A","价格与起订量有优势，建议优先询盘",IF(Q440="B","条件较均衡，可作为备选","起订量或价格需要进一步确认"))</f>
        <v/>
      </c>
      <c r="T440" s="10" t="inlineStr">
        <is>
          <t>未联系</t>
        </is>
      </c>
      <c r="U440" s="10" t="inlineStr">
        <is>
          <t>虚构演示数据</t>
        </is>
      </c>
    </row>
    <row r="441" ht="21" customHeight="1">
      <c r="A441" s="10" t="inlineStr">
        <is>
          <t>GYS-0437</t>
        </is>
      </c>
      <c r="B441" s="10" t="inlineStr">
        <is>
          <t>义乌鞋靴配件供应链0437有限公司（演示）</t>
        </is>
      </c>
      <c r="C441" s="10" t="inlineStr">
        <is>
          <t>鞋靴配件</t>
        </is>
      </c>
      <c r="D441" s="10" t="inlineStr">
        <is>
          <t>防磨脚贴</t>
        </is>
      </c>
      <c r="E441" s="10" t="inlineStr">
        <is>
          <t>浙江义乌</t>
        </is>
      </c>
      <c r="F441" s="10" t="inlineStr">
        <is>
          <t>义乌购</t>
        </is>
      </c>
      <c r="G441" s="10" t="inlineStr">
        <is>
          <t>赵经理</t>
        </is>
      </c>
      <c r="H441" s="10" t="inlineStr">
        <is>
          <t>000-0000-0437</t>
        </is>
      </c>
      <c r="I441" s="10" t="inlineStr">
        <is>
          <t>DEMO_GYS_0437</t>
        </is>
      </c>
      <c r="J441" s="11" t="n">
        <v>9.699999999999999</v>
      </c>
      <c r="K441" s="11" t="n">
        <v>26.4</v>
      </c>
      <c r="L441" s="12" t="n">
        <v>50</v>
      </c>
      <c r="M441" s="10" t="inlineStr">
        <is>
          <t>是</t>
        </is>
      </c>
      <c r="N441" s="10" t="inlineStr">
        <is>
          <t>是</t>
        </is>
      </c>
      <c r="O441" s="10" t="inlineStr">
        <is>
          <t>supplier0437@example.com</t>
        </is>
      </c>
      <c r="P441" s="10" t="inlineStr">
        <is>
          <t>https://example.com/supplier/0437</t>
        </is>
      </c>
      <c r="Q441" s="10">
        <f>IF(R441&gt;=85,"A",IF(R441&gt;=70,"B","C"))</f>
        <v/>
      </c>
      <c r="R441" s="13">
        <f>MIN(100,50+IF(M441="是",10,0)+IF(N441="是",10,0)+IF(L441&lt;=100,10,IF(L441&lt;=300,5,0))+IF(J441&lt;=20,10,IF(J441&lt;=50,5,0))+IF(K441-J441&lt;=20,5,0)+IF(F441="企业官网",5,0))</f>
        <v/>
      </c>
      <c r="S441" s="10">
        <f>IF(Q441="A","价格与起订量有优势，建议优先询盘",IF(Q441="B","条件较均衡，可作为备选","起订量或价格需要进一步确认"))</f>
        <v/>
      </c>
      <c r="T441" s="10" t="inlineStr">
        <is>
          <t>未联系</t>
        </is>
      </c>
      <c r="U441" s="10" t="inlineStr">
        <is>
          <t>虚构演示数据</t>
        </is>
      </c>
    </row>
    <row r="442" ht="21" customHeight="1">
      <c r="A442" s="10" t="inlineStr">
        <is>
          <t>GYS-0438</t>
        </is>
      </c>
      <c r="B442" s="10" t="inlineStr">
        <is>
          <t>台州食品包装供应链0438有限公司（演示）</t>
        </is>
      </c>
      <c r="C442" s="10" t="inlineStr">
        <is>
          <t>食品包装</t>
        </is>
      </c>
      <c r="D442" s="10" t="inlineStr">
        <is>
          <t>密封包装袋</t>
        </is>
      </c>
      <c r="E442" s="10" t="inlineStr">
        <is>
          <t>浙江台州</t>
        </is>
      </c>
      <c r="F442" s="10" t="inlineStr">
        <is>
          <t>慧聪网</t>
        </is>
      </c>
      <c r="G442" s="10" t="inlineStr">
        <is>
          <t>周经理</t>
        </is>
      </c>
      <c r="H442" s="10" t="inlineStr">
        <is>
          <t>000-0000-0438</t>
        </is>
      </c>
      <c r="I442" s="10" t="inlineStr">
        <is>
          <t>DEMO_GYS_0438</t>
        </is>
      </c>
      <c r="J442" s="11" t="n">
        <v>11.4</v>
      </c>
      <c r="K442" s="11" t="n">
        <v>29.2</v>
      </c>
      <c r="L442" s="12" t="n">
        <v>20</v>
      </c>
      <c r="M442" s="10" t="inlineStr">
        <is>
          <t>是</t>
        </is>
      </c>
      <c r="N442" s="10" t="inlineStr">
        <is>
          <t>否</t>
        </is>
      </c>
      <c r="O442" s="10" t="inlineStr">
        <is>
          <t>supplier0438@example.com</t>
        </is>
      </c>
      <c r="P442" s="10" t="inlineStr">
        <is>
          <t>https://example.com/supplier/0438</t>
        </is>
      </c>
      <c r="Q442" s="10">
        <f>IF(R442&gt;=85,"A",IF(R442&gt;=70,"B","C"))</f>
        <v/>
      </c>
      <c r="R442" s="13">
        <f>MIN(100,50+IF(M442="是",10,0)+IF(N442="是",10,0)+IF(L442&lt;=100,10,IF(L442&lt;=300,5,0))+IF(J442&lt;=20,10,IF(J442&lt;=50,5,0))+IF(K442-J442&lt;=20,5,0)+IF(F442="企业官网",5,0))</f>
        <v/>
      </c>
      <c r="S442" s="10">
        <f>IF(Q442="A","价格与起订量有优势，建议优先询盘",IF(Q442="B","条件较均衡，可作为备选","起订量或价格需要进一步确认"))</f>
        <v/>
      </c>
      <c r="T442" s="10" t="inlineStr">
        <is>
          <t>未联系</t>
        </is>
      </c>
      <c r="U442" s="10" t="inlineStr">
        <is>
          <t>虚构演示数据</t>
        </is>
      </c>
    </row>
    <row r="443" ht="21" customHeight="1">
      <c r="A443" s="10" t="inlineStr">
        <is>
          <t>GYS-0439</t>
        </is>
      </c>
      <c r="B443" s="10" t="inlineStr">
        <is>
          <t>东莞户外照明供应链0439有限公司（演示）</t>
        </is>
      </c>
      <c r="C443" s="10" t="inlineStr">
        <is>
          <t>户外照明</t>
        </is>
      </c>
      <c r="D443" s="10" t="inlineStr">
        <is>
          <t>便携露营灯</t>
        </is>
      </c>
      <c r="E443" s="10" t="inlineStr">
        <is>
          <t>广东东莞</t>
        </is>
      </c>
      <c r="F443" s="10" t="inlineStr">
        <is>
          <t>1688</t>
        </is>
      </c>
      <c r="G443" s="10" t="inlineStr">
        <is>
          <t>吴经理</t>
        </is>
      </c>
      <c r="H443" s="10" t="inlineStr">
        <is>
          <t>000-0000-0439</t>
        </is>
      </c>
      <c r="I443" s="10" t="inlineStr">
        <is>
          <t>DEMO_GYS_0439</t>
        </is>
      </c>
      <c r="J443" s="11" t="n">
        <v>13.1</v>
      </c>
      <c r="K443" s="11" t="n">
        <v>32</v>
      </c>
      <c r="L443" s="12" t="n">
        <v>500</v>
      </c>
      <c r="M443" s="10" t="inlineStr">
        <is>
          <t>是</t>
        </is>
      </c>
      <c r="N443" s="10" t="inlineStr">
        <is>
          <t>是</t>
        </is>
      </c>
      <c r="O443" s="10" t="inlineStr">
        <is>
          <t>supplier0439@example.com</t>
        </is>
      </c>
      <c r="P443" s="10" t="inlineStr">
        <is>
          <t>https://example.com/supplier/0439</t>
        </is>
      </c>
      <c r="Q443" s="10">
        <f>IF(R443&gt;=85,"A",IF(R443&gt;=70,"B","C"))</f>
        <v/>
      </c>
      <c r="R443" s="13">
        <f>MIN(100,50+IF(M443="是",10,0)+IF(N443="是",10,0)+IF(L443&lt;=100,10,IF(L443&lt;=300,5,0))+IF(J443&lt;=20,10,IF(J443&lt;=50,5,0))+IF(K443-J443&lt;=20,5,0)+IF(F443="企业官网",5,0))</f>
        <v/>
      </c>
      <c r="S443" s="10">
        <f>IF(Q443="A","价格与起订量有优势，建议优先询盘",IF(Q443="B","条件较均衡，可作为备选","起订量或价格需要进一步确认"))</f>
        <v/>
      </c>
      <c r="T443" s="10" t="inlineStr">
        <is>
          <t>未联系</t>
        </is>
      </c>
      <c r="U443" s="10" t="inlineStr">
        <is>
          <t>虚构演示数据</t>
        </is>
      </c>
    </row>
    <row r="444" ht="21" customHeight="1">
      <c r="A444" s="10" t="inlineStr">
        <is>
          <t>GYS-0440</t>
        </is>
      </c>
      <c r="B444" s="10" t="inlineStr">
        <is>
          <t>厦门健康用品供应链0440有限公司（演示）</t>
        </is>
      </c>
      <c r="C444" s="10" t="inlineStr">
        <is>
          <t>健康用品</t>
        </is>
      </c>
      <c r="D444" s="10" t="inlineStr">
        <is>
          <t>热敷眼罩</t>
        </is>
      </c>
      <c r="E444" s="10" t="inlineStr">
        <is>
          <t>福建厦门</t>
        </is>
      </c>
      <c r="F444" s="10" t="inlineStr">
        <is>
          <t>中国制造网</t>
        </is>
      </c>
      <c r="G444" s="10" t="inlineStr">
        <is>
          <t>陈经理</t>
        </is>
      </c>
      <c r="H444" s="10" t="inlineStr">
        <is>
          <t>000-0000-0440</t>
        </is>
      </c>
      <c r="I444" s="10" t="inlineStr">
        <is>
          <t>DEMO_GYS_0440</t>
        </is>
      </c>
      <c r="J444" s="11" t="n">
        <v>14.8</v>
      </c>
      <c r="K444" s="11" t="n">
        <v>34.8</v>
      </c>
      <c r="L444" s="12" t="n">
        <v>300</v>
      </c>
      <c r="M444" s="10" t="inlineStr">
        <is>
          <t>否</t>
        </is>
      </c>
      <c r="N444" s="10" t="inlineStr">
        <is>
          <t>是</t>
        </is>
      </c>
      <c r="O444" s="10" t="inlineStr">
        <is>
          <t>supplier0440@example.com</t>
        </is>
      </c>
      <c r="P444" s="10" t="inlineStr">
        <is>
          <t>https://example.com/supplier/0440</t>
        </is>
      </c>
      <c r="Q444" s="10">
        <f>IF(R444&gt;=85,"A",IF(R444&gt;=70,"B","C"))</f>
        <v/>
      </c>
      <c r="R444" s="13">
        <f>MIN(100,50+IF(M444="是",10,0)+IF(N444="是",10,0)+IF(L444&lt;=100,10,IF(L444&lt;=300,5,0))+IF(J444&lt;=20,10,IF(J444&lt;=50,5,0))+IF(K444-J444&lt;=20,5,0)+IF(F444="企业官网",5,0))</f>
        <v/>
      </c>
      <c r="S444" s="10">
        <f>IF(Q444="A","价格与起订量有优势，建议优先询盘",IF(Q444="B","条件较均衡，可作为备选","起订量或价格需要进一步确认"))</f>
        <v/>
      </c>
      <c r="T444" s="10" t="inlineStr">
        <is>
          <t>未联系</t>
        </is>
      </c>
      <c r="U444" s="10" t="inlineStr">
        <is>
          <t>虚构演示数据</t>
        </is>
      </c>
    </row>
    <row r="445" ht="21" customHeight="1">
      <c r="A445" s="10" t="inlineStr">
        <is>
          <t>GYS-0441</t>
        </is>
      </c>
      <c r="B445" s="10" t="inlineStr">
        <is>
          <t>临沂服饰内衣供应链0441有限公司（演示）</t>
        </is>
      </c>
      <c r="C445" s="10" t="inlineStr">
        <is>
          <t>服饰内衣</t>
        </is>
      </c>
      <c r="D445" s="10" t="inlineStr">
        <is>
          <t>防滑袜</t>
        </is>
      </c>
      <c r="E445" s="10" t="inlineStr">
        <is>
          <t>山东临沂</t>
        </is>
      </c>
      <c r="F445" s="10" t="inlineStr">
        <is>
          <t>企业官网</t>
        </is>
      </c>
      <c r="G445" s="10" t="inlineStr">
        <is>
          <t>林经理</t>
        </is>
      </c>
      <c r="H445" s="10" t="inlineStr">
        <is>
          <t>000-0000-0441</t>
        </is>
      </c>
      <c r="I445" s="10" t="inlineStr">
        <is>
          <t>DEMO_GYS_0441</t>
        </is>
      </c>
      <c r="J445" s="11" t="n">
        <v>16.5</v>
      </c>
      <c r="K445" s="11" t="n">
        <v>37.6</v>
      </c>
      <c r="L445" s="12" t="n">
        <v>200</v>
      </c>
      <c r="M445" s="10" t="inlineStr">
        <is>
          <t>是</t>
        </is>
      </c>
      <c r="N445" s="10" t="inlineStr">
        <is>
          <t>否</t>
        </is>
      </c>
      <c r="O445" s="10" t="inlineStr">
        <is>
          <t>supplier0441@example.com</t>
        </is>
      </c>
      <c r="P445" s="10" t="inlineStr">
        <is>
          <t>https://example.com/supplier/0441</t>
        </is>
      </c>
      <c r="Q445" s="10">
        <f>IF(R445&gt;=85,"A",IF(R445&gt;=70,"B","C"))</f>
        <v/>
      </c>
      <c r="R445" s="13">
        <f>MIN(100,50+IF(M445="是",10,0)+IF(N445="是",10,0)+IF(L445&lt;=100,10,IF(L445&lt;=300,5,0))+IF(J445&lt;=20,10,IF(J445&lt;=50,5,0))+IF(K445-J445&lt;=20,5,0)+IF(F445="企业官网",5,0))</f>
        <v/>
      </c>
      <c r="S445" s="10">
        <f>IF(Q445="A","价格与起订量有优势，建议优先询盘",IF(Q445="B","条件较均衡，可作为备选","起订量或价格需要进一步确认"))</f>
        <v/>
      </c>
      <c r="T445" s="10" t="inlineStr">
        <is>
          <t>未联系</t>
        </is>
      </c>
      <c r="U445" s="10" t="inlineStr">
        <is>
          <t>虚构演示数据</t>
        </is>
      </c>
    </row>
    <row r="446" ht="21" customHeight="1">
      <c r="A446" s="10" t="inlineStr">
        <is>
          <t>GYS-0442</t>
        </is>
      </c>
      <c r="B446" s="10" t="inlineStr">
        <is>
          <t>南昌家居日用供应链0442有限公司（演示）</t>
        </is>
      </c>
      <c r="C446" s="10" t="inlineStr">
        <is>
          <t>家居日用</t>
        </is>
      </c>
      <c r="D446" s="10" t="inlineStr">
        <is>
          <t>折叠收纳箱</t>
        </is>
      </c>
      <c r="E446" s="10" t="inlineStr">
        <is>
          <t>江西南昌</t>
        </is>
      </c>
      <c r="F446" s="10" t="inlineStr">
        <is>
          <t>义乌购</t>
        </is>
      </c>
      <c r="G446" s="10" t="inlineStr">
        <is>
          <t>王经理</t>
        </is>
      </c>
      <c r="H446" s="10" t="inlineStr">
        <is>
          <t>000-0000-0442</t>
        </is>
      </c>
      <c r="I446" s="10" t="inlineStr">
        <is>
          <t>DEMO_GYS_0442</t>
        </is>
      </c>
      <c r="J446" s="11" t="n">
        <v>18.2</v>
      </c>
      <c r="K446" s="11" t="n">
        <v>22.4</v>
      </c>
      <c r="L446" s="12" t="n">
        <v>100</v>
      </c>
      <c r="M446" s="10" t="inlineStr">
        <is>
          <t>是</t>
        </is>
      </c>
      <c r="N446" s="10" t="inlineStr">
        <is>
          <t>是</t>
        </is>
      </c>
      <c r="O446" s="10" t="inlineStr">
        <is>
          <t>supplier0442@example.com</t>
        </is>
      </c>
      <c r="P446" s="10" t="inlineStr">
        <is>
          <t>https://example.com/supplier/0442</t>
        </is>
      </c>
      <c r="Q446" s="10">
        <f>IF(R446&gt;=85,"A",IF(R446&gt;=70,"B","C"))</f>
        <v/>
      </c>
      <c r="R446" s="13">
        <f>MIN(100,50+IF(M446="是",10,0)+IF(N446="是",10,0)+IF(L446&lt;=100,10,IF(L446&lt;=300,5,0))+IF(J446&lt;=20,10,IF(J446&lt;=50,5,0))+IF(K446-J446&lt;=20,5,0)+IF(F446="企业官网",5,0))</f>
        <v/>
      </c>
      <c r="S446" s="10">
        <f>IF(Q446="A","价格与起订量有优势，建议优先询盘",IF(Q446="B","条件较均衡，可作为备选","起订量或价格需要进一步确认"))</f>
        <v/>
      </c>
      <c r="T446" s="10" t="inlineStr">
        <is>
          <t>未联系</t>
        </is>
      </c>
      <c r="U446" s="10" t="inlineStr">
        <is>
          <t>虚构演示数据</t>
        </is>
      </c>
    </row>
    <row r="447" ht="21" customHeight="1">
      <c r="A447" s="10" t="inlineStr">
        <is>
          <t>GYS-0443</t>
        </is>
      </c>
      <c r="B447" s="10" t="inlineStr">
        <is>
          <t>温州个护清洁供应链0443有限公司（演示）</t>
        </is>
      </c>
      <c r="C447" s="10" t="inlineStr">
        <is>
          <t>个护清洁</t>
        </is>
      </c>
      <c r="D447" s="10" t="inlineStr">
        <is>
          <t>便携洗脸巾</t>
        </is>
      </c>
      <c r="E447" s="10" t="inlineStr">
        <is>
          <t>浙江温州</t>
        </is>
      </c>
      <c r="F447" s="10" t="inlineStr">
        <is>
          <t>慧聪网</t>
        </is>
      </c>
      <c r="G447" s="10" t="inlineStr">
        <is>
          <t>李经理</t>
        </is>
      </c>
      <c r="H447" s="10" t="inlineStr">
        <is>
          <t>000-0000-0443</t>
        </is>
      </c>
      <c r="I447" s="10" t="inlineStr">
        <is>
          <t>DEMO_GYS_0443</t>
        </is>
      </c>
      <c r="J447" s="11" t="n">
        <v>19.9</v>
      </c>
      <c r="K447" s="11" t="n">
        <v>25.2</v>
      </c>
      <c r="L447" s="12" t="n">
        <v>50</v>
      </c>
      <c r="M447" s="10" t="inlineStr">
        <is>
          <t>是</t>
        </is>
      </c>
      <c r="N447" s="10" t="inlineStr">
        <is>
          <t>是</t>
        </is>
      </c>
      <c r="O447" s="10" t="inlineStr">
        <is>
          <t>supplier0443@example.com</t>
        </is>
      </c>
      <c r="P447" s="10" t="inlineStr">
        <is>
          <t>https://example.com/supplier/0443</t>
        </is>
      </c>
      <c r="Q447" s="10">
        <f>IF(R447&gt;=85,"A",IF(R447&gt;=70,"B","C"))</f>
        <v/>
      </c>
      <c r="R447" s="13">
        <f>MIN(100,50+IF(M447="是",10,0)+IF(N447="是",10,0)+IF(L447&lt;=100,10,IF(L447&lt;=300,5,0))+IF(J447&lt;=20,10,IF(J447&lt;=50,5,0))+IF(K447-J447&lt;=20,5,0)+IF(F447="企业官网",5,0))</f>
        <v/>
      </c>
      <c r="S447" s="10">
        <f>IF(Q447="A","价格与起订量有优势，建议优先询盘",IF(Q447="B","条件较均衡，可作为备选","起订量或价格需要进一步确认"))</f>
        <v/>
      </c>
      <c r="T447" s="10" t="inlineStr">
        <is>
          <t>未联系</t>
        </is>
      </c>
      <c r="U447" s="10" t="inlineStr">
        <is>
          <t>虚构演示数据</t>
        </is>
      </c>
    </row>
    <row r="448" ht="21" customHeight="1">
      <c r="A448" s="10" t="inlineStr">
        <is>
          <t>GYS-0444</t>
        </is>
      </c>
      <c r="B448" s="10" t="inlineStr">
        <is>
          <t>广州厨房用品供应链0444有限公司（演示）</t>
        </is>
      </c>
      <c r="C448" s="10" t="inlineStr">
        <is>
          <t>厨房用品</t>
        </is>
      </c>
      <c r="D448" s="10" t="inlineStr">
        <is>
          <t>硅胶保鲜盒</t>
        </is>
      </c>
      <c r="E448" s="10" t="inlineStr">
        <is>
          <t>广东广州</t>
        </is>
      </c>
      <c r="F448" s="10" t="inlineStr">
        <is>
          <t>1688</t>
        </is>
      </c>
      <c r="G448" s="10" t="inlineStr">
        <is>
          <t>张经理</t>
        </is>
      </c>
      <c r="H448" s="10" t="inlineStr">
        <is>
          <t>000-0000-0444</t>
        </is>
      </c>
      <c r="I448" s="10" t="inlineStr">
        <is>
          <t>DEMO_GYS_0444</t>
        </is>
      </c>
      <c r="J448" s="11" t="n">
        <v>21.6</v>
      </c>
      <c r="K448" s="11" t="n">
        <v>28</v>
      </c>
      <c r="L448" s="12" t="n">
        <v>20</v>
      </c>
      <c r="M448" s="10" t="inlineStr">
        <is>
          <t>否</t>
        </is>
      </c>
      <c r="N448" s="10" t="inlineStr">
        <is>
          <t>否</t>
        </is>
      </c>
      <c r="O448" s="10" t="inlineStr">
        <is>
          <t>supplier0444@example.com</t>
        </is>
      </c>
      <c r="P448" s="10" t="inlineStr">
        <is>
          <t>https://example.com/supplier/0444</t>
        </is>
      </c>
      <c r="Q448" s="10">
        <f>IF(R448&gt;=85,"A",IF(R448&gt;=70,"B","C"))</f>
        <v/>
      </c>
      <c r="R448" s="13">
        <f>MIN(100,50+IF(M448="是",10,0)+IF(N448="是",10,0)+IF(L448&lt;=100,10,IF(L448&lt;=300,5,0))+IF(J448&lt;=20,10,IF(J448&lt;=50,5,0))+IF(K448-J448&lt;=20,5,0)+IF(F448="企业官网",5,0))</f>
        <v/>
      </c>
      <c r="S448" s="10">
        <f>IF(Q448="A","价格与起订量有优势，建议优先询盘",IF(Q448="B","条件较均衡，可作为备选","起订量或价格需要进一步确认"))</f>
        <v/>
      </c>
      <c r="T448" s="10" t="inlineStr">
        <is>
          <t>未联系</t>
        </is>
      </c>
      <c r="U448" s="10" t="inlineStr">
        <is>
          <t>虚构演示数据</t>
        </is>
      </c>
    </row>
    <row r="449" ht="21" customHeight="1">
      <c r="A449" s="10" t="inlineStr">
        <is>
          <t>GYS-0445</t>
        </is>
      </c>
      <c r="B449" s="10" t="inlineStr">
        <is>
          <t>泉州数码配件供应链0445有限公司（演示）</t>
        </is>
      </c>
      <c r="C449" s="10" t="inlineStr">
        <is>
          <t>数码配件</t>
        </is>
      </c>
      <c r="D449" s="10" t="inlineStr">
        <is>
          <t>磁吸手机支架</t>
        </is>
      </c>
      <c r="E449" s="10" t="inlineStr">
        <is>
          <t>福建泉州</t>
        </is>
      </c>
      <c r="F449" s="10" t="inlineStr">
        <is>
          <t>中国制造网</t>
        </is>
      </c>
      <c r="G449" s="10" t="inlineStr">
        <is>
          <t>刘经理</t>
        </is>
      </c>
      <c r="H449" s="10" t="inlineStr">
        <is>
          <t>000-0000-0445</t>
        </is>
      </c>
      <c r="I449" s="10" t="inlineStr">
        <is>
          <t>DEMO_GYS_0445</t>
        </is>
      </c>
      <c r="J449" s="11" t="n">
        <v>23.3</v>
      </c>
      <c r="K449" s="11" t="n">
        <v>30.8</v>
      </c>
      <c r="L449" s="12" t="n">
        <v>500</v>
      </c>
      <c r="M449" s="10" t="inlineStr">
        <is>
          <t>是</t>
        </is>
      </c>
      <c r="N449" s="10" t="inlineStr">
        <is>
          <t>是</t>
        </is>
      </c>
      <c r="O449" s="10" t="inlineStr">
        <is>
          <t>supplier0445@example.com</t>
        </is>
      </c>
      <c r="P449" s="10" t="inlineStr">
        <is>
          <t>https://example.com/supplier/0445</t>
        </is>
      </c>
      <c r="Q449" s="10">
        <f>IF(R449&gt;=85,"A",IF(R449&gt;=70,"B","C"))</f>
        <v/>
      </c>
      <c r="R449" s="13">
        <f>MIN(100,50+IF(M449="是",10,0)+IF(N449="是",10,0)+IF(L449&lt;=100,10,IF(L449&lt;=300,5,0))+IF(J449&lt;=20,10,IF(J449&lt;=50,5,0))+IF(K449-J449&lt;=20,5,0)+IF(F449="企业官网",5,0))</f>
        <v/>
      </c>
      <c r="S449" s="10">
        <f>IF(Q449="A","价格与起订量有优势，建议优先询盘",IF(Q449="B","条件较均衡，可作为备选","起订量或价格需要进一步确认"))</f>
        <v/>
      </c>
      <c r="T449" s="10" t="inlineStr">
        <is>
          <t>未联系</t>
        </is>
      </c>
      <c r="U449" s="10" t="inlineStr">
        <is>
          <t>虚构演示数据</t>
        </is>
      </c>
    </row>
    <row r="450" ht="21" customHeight="1">
      <c r="A450" s="10" t="inlineStr">
        <is>
          <t>GYS-0446</t>
        </is>
      </c>
      <c r="B450" s="10" t="inlineStr">
        <is>
          <t>南通宠物用品供应链0446有限公司（演示）</t>
        </is>
      </c>
      <c r="C450" s="10" t="inlineStr">
        <is>
          <t>宠物用品</t>
        </is>
      </c>
      <c r="D450" s="10" t="inlineStr">
        <is>
          <t>宠物清洁手套</t>
        </is>
      </c>
      <c r="E450" s="10" t="inlineStr">
        <is>
          <t>江苏南通</t>
        </is>
      </c>
      <c r="F450" s="10" t="inlineStr">
        <is>
          <t>企业官网</t>
        </is>
      </c>
      <c r="G450" s="10" t="inlineStr">
        <is>
          <t>黄经理</t>
        </is>
      </c>
      <c r="H450" s="10" t="inlineStr">
        <is>
          <t>000-0000-0446</t>
        </is>
      </c>
      <c r="I450" s="10" t="inlineStr">
        <is>
          <t>DEMO_GYS_0446</t>
        </is>
      </c>
      <c r="J450" s="11" t="n">
        <v>25</v>
      </c>
      <c r="K450" s="11" t="n">
        <v>33.6</v>
      </c>
      <c r="L450" s="12" t="n">
        <v>300</v>
      </c>
      <c r="M450" s="10" t="inlineStr">
        <is>
          <t>是</t>
        </is>
      </c>
      <c r="N450" s="10" t="inlineStr">
        <is>
          <t>是</t>
        </is>
      </c>
      <c r="O450" s="10" t="inlineStr">
        <is>
          <t>supplier0446@example.com</t>
        </is>
      </c>
      <c r="P450" s="10" t="inlineStr">
        <is>
          <t>https://example.com/supplier/0446</t>
        </is>
      </c>
      <c r="Q450" s="10">
        <f>IF(R450&gt;=85,"A",IF(R450&gt;=70,"B","C"))</f>
        <v/>
      </c>
      <c r="R450" s="13">
        <f>MIN(100,50+IF(M450="是",10,0)+IF(N450="是",10,0)+IF(L450&lt;=100,10,IF(L450&lt;=300,5,0))+IF(J450&lt;=20,10,IF(J450&lt;=50,5,0))+IF(K450-J450&lt;=20,5,0)+IF(F450="企业官网",5,0))</f>
        <v/>
      </c>
      <c r="S450" s="10">
        <f>IF(Q450="A","价格与起订量有优势，建议优先询盘",IF(Q450="B","条件较均衡，可作为备选","起订量或价格需要进一步确认"))</f>
        <v/>
      </c>
      <c r="T450" s="10" t="inlineStr">
        <is>
          <t>未联系</t>
        </is>
      </c>
      <c r="U450" s="10" t="inlineStr">
        <is>
          <t>虚构演示数据</t>
        </is>
      </c>
    </row>
    <row r="451" ht="21" customHeight="1">
      <c r="A451" s="10" t="inlineStr">
        <is>
          <t>GYS-0447</t>
        </is>
      </c>
      <c r="B451" s="10" t="inlineStr">
        <is>
          <t>郑州母婴用品供应链0447有限公司（演示）</t>
        </is>
      </c>
      <c r="C451" s="10" t="inlineStr">
        <is>
          <t>母婴用品</t>
        </is>
      </c>
      <c r="D451" s="10" t="inlineStr">
        <is>
          <t>婴儿防撞条</t>
        </is>
      </c>
      <c r="E451" s="10" t="inlineStr">
        <is>
          <t>河南郑州</t>
        </is>
      </c>
      <c r="F451" s="10" t="inlineStr">
        <is>
          <t>义乌购</t>
        </is>
      </c>
      <c r="G451" s="10" t="inlineStr">
        <is>
          <t>赵经理</t>
        </is>
      </c>
      <c r="H451" s="10" t="inlineStr">
        <is>
          <t>000-0000-0447</t>
        </is>
      </c>
      <c r="I451" s="10" t="inlineStr">
        <is>
          <t>DEMO_GYS_0447</t>
        </is>
      </c>
      <c r="J451" s="11" t="n">
        <v>26.7</v>
      </c>
      <c r="K451" s="11" t="n">
        <v>36.4</v>
      </c>
      <c r="L451" s="12" t="n">
        <v>200</v>
      </c>
      <c r="M451" s="10" t="inlineStr">
        <is>
          <t>是</t>
        </is>
      </c>
      <c r="N451" s="10" t="inlineStr">
        <is>
          <t>否</t>
        </is>
      </c>
      <c r="O451" s="10" t="inlineStr">
        <is>
          <t>supplier0447@example.com</t>
        </is>
      </c>
      <c r="P451" s="10" t="inlineStr">
        <is>
          <t>https://example.com/supplier/0447</t>
        </is>
      </c>
      <c r="Q451" s="10">
        <f>IF(R451&gt;=85,"A",IF(R451&gt;=70,"B","C"))</f>
        <v/>
      </c>
      <c r="R451" s="13">
        <f>MIN(100,50+IF(M451="是",10,0)+IF(N451="是",10,0)+IF(L451&lt;=100,10,IF(L451&lt;=300,5,0))+IF(J451&lt;=20,10,IF(J451&lt;=50,5,0))+IF(K451-J451&lt;=20,5,0)+IF(F451="企业官网",5,0))</f>
        <v/>
      </c>
      <c r="S451" s="10">
        <f>IF(Q451="A","价格与起订量有优势，建议优先询盘",IF(Q451="B","条件较均衡，可作为备选","起订量或价格需要进一步确认"))</f>
        <v/>
      </c>
      <c r="T451" s="10" t="inlineStr">
        <is>
          <t>未联系</t>
        </is>
      </c>
      <c r="U451" s="10" t="inlineStr">
        <is>
          <t>虚构演示数据</t>
        </is>
      </c>
    </row>
    <row r="452" ht="21" customHeight="1">
      <c r="A452" s="10" t="inlineStr">
        <is>
          <t>GYS-0448</t>
        </is>
      </c>
      <c r="B452" s="10" t="inlineStr">
        <is>
          <t>宁波运动户外供应链0448有限公司（演示）</t>
        </is>
      </c>
      <c r="C452" s="10" t="inlineStr">
        <is>
          <t>运动户外</t>
        </is>
      </c>
      <c r="D452" s="10" t="inlineStr">
        <is>
          <t>弹力训练带</t>
        </is>
      </c>
      <c r="E452" s="10" t="inlineStr">
        <is>
          <t>浙江宁波</t>
        </is>
      </c>
      <c r="F452" s="10" t="inlineStr">
        <is>
          <t>慧聪网</t>
        </is>
      </c>
      <c r="G452" s="10" t="inlineStr">
        <is>
          <t>周经理</t>
        </is>
      </c>
      <c r="H452" s="10" t="inlineStr">
        <is>
          <t>000-0000-0448</t>
        </is>
      </c>
      <c r="I452" s="10" t="inlineStr">
        <is>
          <t>DEMO_GYS_0448</t>
        </is>
      </c>
      <c r="J452" s="11" t="n">
        <v>28.4</v>
      </c>
      <c r="K452" s="11" t="n">
        <v>39.2</v>
      </c>
      <c r="L452" s="12" t="n">
        <v>100</v>
      </c>
      <c r="M452" s="10" t="inlineStr">
        <is>
          <t>否</t>
        </is>
      </c>
      <c r="N452" s="10" t="inlineStr">
        <is>
          <t>是</t>
        </is>
      </c>
      <c r="O452" s="10" t="inlineStr">
        <is>
          <t>supplier0448@example.com</t>
        </is>
      </c>
      <c r="P452" s="10" t="inlineStr">
        <is>
          <t>https://example.com/supplier/0448</t>
        </is>
      </c>
      <c r="Q452" s="10">
        <f>IF(R452&gt;=85,"A",IF(R452&gt;=70,"B","C"))</f>
        <v/>
      </c>
      <c r="R452" s="13">
        <f>MIN(100,50+IF(M452="是",10,0)+IF(N452="是",10,0)+IF(L452&lt;=100,10,IF(L452&lt;=300,5,0))+IF(J452&lt;=20,10,IF(J452&lt;=50,5,0))+IF(K452-J452&lt;=20,5,0)+IF(F452="企业官网",5,0))</f>
        <v/>
      </c>
      <c r="S452" s="10">
        <f>IF(Q452="A","价格与起订量有优势，建议优先询盘",IF(Q452="B","条件较均衡，可作为备选","起订量或价格需要进一步确认"))</f>
        <v/>
      </c>
      <c r="T452" s="10" t="inlineStr">
        <is>
          <t>未联系</t>
        </is>
      </c>
      <c r="U452" s="10" t="inlineStr">
        <is>
          <t>虚构演示数据</t>
        </is>
      </c>
    </row>
    <row r="453" ht="21" customHeight="1">
      <c r="A453" s="10" t="inlineStr">
        <is>
          <t>GYS-0449</t>
        </is>
      </c>
      <c r="B453" s="10" t="inlineStr">
        <is>
          <t>深圳办公文具供应链0449有限公司（演示）</t>
        </is>
      </c>
      <c r="C453" s="10" t="inlineStr">
        <is>
          <t>办公文具</t>
        </is>
      </c>
      <c r="D453" s="10" t="inlineStr">
        <is>
          <t>桌面收纳架</t>
        </is>
      </c>
      <c r="E453" s="10" t="inlineStr">
        <is>
          <t>广东深圳</t>
        </is>
      </c>
      <c r="F453" s="10" t="inlineStr">
        <is>
          <t>1688</t>
        </is>
      </c>
      <c r="G453" s="10" t="inlineStr">
        <is>
          <t>吴经理</t>
        </is>
      </c>
      <c r="H453" s="10" t="inlineStr">
        <is>
          <t>000-0000-0449</t>
        </is>
      </c>
      <c r="I453" s="10" t="inlineStr">
        <is>
          <t>DEMO_GYS_0449</t>
        </is>
      </c>
      <c r="J453" s="11" t="n">
        <v>30.1</v>
      </c>
      <c r="K453" s="11" t="n">
        <v>42</v>
      </c>
      <c r="L453" s="12" t="n">
        <v>50</v>
      </c>
      <c r="M453" s="10" t="inlineStr">
        <is>
          <t>是</t>
        </is>
      </c>
      <c r="N453" s="10" t="inlineStr">
        <is>
          <t>是</t>
        </is>
      </c>
      <c r="O453" s="10" t="inlineStr">
        <is>
          <t>supplier0449@example.com</t>
        </is>
      </c>
      <c r="P453" s="10" t="inlineStr">
        <is>
          <t>https://example.com/supplier/0449</t>
        </is>
      </c>
      <c r="Q453" s="10">
        <f>IF(R453&gt;=85,"A",IF(R453&gt;=70,"B","C"))</f>
        <v/>
      </c>
      <c r="R453" s="13">
        <f>MIN(100,50+IF(M453="是",10,0)+IF(N453="是",10,0)+IF(L453&lt;=100,10,IF(L453&lt;=300,5,0))+IF(J453&lt;=20,10,IF(J453&lt;=50,5,0))+IF(K453-J453&lt;=20,5,0)+IF(F453="企业官网",5,0))</f>
        <v/>
      </c>
      <c r="S453" s="10">
        <f>IF(Q453="A","价格与起订量有优势，建议优先询盘",IF(Q453="B","条件较均衡，可作为备选","起订量或价格需要进一步确认"))</f>
        <v/>
      </c>
      <c r="T453" s="10" t="inlineStr">
        <is>
          <t>未联系</t>
        </is>
      </c>
      <c r="U453" s="10" t="inlineStr">
        <is>
          <t>虚构演示数据</t>
        </is>
      </c>
    </row>
    <row r="454" ht="21" customHeight="1">
      <c r="A454" s="10" t="inlineStr">
        <is>
          <t>GYS-0450</t>
        </is>
      </c>
      <c r="B454" s="10" t="inlineStr">
        <is>
          <t>佛山汽车用品供应链0450有限公司（演示）</t>
        </is>
      </c>
      <c r="C454" s="10" t="inlineStr">
        <is>
          <t>汽车用品</t>
        </is>
      </c>
      <c r="D454" s="10" t="inlineStr">
        <is>
          <t>车载香薰</t>
        </is>
      </c>
      <c r="E454" s="10" t="inlineStr">
        <is>
          <t>广东佛山</t>
        </is>
      </c>
      <c r="F454" s="10" t="inlineStr">
        <is>
          <t>中国制造网</t>
        </is>
      </c>
      <c r="G454" s="10" t="inlineStr">
        <is>
          <t>陈经理</t>
        </is>
      </c>
      <c r="H454" s="10" t="inlineStr">
        <is>
          <t>000-0000-0450</t>
        </is>
      </c>
      <c r="I454" s="10" t="inlineStr">
        <is>
          <t>DEMO_GYS_0450</t>
        </is>
      </c>
      <c r="J454" s="11" t="n">
        <v>31.8</v>
      </c>
      <c r="K454" s="11" t="n">
        <v>44.8</v>
      </c>
      <c r="L454" s="12" t="n">
        <v>20</v>
      </c>
      <c r="M454" s="10" t="inlineStr">
        <is>
          <t>是</t>
        </is>
      </c>
      <c r="N454" s="10" t="inlineStr">
        <is>
          <t>否</t>
        </is>
      </c>
      <c r="O454" s="10" t="inlineStr">
        <is>
          <t>supplier0450@example.com</t>
        </is>
      </c>
      <c r="P454" s="10" t="inlineStr">
        <is>
          <t>https://example.com/supplier/0450</t>
        </is>
      </c>
      <c r="Q454" s="10">
        <f>IF(R454&gt;=85,"A",IF(R454&gt;=70,"B","C"))</f>
        <v/>
      </c>
      <c r="R454" s="13">
        <f>MIN(100,50+IF(M454="是",10,0)+IF(N454="是",10,0)+IF(L454&lt;=100,10,IF(L454&lt;=300,5,0))+IF(J454&lt;=20,10,IF(J454&lt;=50,5,0))+IF(K454-J454&lt;=20,5,0)+IF(F454="企业官网",5,0))</f>
        <v/>
      </c>
      <c r="S454" s="10">
        <f>IF(Q454="A","价格与起订量有优势，建议优先询盘",IF(Q454="B","条件较均衡，可作为备选","起订量或价格需要进一步确认"))</f>
        <v/>
      </c>
      <c r="T454" s="10" t="inlineStr">
        <is>
          <t>未联系</t>
        </is>
      </c>
      <c r="U454" s="10" t="inlineStr">
        <is>
          <t>虚构演示数据</t>
        </is>
      </c>
    </row>
    <row r="455" ht="21" customHeight="1">
      <c r="A455" s="10" t="inlineStr">
        <is>
          <t>GYS-0451</t>
        </is>
      </c>
      <c r="B455" s="10" t="inlineStr">
        <is>
          <t>苏州美容工具供应链0451有限公司（演示）</t>
        </is>
      </c>
      <c r="C455" s="10" t="inlineStr">
        <is>
          <t>美容工具</t>
        </is>
      </c>
      <c r="D455" s="10" t="inlineStr">
        <is>
          <t>便携化妆镜</t>
        </is>
      </c>
      <c r="E455" s="10" t="inlineStr">
        <is>
          <t>江苏苏州</t>
        </is>
      </c>
      <c r="F455" s="10" t="inlineStr">
        <is>
          <t>企业官网</t>
        </is>
      </c>
      <c r="G455" s="10" t="inlineStr">
        <is>
          <t>林经理</t>
        </is>
      </c>
      <c r="H455" s="10" t="inlineStr">
        <is>
          <t>000-0000-0451</t>
        </is>
      </c>
      <c r="I455" s="10" t="inlineStr">
        <is>
          <t>DEMO_GYS_0451</t>
        </is>
      </c>
      <c r="J455" s="11" t="n">
        <v>33.5</v>
      </c>
      <c r="K455" s="11" t="n">
        <v>47.6</v>
      </c>
      <c r="L455" s="12" t="n">
        <v>500</v>
      </c>
      <c r="M455" s="10" t="inlineStr">
        <is>
          <t>是</t>
        </is>
      </c>
      <c r="N455" s="10" t="inlineStr">
        <is>
          <t>是</t>
        </is>
      </c>
      <c r="O455" s="10" t="inlineStr">
        <is>
          <t>supplier0451@example.com</t>
        </is>
      </c>
      <c r="P455" s="10" t="inlineStr">
        <is>
          <t>https://example.com/supplier/0451</t>
        </is>
      </c>
      <c r="Q455" s="10">
        <f>IF(R455&gt;=85,"A",IF(R455&gt;=70,"B","C"))</f>
        <v/>
      </c>
      <c r="R455" s="13">
        <f>MIN(100,50+IF(M455="是",10,0)+IF(N455="是",10,0)+IF(L455&lt;=100,10,IF(L455&lt;=300,5,0))+IF(J455&lt;=20,10,IF(J455&lt;=50,5,0))+IF(K455-J455&lt;=20,5,0)+IF(F455="企业官网",5,0))</f>
        <v/>
      </c>
      <c r="S455" s="10">
        <f>IF(Q455="A","价格与起订量有优势，建议优先询盘",IF(Q455="B","条件较均衡，可作为备选","起订量或价格需要进一步确认"))</f>
        <v/>
      </c>
      <c r="T455" s="10" t="inlineStr">
        <is>
          <t>未联系</t>
        </is>
      </c>
      <c r="U455" s="10" t="inlineStr">
        <is>
          <t>虚构演示数据</t>
        </is>
      </c>
    </row>
    <row r="456" ht="21" customHeight="1">
      <c r="A456" s="10" t="inlineStr">
        <is>
          <t>GYS-0452</t>
        </is>
      </c>
      <c r="B456" s="10" t="inlineStr">
        <is>
          <t>白沟旅行用品供应链0452有限公司（演示）</t>
        </is>
      </c>
      <c r="C456" s="10" t="inlineStr">
        <is>
          <t>旅行用品</t>
        </is>
      </c>
      <c r="D456" s="10" t="inlineStr">
        <is>
          <t>压缩收纳袋</t>
        </is>
      </c>
      <c r="E456" s="10" t="inlineStr">
        <is>
          <t>河北白沟</t>
        </is>
      </c>
      <c r="F456" s="10" t="inlineStr">
        <is>
          <t>义乌购</t>
        </is>
      </c>
      <c r="G456" s="10" t="inlineStr">
        <is>
          <t>王经理</t>
        </is>
      </c>
      <c r="H456" s="10" t="inlineStr">
        <is>
          <t>000-0000-0452</t>
        </is>
      </c>
      <c r="I456" s="10" t="inlineStr">
        <is>
          <t>DEMO_GYS_0452</t>
        </is>
      </c>
      <c r="J456" s="11" t="n">
        <v>35.2</v>
      </c>
      <c r="K456" s="11" t="n">
        <v>50.4</v>
      </c>
      <c r="L456" s="12" t="n">
        <v>300</v>
      </c>
      <c r="M456" s="10" t="inlineStr">
        <is>
          <t>否</t>
        </is>
      </c>
      <c r="N456" s="10" t="inlineStr">
        <is>
          <t>是</t>
        </is>
      </c>
      <c r="O456" s="10" t="inlineStr">
        <is>
          <t>supplier0452@example.com</t>
        </is>
      </c>
      <c r="P456" s="10" t="inlineStr">
        <is>
          <t>https://example.com/supplier/0452</t>
        </is>
      </c>
      <c r="Q456" s="10">
        <f>IF(R456&gt;=85,"A",IF(R456&gt;=70,"B","C"))</f>
        <v/>
      </c>
      <c r="R456" s="13">
        <f>MIN(100,50+IF(M456="是",10,0)+IF(N456="是",10,0)+IF(L456&lt;=100,10,IF(L456&lt;=300,5,0))+IF(J456&lt;=20,10,IF(J456&lt;=50,5,0))+IF(K456-J456&lt;=20,5,0)+IF(F456="企业官网",5,0))</f>
        <v/>
      </c>
      <c r="S456" s="10">
        <f>IF(Q456="A","价格与起订量有优势，建议优先询盘",IF(Q456="B","条件较均衡，可作为备选","起订量或价格需要进一步确认"))</f>
        <v/>
      </c>
      <c r="T456" s="10" t="inlineStr">
        <is>
          <t>未联系</t>
        </is>
      </c>
      <c r="U456" s="10" t="inlineStr">
        <is>
          <t>虚构演示数据</t>
        </is>
      </c>
    </row>
    <row r="457" ht="21" customHeight="1">
      <c r="A457" s="10" t="inlineStr">
        <is>
          <t>GYS-0453</t>
        </is>
      </c>
      <c r="B457" s="10" t="inlineStr">
        <is>
          <t>义乌清洁工具供应链0453有限公司（演示）</t>
        </is>
      </c>
      <c r="C457" s="10" t="inlineStr">
        <is>
          <t>清洁工具</t>
        </is>
      </c>
      <c r="D457" s="10" t="inlineStr">
        <is>
          <t>免手洗拖把</t>
        </is>
      </c>
      <c r="E457" s="10" t="inlineStr">
        <is>
          <t>浙江义乌</t>
        </is>
      </c>
      <c r="F457" s="10" t="inlineStr">
        <is>
          <t>慧聪网</t>
        </is>
      </c>
      <c r="G457" s="10" t="inlineStr">
        <is>
          <t>李经理</t>
        </is>
      </c>
      <c r="H457" s="10" t="inlineStr">
        <is>
          <t>000-0000-0453</t>
        </is>
      </c>
      <c r="I457" s="10" t="inlineStr">
        <is>
          <t>DEMO_GYS_0453</t>
        </is>
      </c>
      <c r="J457" s="11" t="n">
        <v>36.9</v>
      </c>
      <c r="K457" s="11" t="n">
        <v>53.2</v>
      </c>
      <c r="L457" s="12" t="n">
        <v>200</v>
      </c>
      <c r="M457" s="10" t="inlineStr">
        <is>
          <t>是</t>
        </is>
      </c>
      <c r="N457" s="10" t="inlineStr">
        <is>
          <t>否</t>
        </is>
      </c>
      <c r="O457" s="10" t="inlineStr">
        <is>
          <t>supplier0453@example.com</t>
        </is>
      </c>
      <c r="P457" s="10" t="inlineStr">
        <is>
          <t>https://example.com/supplier/0453</t>
        </is>
      </c>
      <c r="Q457" s="10">
        <f>IF(R457&gt;=85,"A",IF(R457&gt;=70,"B","C"))</f>
        <v/>
      </c>
      <c r="R457" s="13">
        <f>MIN(100,50+IF(M457="是",10,0)+IF(N457="是",10,0)+IF(L457&lt;=100,10,IF(L457&lt;=300,5,0))+IF(J457&lt;=20,10,IF(J457&lt;=50,5,0))+IF(K457-J457&lt;=20,5,0)+IF(F457="企业官网",5,0))</f>
        <v/>
      </c>
      <c r="S457" s="10">
        <f>IF(Q457="A","价格与起订量有优势，建议优先询盘",IF(Q457="B","条件较均衡，可作为备选","起订量或价格需要进一步确认"))</f>
        <v/>
      </c>
      <c r="T457" s="10" t="inlineStr">
        <is>
          <t>未联系</t>
        </is>
      </c>
      <c r="U457" s="10" t="inlineStr">
        <is>
          <t>虚构演示数据</t>
        </is>
      </c>
    </row>
    <row r="458" ht="21" customHeight="1">
      <c r="A458" s="10" t="inlineStr">
        <is>
          <t>GYS-0454</t>
        </is>
      </c>
      <c r="B458" s="10" t="inlineStr">
        <is>
          <t>台州小家电供应链0454有限公司（演示）</t>
        </is>
      </c>
      <c r="C458" s="10" t="inlineStr">
        <is>
          <t>小家电</t>
        </is>
      </c>
      <c r="D458" s="10" t="inlineStr">
        <is>
          <t>迷你加湿器</t>
        </is>
      </c>
      <c r="E458" s="10" t="inlineStr">
        <is>
          <t>浙江台州</t>
        </is>
      </c>
      <c r="F458" s="10" t="inlineStr">
        <is>
          <t>1688</t>
        </is>
      </c>
      <c r="G458" s="10" t="inlineStr">
        <is>
          <t>张经理</t>
        </is>
      </c>
      <c r="H458" s="10" t="inlineStr">
        <is>
          <t>000-0000-0454</t>
        </is>
      </c>
      <c r="I458" s="10" t="inlineStr">
        <is>
          <t>DEMO_GYS_0454</t>
        </is>
      </c>
      <c r="J458" s="11" t="n">
        <v>38.6</v>
      </c>
      <c r="K458" s="11" t="n">
        <v>56</v>
      </c>
      <c r="L458" s="12" t="n">
        <v>100</v>
      </c>
      <c r="M458" s="10" t="inlineStr">
        <is>
          <t>是</t>
        </is>
      </c>
      <c r="N458" s="10" t="inlineStr">
        <is>
          <t>是</t>
        </is>
      </c>
      <c r="O458" s="10" t="inlineStr">
        <is>
          <t>supplier0454@example.com</t>
        </is>
      </c>
      <c r="P458" s="10" t="inlineStr">
        <is>
          <t>https://example.com/supplier/0454</t>
        </is>
      </c>
      <c r="Q458" s="10">
        <f>IF(R458&gt;=85,"A",IF(R458&gt;=70,"B","C"))</f>
        <v/>
      </c>
      <c r="R458" s="13">
        <f>MIN(100,50+IF(M458="是",10,0)+IF(N458="是",10,0)+IF(L458&lt;=100,10,IF(L458&lt;=300,5,0))+IF(J458&lt;=20,10,IF(J458&lt;=50,5,0))+IF(K458-J458&lt;=20,5,0)+IF(F458="企业官网",5,0))</f>
        <v/>
      </c>
      <c r="S458" s="10">
        <f>IF(Q458="A","价格与起订量有优势，建议优先询盘",IF(Q458="B","条件较均衡，可作为备选","起订量或价格需要进一步确认"))</f>
        <v/>
      </c>
      <c r="T458" s="10" t="inlineStr">
        <is>
          <t>未联系</t>
        </is>
      </c>
      <c r="U458" s="10" t="inlineStr">
        <is>
          <t>虚构演示数据</t>
        </is>
      </c>
    </row>
    <row r="459" ht="21" customHeight="1">
      <c r="A459" s="10" t="inlineStr">
        <is>
          <t>GYS-0455</t>
        </is>
      </c>
      <c r="B459" s="10" t="inlineStr">
        <is>
          <t>东莞礼品包装供应链0455有限公司（演示）</t>
        </is>
      </c>
      <c r="C459" s="10" t="inlineStr">
        <is>
          <t>礼品包装</t>
        </is>
      </c>
      <c r="D459" s="10" t="inlineStr">
        <is>
          <t>节日礼盒</t>
        </is>
      </c>
      <c r="E459" s="10" t="inlineStr">
        <is>
          <t>广东东莞</t>
        </is>
      </c>
      <c r="F459" s="10" t="inlineStr">
        <is>
          <t>中国制造网</t>
        </is>
      </c>
      <c r="G459" s="10" t="inlineStr">
        <is>
          <t>刘经理</t>
        </is>
      </c>
      <c r="H459" s="10" t="inlineStr">
        <is>
          <t>000-0000-0455</t>
        </is>
      </c>
      <c r="I459" s="10" t="inlineStr">
        <is>
          <t>DEMO_GYS_0455</t>
        </is>
      </c>
      <c r="J459" s="11" t="n">
        <v>40.3</v>
      </c>
      <c r="K459" s="11" t="n">
        <v>58.8</v>
      </c>
      <c r="L459" s="12" t="n">
        <v>50</v>
      </c>
      <c r="M459" s="10" t="inlineStr">
        <is>
          <t>是</t>
        </is>
      </c>
      <c r="N459" s="10" t="inlineStr">
        <is>
          <t>是</t>
        </is>
      </c>
      <c r="O459" s="10" t="inlineStr">
        <is>
          <t>supplier0455@example.com</t>
        </is>
      </c>
      <c r="P459" s="10" t="inlineStr">
        <is>
          <t>https://example.com/supplier/0455</t>
        </is>
      </c>
      <c r="Q459" s="10">
        <f>IF(R459&gt;=85,"A",IF(R459&gt;=70,"B","C"))</f>
        <v/>
      </c>
      <c r="R459" s="13">
        <f>MIN(100,50+IF(M459="是",10,0)+IF(N459="是",10,0)+IF(L459&lt;=100,10,IF(L459&lt;=300,5,0))+IF(J459&lt;=20,10,IF(J459&lt;=50,5,0))+IF(K459-J459&lt;=20,5,0)+IF(F459="企业官网",5,0))</f>
        <v/>
      </c>
      <c r="S459" s="10">
        <f>IF(Q459="A","价格与起订量有优势，建议优先询盘",IF(Q459="B","条件较均衡，可作为备选","起订量或价格需要进一步确认"))</f>
        <v/>
      </c>
      <c r="T459" s="10" t="inlineStr">
        <is>
          <t>未联系</t>
        </is>
      </c>
      <c r="U459" s="10" t="inlineStr">
        <is>
          <t>虚构演示数据</t>
        </is>
      </c>
    </row>
    <row r="460" ht="21" customHeight="1">
      <c r="A460" s="10" t="inlineStr">
        <is>
          <t>GYS-0456</t>
        </is>
      </c>
      <c r="B460" s="10" t="inlineStr">
        <is>
          <t>厦门五金工具供应链0456有限公司（演示）</t>
        </is>
      </c>
      <c r="C460" s="10" t="inlineStr">
        <is>
          <t>五金工具</t>
        </is>
      </c>
      <c r="D460" s="10" t="inlineStr">
        <is>
          <t>多功能螺丝刀</t>
        </is>
      </c>
      <c r="E460" s="10" t="inlineStr">
        <is>
          <t>福建厦门</t>
        </is>
      </c>
      <c r="F460" s="10" t="inlineStr">
        <is>
          <t>企业官网</t>
        </is>
      </c>
      <c r="G460" s="10" t="inlineStr">
        <is>
          <t>黄经理</t>
        </is>
      </c>
      <c r="H460" s="10" t="inlineStr">
        <is>
          <t>000-0000-0456</t>
        </is>
      </c>
      <c r="I460" s="10" t="inlineStr">
        <is>
          <t>DEMO_GYS_0456</t>
        </is>
      </c>
      <c r="J460" s="11" t="n">
        <v>42</v>
      </c>
      <c r="K460" s="11" t="n">
        <v>61.6</v>
      </c>
      <c r="L460" s="12" t="n">
        <v>20</v>
      </c>
      <c r="M460" s="10" t="inlineStr">
        <is>
          <t>否</t>
        </is>
      </c>
      <c r="N460" s="10" t="inlineStr">
        <is>
          <t>否</t>
        </is>
      </c>
      <c r="O460" s="10" t="inlineStr">
        <is>
          <t>supplier0456@example.com</t>
        </is>
      </c>
      <c r="P460" s="10" t="inlineStr">
        <is>
          <t>https://example.com/supplier/0456</t>
        </is>
      </c>
      <c r="Q460" s="10">
        <f>IF(R460&gt;=85,"A",IF(R460&gt;=70,"B","C"))</f>
        <v/>
      </c>
      <c r="R460" s="13">
        <f>MIN(100,50+IF(M460="是",10,0)+IF(N460="是",10,0)+IF(L460&lt;=100,10,IF(L460&lt;=300,5,0))+IF(J460&lt;=20,10,IF(J460&lt;=50,5,0))+IF(K460-J460&lt;=20,5,0)+IF(F460="企业官网",5,0))</f>
        <v/>
      </c>
      <c r="S460" s="10">
        <f>IF(Q460="A","价格与起订量有优势，建议优先询盘",IF(Q460="B","条件较均衡，可作为备选","起订量或价格需要进一步确认"))</f>
        <v/>
      </c>
      <c r="T460" s="10" t="inlineStr">
        <is>
          <t>未联系</t>
        </is>
      </c>
      <c r="U460" s="10" t="inlineStr">
        <is>
          <t>虚构演示数据</t>
        </is>
      </c>
    </row>
    <row r="461" ht="21" customHeight="1">
      <c r="A461" s="10" t="inlineStr">
        <is>
          <t>GYS-0457</t>
        </is>
      </c>
      <c r="B461" s="10" t="inlineStr">
        <is>
          <t>临沂鞋靴配件供应链0457有限公司（演示）</t>
        </is>
      </c>
      <c r="C461" s="10" t="inlineStr">
        <is>
          <t>鞋靴配件</t>
        </is>
      </c>
      <c r="D461" s="10" t="inlineStr">
        <is>
          <t>防磨脚贴</t>
        </is>
      </c>
      <c r="E461" s="10" t="inlineStr">
        <is>
          <t>山东临沂</t>
        </is>
      </c>
      <c r="F461" s="10" t="inlineStr">
        <is>
          <t>义乌购</t>
        </is>
      </c>
      <c r="G461" s="10" t="inlineStr">
        <is>
          <t>赵经理</t>
        </is>
      </c>
      <c r="H461" s="10" t="inlineStr">
        <is>
          <t>000-0000-0457</t>
        </is>
      </c>
      <c r="I461" s="10" t="inlineStr">
        <is>
          <t>DEMO_GYS_0457</t>
        </is>
      </c>
      <c r="J461" s="11" t="n">
        <v>43.7</v>
      </c>
      <c r="K461" s="11" t="n">
        <v>64.40000000000001</v>
      </c>
      <c r="L461" s="12" t="n">
        <v>500</v>
      </c>
      <c r="M461" s="10" t="inlineStr">
        <is>
          <t>是</t>
        </is>
      </c>
      <c r="N461" s="10" t="inlineStr">
        <is>
          <t>是</t>
        </is>
      </c>
      <c r="O461" s="10" t="inlineStr">
        <is>
          <t>supplier0457@example.com</t>
        </is>
      </c>
      <c r="P461" s="10" t="inlineStr">
        <is>
          <t>https://example.com/supplier/0457</t>
        </is>
      </c>
      <c r="Q461" s="10">
        <f>IF(R461&gt;=85,"A",IF(R461&gt;=70,"B","C"))</f>
        <v/>
      </c>
      <c r="R461" s="13">
        <f>MIN(100,50+IF(M461="是",10,0)+IF(N461="是",10,0)+IF(L461&lt;=100,10,IF(L461&lt;=300,5,0))+IF(J461&lt;=20,10,IF(J461&lt;=50,5,0))+IF(K461-J461&lt;=20,5,0)+IF(F461="企业官网",5,0))</f>
        <v/>
      </c>
      <c r="S461" s="10">
        <f>IF(Q461="A","价格与起订量有优势，建议优先询盘",IF(Q461="B","条件较均衡，可作为备选","起订量或价格需要进一步确认"))</f>
        <v/>
      </c>
      <c r="T461" s="10" t="inlineStr">
        <is>
          <t>未联系</t>
        </is>
      </c>
      <c r="U461" s="10" t="inlineStr">
        <is>
          <t>虚构演示数据</t>
        </is>
      </c>
    </row>
    <row r="462" ht="21" customHeight="1">
      <c r="A462" s="10" t="inlineStr">
        <is>
          <t>GYS-0458</t>
        </is>
      </c>
      <c r="B462" s="10" t="inlineStr">
        <is>
          <t>南昌食品包装供应链0458有限公司（演示）</t>
        </is>
      </c>
      <c r="C462" s="10" t="inlineStr">
        <is>
          <t>食品包装</t>
        </is>
      </c>
      <c r="D462" s="10" t="inlineStr">
        <is>
          <t>密封包装袋</t>
        </is>
      </c>
      <c r="E462" s="10" t="inlineStr">
        <is>
          <t>江西南昌</t>
        </is>
      </c>
      <c r="F462" s="10" t="inlineStr">
        <is>
          <t>慧聪网</t>
        </is>
      </c>
      <c r="G462" s="10" t="inlineStr">
        <is>
          <t>周经理</t>
        </is>
      </c>
      <c r="H462" s="10" t="inlineStr">
        <is>
          <t>000-0000-0458</t>
        </is>
      </c>
      <c r="I462" s="10" t="inlineStr">
        <is>
          <t>DEMO_GYS_0458</t>
        </is>
      </c>
      <c r="J462" s="11" t="n">
        <v>45.4</v>
      </c>
      <c r="K462" s="11" t="n">
        <v>67.2</v>
      </c>
      <c r="L462" s="12" t="n">
        <v>300</v>
      </c>
      <c r="M462" s="10" t="inlineStr">
        <is>
          <t>是</t>
        </is>
      </c>
      <c r="N462" s="10" t="inlineStr">
        <is>
          <t>是</t>
        </is>
      </c>
      <c r="O462" s="10" t="inlineStr">
        <is>
          <t>supplier0458@example.com</t>
        </is>
      </c>
      <c r="P462" s="10" t="inlineStr">
        <is>
          <t>https://example.com/supplier/0458</t>
        </is>
      </c>
      <c r="Q462" s="10">
        <f>IF(R462&gt;=85,"A",IF(R462&gt;=70,"B","C"))</f>
        <v/>
      </c>
      <c r="R462" s="13">
        <f>MIN(100,50+IF(M462="是",10,0)+IF(N462="是",10,0)+IF(L462&lt;=100,10,IF(L462&lt;=300,5,0))+IF(J462&lt;=20,10,IF(J462&lt;=50,5,0))+IF(K462-J462&lt;=20,5,0)+IF(F462="企业官网",5,0))</f>
        <v/>
      </c>
      <c r="S462" s="10">
        <f>IF(Q462="A","价格与起订量有优势，建议优先询盘",IF(Q462="B","条件较均衡，可作为备选","起订量或价格需要进一步确认"))</f>
        <v/>
      </c>
      <c r="T462" s="10" t="inlineStr">
        <is>
          <t>未联系</t>
        </is>
      </c>
      <c r="U462" s="10" t="inlineStr">
        <is>
          <t>虚构演示数据</t>
        </is>
      </c>
    </row>
    <row r="463" ht="21" customHeight="1">
      <c r="A463" s="10" t="inlineStr">
        <is>
          <t>GYS-0459</t>
        </is>
      </c>
      <c r="B463" s="10" t="inlineStr">
        <is>
          <t>温州户外照明供应链0459有限公司（演示）</t>
        </is>
      </c>
      <c r="C463" s="10" t="inlineStr">
        <is>
          <t>户外照明</t>
        </is>
      </c>
      <c r="D463" s="10" t="inlineStr">
        <is>
          <t>便携露营灯</t>
        </is>
      </c>
      <c r="E463" s="10" t="inlineStr">
        <is>
          <t>浙江温州</t>
        </is>
      </c>
      <c r="F463" s="10" t="inlineStr">
        <is>
          <t>1688</t>
        </is>
      </c>
      <c r="G463" s="10" t="inlineStr">
        <is>
          <t>吴经理</t>
        </is>
      </c>
      <c r="H463" s="10" t="inlineStr">
        <is>
          <t>000-0000-0459</t>
        </is>
      </c>
      <c r="I463" s="10" t="inlineStr">
        <is>
          <t>DEMO_GYS_0459</t>
        </is>
      </c>
      <c r="J463" s="11" t="n">
        <v>47.1</v>
      </c>
      <c r="K463" s="11" t="n">
        <v>52</v>
      </c>
      <c r="L463" s="12" t="n">
        <v>200</v>
      </c>
      <c r="M463" s="10" t="inlineStr">
        <is>
          <t>是</t>
        </is>
      </c>
      <c r="N463" s="10" t="inlineStr">
        <is>
          <t>否</t>
        </is>
      </c>
      <c r="O463" s="10" t="inlineStr">
        <is>
          <t>supplier0459@example.com</t>
        </is>
      </c>
      <c r="P463" s="10" t="inlineStr">
        <is>
          <t>https://example.com/supplier/0459</t>
        </is>
      </c>
      <c r="Q463" s="10">
        <f>IF(R463&gt;=85,"A",IF(R463&gt;=70,"B","C"))</f>
        <v/>
      </c>
      <c r="R463" s="13">
        <f>MIN(100,50+IF(M463="是",10,0)+IF(N463="是",10,0)+IF(L463&lt;=100,10,IF(L463&lt;=300,5,0))+IF(J463&lt;=20,10,IF(J463&lt;=50,5,0))+IF(K463-J463&lt;=20,5,0)+IF(F463="企业官网",5,0))</f>
        <v/>
      </c>
      <c r="S463" s="10">
        <f>IF(Q463="A","价格与起订量有优势，建议优先询盘",IF(Q463="B","条件较均衡，可作为备选","起订量或价格需要进一步确认"))</f>
        <v/>
      </c>
      <c r="T463" s="10" t="inlineStr">
        <is>
          <t>未联系</t>
        </is>
      </c>
      <c r="U463" s="10" t="inlineStr">
        <is>
          <t>虚构演示数据</t>
        </is>
      </c>
    </row>
    <row r="464" ht="21" customHeight="1">
      <c r="A464" s="10" t="inlineStr">
        <is>
          <t>GYS-0460</t>
        </is>
      </c>
      <c r="B464" s="10" t="inlineStr">
        <is>
          <t>广州健康用品供应链0460有限公司（演示）</t>
        </is>
      </c>
      <c r="C464" s="10" t="inlineStr">
        <is>
          <t>健康用品</t>
        </is>
      </c>
      <c r="D464" s="10" t="inlineStr">
        <is>
          <t>热敷眼罩</t>
        </is>
      </c>
      <c r="E464" s="10" t="inlineStr">
        <is>
          <t>广东广州</t>
        </is>
      </c>
      <c r="F464" s="10" t="inlineStr">
        <is>
          <t>中国制造网</t>
        </is>
      </c>
      <c r="G464" s="10" t="inlineStr">
        <is>
          <t>陈经理</t>
        </is>
      </c>
      <c r="H464" s="10" t="inlineStr">
        <is>
          <t>000-0000-0460</t>
        </is>
      </c>
      <c r="I464" s="10" t="inlineStr">
        <is>
          <t>DEMO_GYS_0460</t>
        </is>
      </c>
      <c r="J464" s="11" t="n">
        <v>2.8</v>
      </c>
      <c r="K464" s="11" t="n">
        <v>8.800000000000001</v>
      </c>
      <c r="L464" s="12" t="n">
        <v>100</v>
      </c>
      <c r="M464" s="10" t="inlineStr">
        <is>
          <t>否</t>
        </is>
      </c>
      <c r="N464" s="10" t="inlineStr">
        <is>
          <t>是</t>
        </is>
      </c>
      <c r="O464" s="10" t="inlineStr">
        <is>
          <t>supplier0460@example.com</t>
        </is>
      </c>
      <c r="P464" s="10" t="inlineStr">
        <is>
          <t>https://example.com/supplier/0460</t>
        </is>
      </c>
      <c r="Q464" s="10">
        <f>IF(R464&gt;=85,"A",IF(R464&gt;=70,"B","C"))</f>
        <v/>
      </c>
      <c r="R464" s="13">
        <f>MIN(100,50+IF(M464="是",10,0)+IF(N464="是",10,0)+IF(L464&lt;=100,10,IF(L464&lt;=300,5,0))+IF(J464&lt;=20,10,IF(J464&lt;=50,5,0))+IF(K464-J464&lt;=20,5,0)+IF(F464="企业官网",5,0))</f>
        <v/>
      </c>
      <c r="S464" s="10">
        <f>IF(Q464="A","价格与起订量有优势，建议优先询盘",IF(Q464="B","条件较均衡，可作为备选","起订量或价格需要进一步确认"))</f>
        <v/>
      </c>
      <c r="T464" s="10" t="inlineStr">
        <is>
          <t>未联系</t>
        </is>
      </c>
      <c r="U464" s="10" t="inlineStr">
        <is>
          <t>虚构演示数据</t>
        </is>
      </c>
    </row>
    <row r="465" ht="21" customHeight="1">
      <c r="A465" s="10" t="inlineStr">
        <is>
          <t>GYS-0461</t>
        </is>
      </c>
      <c r="B465" s="10" t="inlineStr">
        <is>
          <t>泉州服饰内衣供应链0461有限公司（演示）</t>
        </is>
      </c>
      <c r="C465" s="10" t="inlineStr">
        <is>
          <t>服饰内衣</t>
        </is>
      </c>
      <c r="D465" s="10" t="inlineStr">
        <is>
          <t>防滑袜</t>
        </is>
      </c>
      <c r="E465" s="10" t="inlineStr">
        <is>
          <t>福建泉州</t>
        </is>
      </c>
      <c r="F465" s="10" t="inlineStr">
        <is>
          <t>企业官网</t>
        </is>
      </c>
      <c r="G465" s="10" t="inlineStr">
        <is>
          <t>林经理</t>
        </is>
      </c>
      <c r="H465" s="10" t="inlineStr">
        <is>
          <t>000-0000-0461</t>
        </is>
      </c>
      <c r="I465" s="10" t="inlineStr">
        <is>
          <t>DEMO_GYS_0461</t>
        </is>
      </c>
      <c r="J465" s="11" t="n">
        <v>4.5</v>
      </c>
      <c r="K465" s="11" t="n">
        <v>11.6</v>
      </c>
      <c r="L465" s="12" t="n">
        <v>50</v>
      </c>
      <c r="M465" s="10" t="inlineStr">
        <is>
          <t>是</t>
        </is>
      </c>
      <c r="N465" s="10" t="inlineStr">
        <is>
          <t>是</t>
        </is>
      </c>
      <c r="O465" s="10" t="inlineStr">
        <is>
          <t>supplier0461@example.com</t>
        </is>
      </c>
      <c r="P465" s="10" t="inlineStr">
        <is>
          <t>https://example.com/supplier/0461</t>
        </is>
      </c>
      <c r="Q465" s="10">
        <f>IF(R465&gt;=85,"A",IF(R465&gt;=70,"B","C"))</f>
        <v/>
      </c>
      <c r="R465" s="13">
        <f>MIN(100,50+IF(M465="是",10,0)+IF(N465="是",10,0)+IF(L465&lt;=100,10,IF(L465&lt;=300,5,0))+IF(J465&lt;=20,10,IF(J465&lt;=50,5,0))+IF(K465-J465&lt;=20,5,0)+IF(F465="企业官网",5,0))</f>
        <v/>
      </c>
      <c r="S465" s="10">
        <f>IF(Q465="A","价格与起订量有优势，建议优先询盘",IF(Q465="B","条件较均衡，可作为备选","起订量或价格需要进一步确认"))</f>
        <v/>
      </c>
      <c r="T465" s="10" t="inlineStr">
        <is>
          <t>未联系</t>
        </is>
      </c>
      <c r="U465" s="10" t="inlineStr">
        <is>
          <t>虚构演示数据</t>
        </is>
      </c>
    </row>
    <row r="466" ht="21" customHeight="1">
      <c r="A466" s="10" t="inlineStr">
        <is>
          <t>GYS-0462</t>
        </is>
      </c>
      <c r="B466" s="10" t="inlineStr">
        <is>
          <t>南通家居日用供应链0462有限公司（演示）</t>
        </is>
      </c>
      <c r="C466" s="10" t="inlineStr">
        <is>
          <t>家居日用</t>
        </is>
      </c>
      <c r="D466" s="10" t="inlineStr">
        <is>
          <t>折叠收纳箱</t>
        </is>
      </c>
      <c r="E466" s="10" t="inlineStr">
        <is>
          <t>江苏南通</t>
        </is>
      </c>
      <c r="F466" s="10" t="inlineStr">
        <is>
          <t>义乌购</t>
        </is>
      </c>
      <c r="G466" s="10" t="inlineStr">
        <is>
          <t>王经理</t>
        </is>
      </c>
      <c r="H466" s="10" t="inlineStr">
        <is>
          <t>000-0000-0462</t>
        </is>
      </c>
      <c r="I466" s="10" t="inlineStr">
        <is>
          <t>DEMO_GYS_0462</t>
        </is>
      </c>
      <c r="J466" s="11" t="n">
        <v>6.2</v>
      </c>
      <c r="K466" s="11" t="n">
        <v>14.4</v>
      </c>
      <c r="L466" s="12" t="n">
        <v>20</v>
      </c>
      <c r="M466" s="10" t="inlineStr">
        <is>
          <t>是</t>
        </is>
      </c>
      <c r="N466" s="10" t="inlineStr">
        <is>
          <t>否</t>
        </is>
      </c>
      <c r="O466" s="10" t="inlineStr">
        <is>
          <t>supplier0462@example.com</t>
        </is>
      </c>
      <c r="P466" s="10" t="inlineStr">
        <is>
          <t>https://example.com/supplier/0462</t>
        </is>
      </c>
      <c r="Q466" s="10">
        <f>IF(R466&gt;=85,"A",IF(R466&gt;=70,"B","C"))</f>
        <v/>
      </c>
      <c r="R466" s="13">
        <f>MIN(100,50+IF(M466="是",10,0)+IF(N466="是",10,0)+IF(L466&lt;=100,10,IF(L466&lt;=300,5,0))+IF(J466&lt;=20,10,IF(J466&lt;=50,5,0))+IF(K466-J466&lt;=20,5,0)+IF(F466="企业官网",5,0))</f>
        <v/>
      </c>
      <c r="S466" s="10">
        <f>IF(Q466="A","价格与起订量有优势，建议优先询盘",IF(Q466="B","条件较均衡，可作为备选","起订量或价格需要进一步确认"))</f>
        <v/>
      </c>
      <c r="T466" s="10" t="inlineStr">
        <is>
          <t>未联系</t>
        </is>
      </c>
      <c r="U466" s="10" t="inlineStr">
        <is>
          <t>虚构演示数据</t>
        </is>
      </c>
    </row>
    <row r="467" ht="21" customHeight="1">
      <c r="A467" s="10" t="inlineStr">
        <is>
          <t>GYS-0463</t>
        </is>
      </c>
      <c r="B467" s="10" t="inlineStr">
        <is>
          <t>郑州个护清洁供应链0463有限公司（演示）</t>
        </is>
      </c>
      <c r="C467" s="10" t="inlineStr">
        <is>
          <t>个护清洁</t>
        </is>
      </c>
      <c r="D467" s="10" t="inlineStr">
        <is>
          <t>便携洗脸巾</t>
        </is>
      </c>
      <c r="E467" s="10" t="inlineStr">
        <is>
          <t>河南郑州</t>
        </is>
      </c>
      <c r="F467" s="10" t="inlineStr">
        <is>
          <t>慧聪网</t>
        </is>
      </c>
      <c r="G467" s="10" t="inlineStr">
        <is>
          <t>李经理</t>
        </is>
      </c>
      <c r="H467" s="10" t="inlineStr">
        <is>
          <t>000-0000-0463</t>
        </is>
      </c>
      <c r="I467" s="10" t="inlineStr">
        <is>
          <t>DEMO_GYS_0463</t>
        </is>
      </c>
      <c r="J467" s="11" t="n">
        <v>7.9</v>
      </c>
      <c r="K467" s="11" t="n">
        <v>17.2</v>
      </c>
      <c r="L467" s="12" t="n">
        <v>500</v>
      </c>
      <c r="M467" s="10" t="inlineStr">
        <is>
          <t>是</t>
        </is>
      </c>
      <c r="N467" s="10" t="inlineStr">
        <is>
          <t>是</t>
        </is>
      </c>
      <c r="O467" s="10" t="inlineStr">
        <is>
          <t>supplier0463@example.com</t>
        </is>
      </c>
      <c r="P467" s="10" t="inlineStr">
        <is>
          <t>https://example.com/supplier/0463</t>
        </is>
      </c>
      <c r="Q467" s="10">
        <f>IF(R467&gt;=85,"A",IF(R467&gt;=70,"B","C"))</f>
        <v/>
      </c>
      <c r="R467" s="13">
        <f>MIN(100,50+IF(M467="是",10,0)+IF(N467="是",10,0)+IF(L467&lt;=100,10,IF(L467&lt;=300,5,0))+IF(J467&lt;=20,10,IF(J467&lt;=50,5,0))+IF(K467-J467&lt;=20,5,0)+IF(F467="企业官网",5,0))</f>
        <v/>
      </c>
      <c r="S467" s="10">
        <f>IF(Q467="A","价格与起订量有优势，建议优先询盘",IF(Q467="B","条件较均衡，可作为备选","起订量或价格需要进一步确认"))</f>
        <v/>
      </c>
      <c r="T467" s="10" t="inlineStr">
        <is>
          <t>未联系</t>
        </is>
      </c>
      <c r="U467" s="10" t="inlineStr">
        <is>
          <t>虚构演示数据</t>
        </is>
      </c>
    </row>
    <row r="468" ht="21" customHeight="1">
      <c r="A468" s="10" t="inlineStr">
        <is>
          <t>GYS-0464</t>
        </is>
      </c>
      <c r="B468" s="10" t="inlineStr">
        <is>
          <t>宁波厨房用品供应链0464有限公司（演示）</t>
        </is>
      </c>
      <c r="C468" s="10" t="inlineStr">
        <is>
          <t>厨房用品</t>
        </is>
      </c>
      <c r="D468" s="10" t="inlineStr">
        <is>
          <t>硅胶保鲜盒</t>
        </is>
      </c>
      <c r="E468" s="10" t="inlineStr">
        <is>
          <t>浙江宁波</t>
        </is>
      </c>
      <c r="F468" s="10" t="inlineStr">
        <is>
          <t>1688</t>
        </is>
      </c>
      <c r="G468" s="10" t="inlineStr">
        <is>
          <t>张经理</t>
        </is>
      </c>
      <c r="H468" s="10" t="inlineStr">
        <is>
          <t>000-0000-0464</t>
        </is>
      </c>
      <c r="I468" s="10" t="inlineStr">
        <is>
          <t>DEMO_GYS_0464</t>
        </is>
      </c>
      <c r="J468" s="11" t="n">
        <v>9.6</v>
      </c>
      <c r="K468" s="11" t="n">
        <v>20</v>
      </c>
      <c r="L468" s="12" t="n">
        <v>300</v>
      </c>
      <c r="M468" s="10" t="inlineStr">
        <is>
          <t>否</t>
        </is>
      </c>
      <c r="N468" s="10" t="inlineStr">
        <is>
          <t>是</t>
        </is>
      </c>
      <c r="O468" s="10" t="inlineStr">
        <is>
          <t>supplier0464@example.com</t>
        </is>
      </c>
      <c r="P468" s="10" t="inlineStr">
        <is>
          <t>https://example.com/supplier/0464</t>
        </is>
      </c>
      <c r="Q468" s="10">
        <f>IF(R468&gt;=85,"A",IF(R468&gt;=70,"B","C"))</f>
        <v/>
      </c>
      <c r="R468" s="13">
        <f>MIN(100,50+IF(M468="是",10,0)+IF(N468="是",10,0)+IF(L468&lt;=100,10,IF(L468&lt;=300,5,0))+IF(J468&lt;=20,10,IF(J468&lt;=50,5,0))+IF(K468-J468&lt;=20,5,0)+IF(F468="企业官网",5,0))</f>
        <v/>
      </c>
      <c r="S468" s="10">
        <f>IF(Q468="A","价格与起订量有优势，建议优先询盘",IF(Q468="B","条件较均衡，可作为备选","起订量或价格需要进一步确认"))</f>
        <v/>
      </c>
      <c r="T468" s="10" t="inlineStr">
        <is>
          <t>未联系</t>
        </is>
      </c>
      <c r="U468" s="10" t="inlineStr">
        <is>
          <t>虚构演示数据</t>
        </is>
      </c>
    </row>
    <row r="469" ht="21" customHeight="1">
      <c r="A469" s="10" t="inlineStr">
        <is>
          <t>GYS-0465</t>
        </is>
      </c>
      <c r="B469" s="10" t="inlineStr">
        <is>
          <t>深圳数码配件供应链0465有限公司（演示）</t>
        </is>
      </c>
      <c r="C469" s="10" t="inlineStr">
        <is>
          <t>数码配件</t>
        </is>
      </c>
      <c r="D469" s="10" t="inlineStr">
        <is>
          <t>磁吸手机支架</t>
        </is>
      </c>
      <c r="E469" s="10" t="inlineStr">
        <is>
          <t>广东深圳</t>
        </is>
      </c>
      <c r="F469" s="10" t="inlineStr">
        <is>
          <t>中国制造网</t>
        </is>
      </c>
      <c r="G469" s="10" t="inlineStr">
        <is>
          <t>刘经理</t>
        </is>
      </c>
      <c r="H469" s="10" t="inlineStr">
        <is>
          <t>000-0000-0465</t>
        </is>
      </c>
      <c r="I469" s="10" t="inlineStr">
        <is>
          <t>DEMO_GYS_0465</t>
        </is>
      </c>
      <c r="J469" s="11" t="n">
        <v>11.3</v>
      </c>
      <c r="K469" s="11" t="n">
        <v>22.8</v>
      </c>
      <c r="L469" s="12" t="n">
        <v>200</v>
      </c>
      <c r="M469" s="10" t="inlineStr">
        <is>
          <t>是</t>
        </is>
      </c>
      <c r="N469" s="10" t="inlineStr">
        <is>
          <t>否</t>
        </is>
      </c>
      <c r="O469" s="10" t="inlineStr">
        <is>
          <t>supplier0465@example.com</t>
        </is>
      </c>
      <c r="P469" s="10" t="inlineStr">
        <is>
          <t>https://example.com/supplier/0465</t>
        </is>
      </c>
      <c r="Q469" s="10">
        <f>IF(R469&gt;=85,"A",IF(R469&gt;=70,"B","C"))</f>
        <v/>
      </c>
      <c r="R469" s="13">
        <f>MIN(100,50+IF(M469="是",10,0)+IF(N469="是",10,0)+IF(L469&lt;=100,10,IF(L469&lt;=300,5,0))+IF(J469&lt;=20,10,IF(J469&lt;=50,5,0))+IF(K469-J469&lt;=20,5,0)+IF(F469="企业官网",5,0))</f>
        <v/>
      </c>
      <c r="S469" s="10">
        <f>IF(Q469="A","价格与起订量有优势，建议优先询盘",IF(Q469="B","条件较均衡，可作为备选","起订量或价格需要进一步确认"))</f>
        <v/>
      </c>
      <c r="T469" s="10" t="inlineStr">
        <is>
          <t>未联系</t>
        </is>
      </c>
      <c r="U469" s="10" t="inlineStr">
        <is>
          <t>虚构演示数据</t>
        </is>
      </c>
    </row>
    <row r="470" ht="21" customHeight="1">
      <c r="A470" s="10" t="inlineStr">
        <is>
          <t>GYS-0466</t>
        </is>
      </c>
      <c r="B470" s="10" t="inlineStr">
        <is>
          <t>佛山宠物用品供应链0466有限公司（演示）</t>
        </is>
      </c>
      <c r="C470" s="10" t="inlineStr">
        <is>
          <t>宠物用品</t>
        </is>
      </c>
      <c r="D470" s="10" t="inlineStr">
        <is>
          <t>宠物清洁手套</t>
        </is>
      </c>
      <c r="E470" s="10" t="inlineStr">
        <is>
          <t>广东佛山</t>
        </is>
      </c>
      <c r="F470" s="10" t="inlineStr">
        <is>
          <t>企业官网</t>
        </is>
      </c>
      <c r="G470" s="10" t="inlineStr">
        <is>
          <t>黄经理</t>
        </is>
      </c>
      <c r="H470" s="10" t="inlineStr">
        <is>
          <t>000-0000-0466</t>
        </is>
      </c>
      <c r="I470" s="10" t="inlineStr">
        <is>
          <t>DEMO_GYS_0466</t>
        </is>
      </c>
      <c r="J470" s="11" t="n">
        <v>13</v>
      </c>
      <c r="K470" s="11" t="n">
        <v>25.6</v>
      </c>
      <c r="L470" s="12" t="n">
        <v>100</v>
      </c>
      <c r="M470" s="10" t="inlineStr">
        <is>
          <t>是</t>
        </is>
      </c>
      <c r="N470" s="10" t="inlineStr">
        <is>
          <t>是</t>
        </is>
      </c>
      <c r="O470" s="10" t="inlineStr">
        <is>
          <t>supplier0466@example.com</t>
        </is>
      </c>
      <c r="P470" s="10" t="inlineStr">
        <is>
          <t>https://example.com/supplier/0466</t>
        </is>
      </c>
      <c r="Q470" s="10">
        <f>IF(R470&gt;=85,"A",IF(R470&gt;=70,"B","C"))</f>
        <v/>
      </c>
      <c r="R470" s="13">
        <f>MIN(100,50+IF(M470="是",10,0)+IF(N470="是",10,0)+IF(L470&lt;=100,10,IF(L470&lt;=300,5,0))+IF(J470&lt;=20,10,IF(J470&lt;=50,5,0))+IF(K470-J470&lt;=20,5,0)+IF(F470="企业官网",5,0))</f>
        <v/>
      </c>
      <c r="S470" s="10">
        <f>IF(Q470="A","价格与起订量有优势，建议优先询盘",IF(Q470="B","条件较均衡，可作为备选","起订量或价格需要进一步确认"))</f>
        <v/>
      </c>
      <c r="T470" s="10" t="inlineStr">
        <is>
          <t>未联系</t>
        </is>
      </c>
      <c r="U470" s="10" t="inlineStr">
        <is>
          <t>虚构演示数据</t>
        </is>
      </c>
    </row>
    <row r="471" ht="21" customHeight="1">
      <c r="A471" s="10" t="inlineStr">
        <is>
          <t>GYS-0467</t>
        </is>
      </c>
      <c r="B471" s="10" t="inlineStr">
        <is>
          <t>苏州母婴用品供应链0467有限公司（演示）</t>
        </is>
      </c>
      <c r="C471" s="10" t="inlineStr">
        <is>
          <t>母婴用品</t>
        </is>
      </c>
      <c r="D471" s="10" t="inlineStr">
        <is>
          <t>婴儿防撞条</t>
        </is>
      </c>
      <c r="E471" s="10" t="inlineStr">
        <is>
          <t>江苏苏州</t>
        </is>
      </c>
      <c r="F471" s="10" t="inlineStr">
        <is>
          <t>义乌购</t>
        </is>
      </c>
      <c r="G471" s="10" t="inlineStr">
        <is>
          <t>赵经理</t>
        </is>
      </c>
      <c r="H471" s="10" t="inlineStr">
        <is>
          <t>000-0000-0467</t>
        </is>
      </c>
      <c r="I471" s="10" t="inlineStr">
        <is>
          <t>DEMO_GYS_0467</t>
        </is>
      </c>
      <c r="J471" s="11" t="n">
        <v>14.7</v>
      </c>
      <c r="K471" s="11" t="n">
        <v>28.4</v>
      </c>
      <c r="L471" s="12" t="n">
        <v>50</v>
      </c>
      <c r="M471" s="10" t="inlineStr">
        <is>
          <t>是</t>
        </is>
      </c>
      <c r="N471" s="10" t="inlineStr">
        <is>
          <t>是</t>
        </is>
      </c>
      <c r="O471" s="10" t="inlineStr">
        <is>
          <t>supplier0467@example.com</t>
        </is>
      </c>
      <c r="P471" s="10" t="inlineStr">
        <is>
          <t>https://example.com/supplier/0467</t>
        </is>
      </c>
      <c r="Q471" s="10">
        <f>IF(R471&gt;=85,"A",IF(R471&gt;=70,"B","C"))</f>
        <v/>
      </c>
      <c r="R471" s="13">
        <f>MIN(100,50+IF(M471="是",10,0)+IF(N471="是",10,0)+IF(L471&lt;=100,10,IF(L471&lt;=300,5,0))+IF(J471&lt;=20,10,IF(J471&lt;=50,5,0))+IF(K471-J471&lt;=20,5,0)+IF(F471="企业官网",5,0))</f>
        <v/>
      </c>
      <c r="S471" s="10">
        <f>IF(Q471="A","价格与起订量有优势，建议优先询盘",IF(Q471="B","条件较均衡，可作为备选","起订量或价格需要进一步确认"))</f>
        <v/>
      </c>
      <c r="T471" s="10" t="inlineStr">
        <is>
          <t>未联系</t>
        </is>
      </c>
      <c r="U471" s="10" t="inlineStr">
        <is>
          <t>虚构演示数据</t>
        </is>
      </c>
    </row>
    <row r="472" ht="21" customHeight="1">
      <c r="A472" s="10" t="inlineStr">
        <is>
          <t>GYS-0468</t>
        </is>
      </c>
      <c r="B472" s="10" t="inlineStr">
        <is>
          <t>白沟运动户外供应链0468有限公司（演示）</t>
        </is>
      </c>
      <c r="C472" s="10" t="inlineStr">
        <is>
          <t>运动户外</t>
        </is>
      </c>
      <c r="D472" s="10" t="inlineStr">
        <is>
          <t>弹力训练带</t>
        </is>
      </c>
      <c r="E472" s="10" t="inlineStr">
        <is>
          <t>河北白沟</t>
        </is>
      </c>
      <c r="F472" s="10" t="inlineStr">
        <is>
          <t>慧聪网</t>
        </is>
      </c>
      <c r="G472" s="10" t="inlineStr">
        <is>
          <t>周经理</t>
        </is>
      </c>
      <c r="H472" s="10" t="inlineStr">
        <is>
          <t>000-0000-0468</t>
        </is>
      </c>
      <c r="I472" s="10" t="inlineStr">
        <is>
          <t>DEMO_GYS_0468</t>
        </is>
      </c>
      <c r="J472" s="11" t="n">
        <v>16.4</v>
      </c>
      <c r="K472" s="11" t="n">
        <v>31.2</v>
      </c>
      <c r="L472" s="12" t="n">
        <v>20</v>
      </c>
      <c r="M472" s="10" t="inlineStr">
        <is>
          <t>否</t>
        </is>
      </c>
      <c r="N472" s="10" t="inlineStr">
        <is>
          <t>否</t>
        </is>
      </c>
      <c r="O472" s="10" t="inlineStr">
        <is>
          <t>supplier0468@example.com</t>
        </is>
      </c>
      <c r="P472" s="10" t="inlineStr">
        <is>
          <t>https://example.com/supplier/0468</t>
        </is>
      </c>
      <c r="Q472" s="10">
        <f>IF(R472&gt;=85,"A",IF(R472&gt;=70,"B","C"))</f>
        <v/>
      </c>
      <c r="R472" s="13">
        <f>MIN(100,50+IF(M472="是",10,0)+IF(N472="是",10,0)+IF(L472&lt;=100,10,IF(L472&lt;=300,5,0))+IF(J472&lt;=20,10,IF(J472&lt;=50,5,0))+IF(K472-J472&lt;=20,5,0)+IF(F472="企业官网",5,0))</f>
        <v/>
      </c>
      <c r="S472" s="10">
        <f>IF(Q472="A","价格与起订量有优势，建议优先询盘",IF(Q472="B","条件较均衡，可作为备选","起订量或价格需要进一步确认"))</f>
        <v/>
      </c>
      <c r="T472" s="10" t="inlineStr">
        <is>
          <t>未联系</t>
        </is>
      </c>
      <c r="U472" s="10" t="inlineStr">
        <is>
          <t>虚构演示数据</t>
        </is>
      </c>
    </row>
    <row r="473" ht="21" customHeight="1">
      <c r="A473" s="10" t="inlineStr">
        <is>
          <t>GYS-0469</t>
        </is>
      </c>
      <c r="B473" s="10" t="inlineStr">
        <is>
          <t>义乌办公文具供应链0469有限公司（演示）</t>
        </is>
      </c>
      <c r="C473" s="10" t="inlineStr">
        <is>
          <t>办公文具</t>
        </is>
      </c>
      <c r="D473" s="10" t="inlineStr">
        <is>
          <t>桌面收纳架</t>
        </is>
      </c>
      <c r="E473" s="10" t="inlineStr">
        <is>
          <t>浙江义乌</t>
        </is>
      </c>
      <c r="F473" s="10" t="inlineStr">
        <is>
          <t>1688</t>
        </is>
      </c>
      <c r="G473" s="10" t="inlineStr">
        <is>
          <t>吴经理</t>
        </is>
      </c>
      <c r="H473" s="10" t="inlineStr">
        <is>
          <t>000-0000-0469</t>
        </is>
      </c>
      <c r="I473" s="10" t="inlineStr">
        <is>
          <t>DEMO_GYS_0469</t>
        </is>
      </c>
      <c r="J473" s="11" t="n">
        <v>18.1</v>
      </c>
      <c r="K473" s="11" t="n">
        <v>34</v>
      </c>
      <c r="L473" s="12" t="n">
        <v>500</v>
      </c>
      <c r="M473" s="10" t="inlineStr">
        <is>
          <t>是</t>
        </is>
      </c>
      <c r="N473" s="10" t="inlineStr">
        <is>
          <t>是</t>
        </is>
      </c>
      <c r="O473" s="10" t="inlineStr">
        <is>
          <t>supplier0469@example.com</t>
        </is>
      </c>
      <c r="P473" s="10" t="inlineStr">
        <is>
          <t>https://example.com/supplier/0469</t>
        </is>
      </c>
      <c r="Q473" s="10">
        <f>IF(R473&gt;=85,"A",IF(R473&gt;=70,"B","C"))</f>
        <v/>
      </c>
      <c r="R473" s="13">
        <f>MIN(100,50+IF(M473="是",10,0)+IF(N473="是",10,0)+IF(L473&lt;=100,10,IF(L473&lt;=300,5,0))+IF(J473&lt;=20,10,IF(J473&lt;=50,5,0))+IF(K473-J473&lt;=20,5,0)+IF(F473="企业官网",5,0))</f>
        <v/>
      </c>
      <c r="S473" s="10">
        <f>IF(Q473="A","价格与起订量有优势，建议优先询盘",IF(Q473="B","条件较均衡，可作为备选","起订量或价格需要进一步确认"))</f>
        <v/>
      </c>
      <c r="T473" s="10" t="inlineStr">
        <is>
          <t>未联系</t>
        </is>
      </c>
      <c r="U473" s="10" t="inlineStr">
        <is>
          <t>虚构演示数据</t>
        </is>
      </c>
    </row>
    <row r="474" ht="21" customHeight="1">
      <c r="A474" s="10" t="inlineStr">
        <is>
          <t>GYS-0470</t>
        </is>
      </c>
      <c r="B474" s="10" t="inlineStr">
        <is>
          <t>台州汽车用品供应链0470有限公司（演示）</t>
        </is>
      </c>
      <c r="C474" s="10" t="inlineStr">
        <is>
          <t>汽车用品</t>
        </is>
      </c>
      <c r="D474" s="10" t="inlineStr">
        <is>
          <t>车载香薰</t>
        </is>
      </c>
      <c r="E474" s="10" t="inlineStr">
        <is>
          <t>浙江台州</t>
        </is>
      </c>
      <c r="F474" s="10" t="inlineStr">
        <is>
          <t>中国制造网</t>
        </is>
      </c>
      <c r="G474" s="10" t="inlineStr">
        <is>
          <t>陈经理</t>
        </is>
      </c>
      <c r="H474" s="10" t="inlineStr">
        <is>
          <t>000-0000-0470</t>
        </is>
      </c>
      <c r="I474" s="10" t="inlineStr">
        <is>
          <t>DEMO_GYS_0470</t>
        </is>
      </c>
      <c r="J474" s="11" t="n">
        <v>19.8</v>
      </c>
      <c r="K474" s="11" t="n">
        <v>36.8</v>
      </c>
      <c r="L474" s="12" t="n">
        <v>300</v>
      </c>
      <c r="M474" s="10" t="inlineStr">
        <is>
          <t>是</t>
        </is>
      </c>
      <c r="N474" s="10" t="inlineStr">
        <is>
          <t>是</t>
        </is>
      </c>
      <c r="O474" s="10" t="inlineStr">
        <is>
          <t>supplier0470@example.com</t>
        </is>
      </c>
      <c r="P474" s="10" t="inlineStr">
        <is>
          <t>https://example.com/supplier/0470</t>
        </is>
      </c>
      <c r="Q474" s="10">
        <f>IF(R474&gt;=85,"A",IF(R474&gt;=70,"B","C"))</f>
        <v/>
      </c>
      <c r="R474" s="13">
        <f>MIN(100,50+IF(M474="是",10,0)+IF(N474="是",10,0)+IF(L474&lt;=100,10,IF(L474&lt;=300,5,0))+IF(J474&lt;=20,10,IF(J474&lt;=50,5,0))+IF(K474-J474&lt;=20,5,0)+IF(F474="企业官网",5,0))</f>
        <v/>
      </c>
      <c r="S474" s="10">
        <f>IF(Q474="A","价格与起订量有优势，建议优先询盘",IF(Q474="B","条件较均衡，可作为备选","起订量或价格需要进一步确认"))</f>
        <v/>
      </c>
      <c r="T474" s="10" t="inlineStr">
        <is>
          <t>未联系</t>
        </is>
      </c>
      <c r="U474" s="10" t="inlineStr">
        <is>
          <t>虚构演示数据</t>
        </is>
      </c>
    </row>
    <row r="475" ht="21" customHeight="1">
      <c r="A475" s="10" t="inlineStr">
        <is>
          <t>GYS-0471</t>
        </is>
      </c>
      <c r="B475" s="10" t="inlineStr">
        <is>
          <t>东莞美容工具供应链0471有限公司（演示）</t>
        </is>
      </c>
      <c r="C475" s="10" t="inlineStr">
        <is>
          <t>美容工具</t>
        </is>
      </c>
      <c r="D475" s="10" t="inlineStr">
        <is>
          <t>便携化妆镜</t>
        </is>
      </c>
      <c r="E475" s="10" t="inlineStr">
        <is>
          <t>广东东莞</t>
        </is>
      </c>
      <c r="F475" s="10" t="inlineStr">
        <is>
          <t>企业官网</t>
        </is>
      </c>
      <c r="G475" s="10" t="inlineStr">
        <is>
          <t>林经理</t>
        </is>
      </c>
      <c r="H475" s="10" t="inlineStr">
        <is>
          <t>000-0000-0471</t>
        </is>
      </c>
      <c r="I475" s="10" t="inlineStr">
        <is>
          <t>DEMO_GYS_0471</t>
        </is>
      </c>
      <c r="J475" s="11" t="n">
        <v>21.5</v>
      </c>
      <c r="K475" s="11" t="n">
        <v>39.6</v>
      </c>
      <c r="L475" s="12" t="n">
        <v>200</v>
      </c>
      <c r="M475" s="10" t="inlineStr">
        <is>
          <t>是</t>
        </is>
      </c>
      <c r="N475" s="10" t="inlineStr">
        <is>
          <t>否</t>
        </is>
      </c>
      <c r="O475" s="10" t="inlineStr">
        <is>
          <t>supplier0471@example.com</t>
        </is>
      </c>
      <c r="P475" s="10" t="inlineStr">
        <is>
          <t>https://example.com/supplier/0471</t>
        </is>
      </c>
      <c r="Q475" s="10">
        <f>IF(R475&gt;=85,"A",IF(R475&gt;=70,"B","C"))</f>
        <v/>
      </c>
      <c r="R475" s="13">
        <f>MIN(100,50+IF(M475="是",10,0)+IF(N475="是",10,0)+IF(L475&lt;=100,10,IF(L475&lt;=300,5,0))+IF(J475&lt;=20,10,IF(J475&lt;=50,5,0))+IF(K475-J475&lt;=20,5,0)+IF(F475="企业官网",5,0))</f>
        <v/>
      </c>
      <c r="S475" s="10">
        <f>IF(Q475="A","价格与起订量有优势，建议优先询盘",IF(Q475="B","条件较均衡，可作为备选","起订量或价格需要进一步确认"))</f>
        <v/>
      </c>
      <c r="T475" s="10" t="inlineStr">
        <is>
          <t>未联系</t>
        </is>
      </c>
      <c r="U475" s="10" t="inlineStr">
        <is>
          <t>虚构演示数据</t>
        </is>
      </c>
    </row>
    <row r="476" ht="21" customHeight="1">
      <c r="A476" s="10" t="inlineStr">
        <is>
          <t>GYS-0472</t>
        </is>
      </c>
      <c r="B476" s="10" t="inlineStr">
        <is>
          <t>厦门旅行用品供应链0472有限公司（演示）</t>
        </is>
      </c>
      <c r="C476" s="10" t="inlineStr">
        <is>
          <t>旅行用品</t>
        </is>
      </c>
      <c r="D476" s="10" t="inlineStr">
        <is>
          <t>压缩收纳袋</t>
        </is>
      </c>
      <c r="E476" s="10" t="inlineStr">
        <is>
          <t>福建厦门</t>
        </is>
      </c>
      <c r="F476" s="10" t="inlineStr">
        <is>
          <t>义乌购</t>
        </is>
      </c>
      <c r="G476" s="10" t="inlineStr">
        <is>
          <t>王经理</t>
        </is>
      </c>
      <c r="H476" s="10" t="inlineStr">
        <is>
          <t>000-0000-0472</t>
        </is>
      </c>
      <c r="I476" s="10" t="inlineStr">
        <is>
          <t>DEMO_GYS_0472</t>
        </is>
      </c>
      <c r="J476" s="11" t="n">
        <v>23.2</v>
      </c>
      <c r="K476" s="11" t="n">
        <v>42.4</v>
      </c>
      <c r="L476" s="12" t="n">
        <v>100</v>
      </c>
      <c r="M476" s="10" t="inlineStr">
        <is>
          <t>否</t>
        </is>
      </c>
      <c r="N476" s="10" t="inlineStr">
        <is>
          <t>是</t>
        </is>
      </c>
      <c r="O476" s="10" t="inlineStr">
        <is>
          <t>supplier0472@example.com</t>
        </is>
      </c>
      <c r="P476" s="10" t="inlineStr">
        <is>
          <t>https://example.com/supplier/0472</t>
        </is>
      </c>
      <c r="Q476" s="10">
        <f>IF(R476&gt;=85,"A",IF(R476&gt;=70,"B","C"))</f>
        <v/>
      </c>
      <c r="R476" s="13">
        <f>MIN(100,50+IF(M476="是",10,0)+IF(N476="是",10,0)+IF(L476&lt;=100,10,IF(L476&lt;=300,5,0))+IF(J476&lt;=20,10,IF(J476&lt;=50,5,0))+IF(K476-J476&lt;=20,5,0)+IF(F476="企业官网",5,0))</f>
        <v/>
      </c>
      <c r="S476" s="10">
        <f>IF(Q476="A","价格与起订量有优势，建议优先询盘",IF(Q476="B","条件较均衡，可作为备选","起订量或价格需要进一步确认"))</f>
        <v/>
      </c>
      <c r="T476" s="10" t="inlineStr">
        <is>
          <t>未联系</t>
        </is>
      </c>
      <c r="U476" s="10" t="inlineStr">
        <is>
          <t>虚构演示数据</t>
        </is>
      </c>
    </row>
    <row r="477" ht="21" customHeight="1">
      <c r="A477" s="10" t="inlineStr">
        <is>
          <t>GYS-0473</t>
        </is>
      </c>
      <c r="B477" s="10" t="inlineStr">
        <is>
          <t>临沂清洁工具供应链0473有限公司（演示）</t>
        </is>
      </c>
      <c r="C477" s="10" t="inlineStr">
        <is>
          <t>清洁工具</t>
        </is>
      </c>
      <c r="D477" s="10" t="inlineStr">
        <is>
          <t>免手洗拖把</t>
        </is>
      </c>
      <c r="E477" s="10" t="inlineStr">
        <is>
          <t>山东临沂</t>
        </is>
      </c>
      <c r="F477" s="10" t="inlineStr">
        <is>
          <t>慧聪网</t>
        </is>
      </c>
      <c r="G477" s="10" t="inlineStr">
        <is>
          <t>李经理</t>
        </is>
      </c>
      <c r="H477" s="10" t="inlineStr">
        <is>
          <t>000-0000-0473</t>
        </is>
      </c>
      <c r="I477" s="10" t="inlineStr">
        <is>
          <t>DEMO_GYS_0473</t>
        </is>
      </c>
      <c r="J477" s="11" t="n">
        <v>24.9</v>
      </c>
      <c r="K477" s="11" t="n">
        <v>45.2</v>
      </c>
      <c r="L477" s="12" t="n">
        <v>50</v>
      </c>
      <c r="M477" s="10" t="inlineStr">
        <is>
          <t>是</t>
        </is>
      </c>
      <c r="N477" s="10" t="inlineStr">
        <is>
          <t>是</t>
        </is>
      </c>
      <c r="O477" s="10" t="inlineStr">
        <is>
          <t>supplier0473@example.com</t>
        </is>
      </c>
      <c r="P477" s="10" t="inlineStr">
        <is>
          <t>https://example.com/supplier/0473</t>
        </is>
      </c>
      <c r="Q477" s="10">
        <f>IF(R477&gt;=85,"A",IF(R477&gt;=70,"B","C"))</f>
        <v/>
      </c>
      <c r="R477" s="13">
        <f>MIN(100,50+IF(M477="是",10,0)+IF(N477="是",10,0)+IF(L477&lt;=100,10,IF(L477&lt;=300,5,0))+IF(J477&lt;=20,10,IF(J477&lt;=50,5,0))+IF(K477-J477&lt;=20,5,0)+IF(F477="企业官网",5,0))</f>
        <v/>
      </c>
      <c r="S477" s="10">
        <f>IF(Q477="A","价格与起订量有优势，建议优先询盘",IF(Q477="B","条件较均衡，可作为备选","起订量或价格需要进一步确认"))</f>
        <v/>
      </c>
      <c r="T477" s="10" t="inlineStr">
        <is>
          <t>未联系</t>
        </is>
      </c>
      <c r="U477" s="10" t="inlineStr">
        <is>
          <t>虚构演示数据</t>
        </is>
      </c>
    </row>
    <row r="478" ht="21" customHeight="1">
      <c r="A478" s="10" t="inlineStr">
        <is>
          <t>GYS-0474</t>
        </is>
      </c>
      <c r="B478" s="10" t="inlineStr">
        <is>
          <t>南昌小家电供应链0474有限公司（演示）</t>
        </is>
      </c>
      <c r="C478" s="10" t="inlineStr">
        <is>
          <t>小家电</t>
        </is>
      </c>
      <c r="D478" s="10" t="inlineStr">
        <is>
          <t>迷你加湿器</t>
        </is>
      </c>
      <c r="E478" s="10" t="inlineStr">
        <is>
          <t>江西南昌</t>
        </is>
      </c>
      <c r="F478" s="10" t="inlineStr">
        <is>
          <t>1688</t>
        </is>
      </c>
      <c r="G478" s="10" t="inlineStr">
        <is>
          <t>张经理</t>
        </is>
      </c>
      <c r="H478" s="10" t="inlineStr">
        <is>
          <t>000-0000-0474</t>
        </is>
      </c>
      <c r="I478" s="10" t="inlineStr">
        <is>
          <t>DEMO_GYS_0474</t>
        </is>
      </c>
      <c r="J478" s="11" t="n">
        <v>26.6</v>
      </c>
      <c r="K478" s="11" t="n">
        <v>48</v>
      </c>
      <c r="L478" s="12" t="n">
        <v>20</v>
      </c>
      <c r="M478" s="10" t="inlineStr">
        <is>
          <t>是</t>
        </is>
      </c>
      <c r="N478" s="10" t="inlineStr">
        <is>
          <t>否</t>
        </is>
      </c>
      <c r="O478" s="10" t="inlineStr">
        <is>
          <t>supplier0474@example.com</t>
        </is>
      </c>
      <c r="P478" s="10" t="inlineStr">
        <is>
          <t>https://example.com/supplier/0474</t>
        </is>
      </c>
      <c r="Q478" s="10">
        <f>IF(R478&gt;=85,"A",IF(R478&gt;=70,"B","C"))</f>
        <v/>
      </c>
      <c r="R478" s="13">
        <f>MIN(100,50+IF(M478="是",10,0)+IF(N478="是",10,0)+IF(L478&lt;=100,10,IF(L478&lt;=300,5,0))+IF(J478&lt;=20,10,IF(J478&lt;=50,5,0))+IF(K478-J478&lt;=20,5,0)+IF(F478="企业官网",5,0))</f>
        <v/>
      </c>
      <c r="S478" s="10">
        <f>IF(Q478="A","价格与起订量有优势，建议优先询盘",IF(Q478="B","条件较均衡，可作为备选","起订量或价格需要进一步确认"))</f>
        <v/>
      </c>
      <c r="T478" s="10" t="inlineStr">
        <is>
          <t>未联系</t>
        </is>
      </c>
      <c r="U478" s="10" t="inlineStr">
        <is>
          <t>虚构演示数据</t>
        </is>
      </c>
    </row>
    <row r="479" ht="21" customHeight="1">
      <c r="A479" s="10" t="inlineStr">
        <is>
          <t>GYS-0475</t>
        </is>
      </c>
      <c r="B479" s="10" t="inlineStr">
        <is>
          <t>温州礼品包装供应链0475有限公司（演示）</t>
        </is>
      </c>
      <c r="C479" s="10" t="inlineStr">
        <is>
          <t>礼品包装</t>
        </is>
      </c>
      <c r="D479" s="10" t="inlineStr">
        <is>
          <t>节日礼盒</t>
        </is>
      </c>
      <c r="E479" s="10" t="inlineStr">
        <is>
          <t>浙江温州</t>
        </is>
      </c>
      <c r="F479" s="10" t="inlineStr">
        <is>
          <t>中国制造网</t>
        </is>
      </c>
      <c r="G479" s="10" t="inlineStr">
        <is>
          <t>刘经理</t>
        </is>
      </c>
      <c r="H479" s="10" t="inlineStr">
        <is>
          <t>000-0000-0475</t>
        </is>
      </c>
      <c r="I479" s="10" t="inlineStr">
        <is>
          <t>DEMO_GYS_0475</t>
        </is>
      </c>
      <c r="J479" s="11" t="n">
        <v>28.3</v>
      </c>
      <c r="K479" s="11" t="n">
        <v>32.8</v>
      </c>
      <c r="L479" s="12" t="n">
        <v>500</v>
      </c>
      <c r="M479" s="10" t="inlineStr">
        <is>
          <t>是</t>
        </is>
      </c>
      <c r="N479" s="10" t="inlineStr">
        <is>
          <t>是</t>
        </is>
      </c>
      <c r="O479" s="10" t="inlineStr">
        <is>
          <t>supplier0475@example.com</t>
        </is>
      </c>
      <c r="P479" s="10" t="inlineStr">
        <is>
          <t>https://example.com/supplier/0475</t>
        </is>
      </c>
      <c r="Q479" s="10">
        <f>IF(R479&gt;=85,"A",IF(R479&gt;=70,"B","C"))</f>
        <v/>
      </c>
      <c r="R479" s="13">
        <f>MIN(100,50+IF(M479="是",10,0)+IF(N479="是",10,0)+IF(L479&lt;=100,10,IF(L479&lt;=300,5,0))+IF(J479&lt;=20,10,IF(J479&lt;=50,5,0))+IF(K479-J479&lt;=20,5,0)+IF(F479="企业官网",5,0))</f>
        <v/>
      </c>
      <c r="S479" s="10">
        <f>IF(Q479="A","价格与起订量有优势，建议优先询盘",IF(Q479="B","条件较均衡，可作为备选","起订量或价格需要进一步确认"))</f>
        <v/>
      </c>
      <c r="T479" s="10" t="inlineStr">
        <is>
          <t>未联系</t>
        </is>
      </c>
      <c r="U479" s="10" t="inlineStr">
        <is>
          <t>虚构演示数据</t>
        </is>
      </c>
    </row>
    <row r="480" ht="21" customHeight="1">
      <c r="A480" s="10" t="inlineStr">
        <is>
          <t>GYS-0476</t>
        </is>
      </c>
      <c r="B480" s="10" t="inlineStr">
        <is>
          <t>广州五金工具供应链0476有限公司（演示）</t>
        </is>
      </c>
      <c r="C480" s="10" t="inlineStr">
        <is>
          <t>五金工具</t>
        </is>
      </c>
      <c r="D480" s="10" t="inlineStr">
        <is>
          <t>多功能螺丝刀</t>
        </is>
      </c>
      <c r="E480" s="10" t="inlineStr">
        <is>
          <t>广东广州</t>
        </is>
      </c>
      <c r="F480" s="10" t="inlineStr">
        <is>
          <t>企业官网</t>
        </is>
      </c>
      <c r="G480" s="10" t="inlineStr">
        <is>
          <t>黄经理</t>
        </is>
      </c>
      <c r="H480" s="10" t="inlineStr">
        <is>
          <t>000-0000-0476</t>
        </is>
      </c>
      <c r="I480" s="10" t="inlineStr">
        <is>
          <t>DEMO_GYS_0476</t>
        </is>
      </c>
      <c r="J480" s="11" t="n">
        <v>30</v>
      </c>
      <c r="K480" s="11" t="n">
        <v>35.6</v>
      </c>
      <c r="L480" s="12" t="n">
        <v>300</v>
      </c>
      <c r="M480" s="10" t="inlineStr">
        <is>
          <t>否</t>
        </is>
      </c>
      <c r="N480" s="10" t="inlineStr">
        <is>
          <t>是</t>
        </is>
      </c>
      <c r="O480" s="10" t="inlineStr">
        <is>
          <t>supplier0476@example.com</t>
        </is>
      </c>
      <c r="P480" s="10" t="inlineStr">
        <is>
          <t>https://example.com/supplier/0476</t>
        </is>
      </c>
      <c r="Q480" s="10">
        <f>IF(R480&gt;=85,"A",IF(R480&gt;=70,"B","C"))</f>
        <v/>
      </c>
      <c r="R480" s="13">
        <f>MIN(100,50+IF(M480="是",10,0)+IF(N480="是",10,0)+IF(L480&lt;=100,10,IF(L480&lt;=300,5,0))+IF(J480&lt;=20,10,IF(J480&lt;=50,5,0))+IF(K480-J480&lt;=20,5,0)+IF(F480="企业官网",5,0))</f>
        <v/>
      </c>
      <c r="S480" s="10">
        <f>IF(Q480="A","价格与起订量有优势，建议优先询盘",IF(Q480="B","条件较均衡，可作为备选","起订量或价格需要进一步确认"))</f>
        <v/>
      </c>
      <c r="T480" s="10" t="inlineStr">
        <is>
          <t>未联系</t>
        </is>
      </c>
      <c r="U480" s="10" t="inlineStr">
        <is>
          <t>虚构演示数据</t>
        </is>
      </c>
    </row>
    <row r="481" ht="21" customHeight="1">
      <c r="A481" s="10" t="inlineStr">
        <is>
          <t>GYS-0477</t>
        </is>
      </c>
      <c r="B481" s="10" t="inlineStr">
        <is>
          <t>泉州鞋靴配件供应链0477有限公司（演示）</t>
        </is>
      </c>
      <c r="C481" s="10" t="inlineStr">
        <is>
          <t>鞋靴配件</t>
        </is>
      </c>
      <c r="D481" s="10" t="inlineStr">
        <is>
          <t>防磨脚贴</t>
        </is>
      </c>
      <c r="E481" s="10" t="inlineStr">
        <is>
          <t>福建泉州</t>
        </is>
      </c>
      <c r="F481" s="10" t="inlineStr">
        <is>
          <t>义乌购</t>
        </is>
      </c>
      <c r="G481" s="10" t="inlineStr">
        <is>
          <t>赵经理</t>
        </is>
      </c>
      <c r="H481" s="10" t="inlineStr">
        <is>
          <t>000-0000-0477</t>
        </is>
      </c>
      <c r="I481" s="10" t="inlineStr">
        <is>
          <t>DEMO_GYS_0477</t>
        </is>
      </c>
      <c r="J481" s="11" t="n">
        <v>31.7</v>
      </c>
      <c r="K481" s="11" t="n">
        <v>38.4</v>
      </c>
      <c r="L481" s="12" t="n">
        <v>200</v>
      </c>
      <c r="M481" s="10" t="inlineStr">
        <is>
          <t>是</t>
        </is>
      </c>
      <c r="N481" s="10" t="inlineStr">
        <is>
          <t>否</t>
        </is>
      </c>
      <c r="O481" s="10" t="inlineStr">
        <is>
          <t>supplier0477@example.com</t>
        </is>
      </c>
      <c r="P481" s="10" t="inlineStr">
        <is>
          <t>https://example.com/supplier/0477</t>
        </is>
      </c>
      <c r="Q481" s="10">
        <f>IF(R481&gt;=85,"A",IF(R481&gt;=70,"B","C"))</f>
        <v/>
      </c>
      <c r="R481" s="13">
        <f>MIN(100,50+IF(M481="是",10,0)+IF(N481="是",10,0)+IF(L481&lt;=100,10,IF(L481&lt;=300,5,0))+IF(J481&lt;=20,10,IF(J481&lt;=50,5,0))+IF(K481-J481&lt;=20,5,0)+IF(F481="企业官网",5,0))</f>
        <v/>
      </c>
      <c r="S481" s="10">
        <f>IF(Q481="A","价格与起订量有优势，建议优先询盘",IF(Q481="B","条件较均衡，可作为备选","起订量或价格需要进一步确认"))</f>
        <v/>
      </c>
      <c r="T481" s="10" t="inlineStr">
        <is>
          <t>未联系</t>
        </is>
      </c>
      <c r="U481" s="10" t="inlineStr">
        <is>
          <t>虚构演示数据</t>
        </is>
      </c>
    </row>
    <row r="482" ht="21" customHeight="1">
      <c r="A482" s="10" t="inlineStr">
        <is>
          <t>GYS-0478</t>
        </is>
      </c>
      <c r="B482" s="10" t="inlineStr">
        <is>
          <t>南通食品包装供应链0478有限公司（演示）</t>
        </is>
      </c>
      <c r="C482" s="10" t="inlineStr">
        <is>
          <t>食品包装</t>
        </is>
      </c>
      <c r="D482" s="10" t="inlineStr">
        <is>
          <t>密封包装袋</t>
        </is>
      </c>
      <c r="E482" s="10" t="inlineStr">
        <is>
          <t>江苏南通</t>
        </is>
      </c>
      <c r="F482" s="10" t="inlineStr">
        <is>
          <t>慧聪网</t>
        </is>
      </c>
      <c r="G482" s="10" t="inlineStr">
        <is>
          <t>周经理</t>
        </is>
      </c>
      <c r="H482" s="10" t="inlineStr">
        <is>
          <t>000-0000-0478</t>
        </is>
      </c>
      <c r="I482" s="10" t="inlineStr">
        <is>
          <t>DEMO_GYS_0478</t>
        </is>
      </c>
      <c r="J482" s="11" t="n">
        <v>33.4</v>
      </c>
      <c r="K482" s="11" t="n">
        <v>41.2</v>
      </c>
      <c r="L482" s="12" t="n">
        <v>100</v>
      </c>
      <c r="M482" s="10" t="inlineStr">
        <is>
          <t>是</t>
        </is>
      </c>
      <c r="N482" s="10" t="inlineStr">
        <is>
          <t>是</t>
        </is>
      </c>
      <c r="O482" s="10" t="inlineStr">
        <is>
          <t>supplier0478@example.com</t>
        </is>
      </c>
      <c r="P482" s="10" t="inlineStr">
        <is>
          <t>https://example.com/supplier/0478</t>
        </is>
      </c>
      <c r="Q482" s="10">
        <f>IF(R482&gt;=85,"A",IF(R482&gt;=70,"B","C"))</f>
        <v/>
      </c>
      <c r="R482" s="13">
        <f>MIN(100,50+IF(M482="是",10,0)+IF(N482="是",10,0)+IF(L482&lt;=100,10,IF(L482&lt;=300,5,0))+IF(J482&lt;=20,10,IF(J482&lt;=50,5,0))+IF(K482-J482&lt;=20,5,0)+IF(F482="企业官网",5,0))</f>
        <v/>
      </c>
      <c r="S482" s="10">
        <f>IF(Q482="A","价格与起订量有优势，建议优先询盘",IF(Q482="B","条件较均衡，可作为备选","起订量或价格需要进一步确认"))</f>
        <v/>
      </c>
      <c r="T482" s="10" t="inlineStr">
        <is>
          <t>未联系</t>
        </is>
      </c>
      <c r="U482" s="10" t="inlineStr">
        <is>
          <t>虚构演示数据</t>
        </is>
      </c>
    </row>
    <row r="483" ht="21" customHeight="1">
      <c r="A483" s="10" t="inlineStr">
        <is>
          <t>GYS-0479</t>
        </is>
      </c>
      <c r="B483" s="10" t="inlineStr">
        <is>
          <t>郑州户外照明供应链0479有限公司（演示）</t>
        </is>
      </c>
      <c r="C483" s="10" t="inlineStr">
        <is>
          <t>户外照明</t>
        </is>
      </c>
      <c r="D483" s="10" t="inlineStr">
        <is>
          <t>便携露营灯</t>
        </is>
      </c>
      <c r="E483" s="10" t="inlineStr">
        <is>
          <t>河南郑州</t>
        </is>
      </c>
      <c r="F483" s="10" t="inlineStr">
        <is>
          <t>1688</t>
        </is>
      </c>
      <c r="G483" s="10" t="inlineStr">
        <is>
          <t>吴经理</t>
        </is>
      </c>
      <c r="H483" s="10" t="inlineStr">
        <is>
          <t>000-0000-0479</t>
        </is>
      </c>
      <c r="I483" s="10" t="inlineStr">
        <is>
          <t>DEMO_GYS_0479</t>
        </is>
      </c>
      <c r="J483" s="11" t="n">
        <v>35.1</v>
      </c>
      <c r="K483" s="11" t="n">
        <v>44</v>
      </c>
      <c r="L483" s="12" t="n">
        <v>50</v>
      </c>
      <c r="M483" s="10" t="inlineStr">
        <is>
          <t>是</t>
        </is>
      </c>
      <c r="N483" s="10" t="inlineStr">
        <is>
          <t>是</t>
        </is>
      </c>
      <c r="O483" s="10" t="inlineStr">
        <is>
          <t>supplier0479@example.com</t>
        </is>
      </c>
      <c r="P483" s="10" t="inlineStr">
        <is>
          <t>https://example.com/supplier/0479</t>
        </is>
      </c>
      <c r="Q483" s="10">
        <f>IF(R483&gt;=85,"A",IF(R483&gt;=70,"B","C"))</f>
        <v/>
      </c>
      <c r="R483" s="13">
        <f>MIN(100,50+IF(M483="是",10,0)+IF(N483="是",10,0)+IF(L483&lt;=100,10,IF(L483&lt;=300,5,0))+IF(J483&lt;=20,10,IF(J483&lt;=50,5,0))+IF(K483-J483&lt;=20,5,0)+IF(F483="企业官网",5,0))</f>
        <v/>
      </c>
      <c r="S483" s="10">
        <f>IF(Q483="A","价格与起订量有优势，建议优先询盘",IF(Q483="B","条件较均衡，可作为备选","起订量或价格需要进一步确认"))</f>
        <v/>
      </c>
      <c r="T483" s="10" t="inlineStr">
        <is>
          <t>未联系</t>
        </is>
      </c>
      <c r="U483" s="10" t="inlineStr">
        <is>
          <t>虚构演示数据</t>
        </is>
      </c>
    </row>
    <row r="484" ht="21" customHeight="1">
      <c r="A484" s="10" t="inlineStr">
        <is>
          <t>GYS-0480</t>
        </is>
      </c>
      <c r="B484" s="10" t="inlineStr">
        <is>
          <t>宁波健康用品供应链0480有限公司（演示）</t>
        </is>
      </c>
      <c r="C484" s="10" t="inlineStr">
        <is>
          <t>健康用品</t>
        </is>
      </c>
      <c r="D484" s="10" t="inlineStr">
        <is>
          <t>热敷眼罩</t>
        </is>
      </c>
      <c r="E484" s="10" t="inlineStr">
        <is>
          <t>浙江宁波</t>
        </is>
      </c>
      <c r="F484" s="10" t="inlineStr">
        <is>
          <t>中国制造网</t>
        </is>
      </c>
      <c r="G484" s="10" t="inlineStr">
        <is>
          <t>陈经理</t>
        </is>
      </c>
      <c r="H484" s="10" t="inlineStr">
        <is>
          <t>000-0000-0480</t>
        </is>
      </c>
      <c r="I484" s="10" t="inlineStr">
        <is>
          <t>DEMO_GYS_0480</t>
        </is>
      </c>
      <c r="J484" s="11" t="n">
        <v>36.8</v>
      </c>
      <c r="K484" s="11" t="n">
        <v>46.8</v>
      </c>
      <c r="L484" s="12" t="n">
        <v>20</v>
      </c>
      <c r="M484" s="10" t="inlineStr">
        <is>
          <t>否</t>
        </is>
      </c>
      <c r="N484" s="10" t="inlineStr">
        <is>
          <t>否</t>
        </is>
      </c>
      <c r="O484" s="10" t="inlineStr">
        <is>
          <t>supplier0480@example.com</t>
        </is>
      </c>
      <c r="P484" s="10" t="inlineStr">
        <is>
          <t>https://example.com/supplier/0480</t>
        </is>
      </c>
      <c r="Q484" s="10">
        <f>IF(R484&gt;=85,"A",IF(R484&gt;=70,"B","C"))</f>
        <v/>
      </c>
      <c r="R484" s="13">
        <f>MIN(100,50+IF(M484="是",10,0)+IF(N484="是",10,0)+IF(L484&lt;=100,10,IF(L484&lt;=300,5,0))+IF(J484&lt;=20,10,IF(J484&lt;=50,5,0))+IF(K484-J484&lt;=20,5,0)+IF(F484="企业官网",5,0))</f>
        <v/>
      </c>
      <c r="S484" s="10">
        <f>IF(Q484="A","价格与起订量有优势，建议优先询盘",IF(Q484="B","条件较均衡，可作为备选","起订量或价格需要进一步确认"))</f>
        <v/>
      </c>
      <c r="T484" s="10" t="inlineStr">
        <is>
          <t>未联系</t>
        </is>
      </c>
      <c r="U484" s="10" t="inlineStr">
        <is>
          <t>虚构演示数据</t>
        </is>
      </c>
    </row>
    <row r="485" ht="21" customHeight="1">
      <c r="A485" s="10" t="inlineStr">
        <is>
          <t>GYS-0481</t>
        </is>
      </c>
      <c r="B485" s="10" t="inlineStr">
        <is>
          <t>深圳服饰内衣供应链0481有限公司（演示）</t>
        </is>
      </c>
      <c r="C485" s="10" t="inlineStr">
        <is>
          <t>服饰内衣</t>
        </is>
      </c>
      <c r="D485" s="10" t="inlineStr">
        <is>
          <t>防滑袜</t>
        </is>
      </c>
      <c r="E485" s="10" t="inlineStr">
        <is>
          <t>广东深圳</t>
        </is>
      </c>
      <c r="F485" s="10" t="inlineStr">
        <is>
          <t>企业官网</t>
        </is>
      </c>
      <c r="G485" s="10" t="inlineStr">
        <is>
          <t>林经理</t>
        </is>
      </c>
      <c r="H485" s="10" t="inlineStr">
        <is>
          <t>000-0000-0481</t>
        </is>
      </c>
      <c r="I485" s="10" t="inlineStr">
        <is>
          <t>DEMO_GYS_0481</t>
        </is>
      </c>
      <c r="J485" s="11" t="n">
        <v>38.5</v>
      </c>
      <c r="K485" s="11" t="n">
        <v>49.6</v>
      </c>
      <c r="L485" s="12" t="n">
        <v>500</v>
      </c>
      <c r="M485" s="10" t="inlineStr">
        <is>
          <t>是</t>
        </is>
      </c>
      <c r="N485" s="10" t="inlineStr">
        <is>
          <t>是</t>
        </is>
      </c>
      <c r="O485" s="10" t="inlineStr">
        <is>
          <t>supplier0481@example.com</t>
        </is>
      </c>
      <c r="P485" s="10" t="inlineStr">
        <is>
          <t>https://example.com/supplier/0481</t>
        </is>
      </c>
      <c r="Q485" s="10">
        <f>IF(R485&gt;=85,"A",IF(R485&gt;=70,"B","C"))</f>
        <v/>
      </c>
      <c r="R485" s="13">
        <f>MIN(100,50+IF(M485="是",10,0)+IF(N485="是",10,0)+IF(L485&lt;=100,10,IF(L485&lt;=300,5,0))+IF(J485&lt;=20,10,IF(J485&lt;=50,5,0))+IF(K485-J485&lt;=20,5,0)+IF(F485="企业官网",5,0))</f>
        <v/>
      </c>
      <c r="S485" s="10">
        <f>IF(Q485="A","价格与起订量有优势，建议优先询盘",IF(Q485="B","条件较均衡，可作为备选","起订量或价格需要进一步确认"))</f>
        <v/>
      </c>
      <c r="T485" s="10" t="inlineStr">
        <is>
          <t>未联系</t>
        </is>
      </c>
      <c r="U485" s="10" t="inlineStr">
        <is>
          <t>虚构演示数据</t>
        </is>
      </c>
    </row>
    <row r="486" ht="21" customHeight="1">
      <c r="A486" s="10" t="inlineStr">
        <is>
          <t>GYS-0482</t>
        </is>
      </c>
      <c r="B486" s="10" t="inlineStr">
        <is>
          <t>佛山家居日用供应链0482有限公司（演示）</t>
        </is>
      </c>
      <c r="C486" s="10" t="inlineStr">
        <is>
          <t>家居日用</t>
        </is>
      </c>
      <c r="D486" s="10" t="inlineStr">
        <is>
          <t>折叠收纳箱</t>
        </is>
      </c>
      <c r="E486" s="10" t="inlineStr">
        <is>
          <t>广东佛山</t>
        </is>
      </c>
      <c r="F486" s="10" t="inlineStr">
        <is>
          <t>义乌购</t>
        </is>
      </c>
      <c r="G486" s="10" t="inlineStr">
        <is>
          <t>王经理</t>
        </is>
      </c>
      <c r="H486" s="10" t="inlineStr">
        <is>
          <t>000-0000-0482</t>
        </is>
      </c>
      <c r="I486" s="10" t="inlineStr">
        <is>
          <t>DEMO_GYS_0482</t>
        </is>
      </c>
      <c r="J486" s="11" t="n">
        <v>40.2</v>
      </c>
      <c r="K486" s="11" t="n">
        <v>52.4</v>
      </c>
      <c r="L486" s="12" t="n">
        <v>300</v>
      </c>
      <c r="M486" s="10" t="inlineStr">
        <is>
          <t>是</t>
        </is>
      </c>
      <c r="N486" s="10" t="inlineStr">
        <is>
          <t>是</t>
        </is>
      </c>
      <c r="O486" s="10" t="inlineStr">
        <is>
          <t>supplier0482@example.com</t>
        </is>
      </c>
      <c r="P486" s="10" t="inlineStr">
        <is>
          <t>https://example.com/supplier/0482</t>
        </is>
      </c>
      <c r="Q486" s="10">
        <f>IF(R486&gt;=85,"A",IF(R486&gt;=70,"B","C"))</f>
        <v/>
      </c>
      <c r="R486" s="13">
        <f>MIN(100,50+IF(M486="是",10,0)+IF(N486="是",10,0)+IF(L486&lt;=100,10,IF(L486&lt;=300,5,0))+IF(J486&lt;=20,10,IF(J486&lt;=50,5,0))+IF(K486-J486&lt;=20,5,0)+IF(F486="企业官网",5,0))</f>
        <v/>
      </c>
      <c r="S486" s="10">
        <f>IF(Q486="A","价格与起订量有优势，建议优先询盘",IF(Q486="B","条件较均衡，可作为备选","起订量或价格需要进一步确认"))</f>
        <v/>
      </c>
      <c r="T486" s="10" t="inlineStr">
        <is>
          <t>未联系</t>
        </is>
      </c>
      <c r="U486" s="10" t="inlineStr">
        <is>
          <t>虚构演示数据</t>
        </is>
      </c>
    </row>
    <row r="487" ht="21" customHeight="1">
      <c r="A487" s="10" t="inlineStr">
        <is>
          <t>GYS-0483</t>
        </is>
      </c>
      <c r="B487" s="10" t="inlineStr">
        <is>
          <t>苏州个护清洁供应链0483有限公司（演示）</t>
        </is>
      </c>
      <c r="C487" s="10" t="inlineStr">
        <is>
          <t>个护清洁</t>
        </is>
      </c>
      <c r="D487" s="10" t="inlineStr">
        <is>
          <t>便携洗脸巾</t>
        </is>
      </c>
      <c r="E487" s="10" t="inlineStr">
        <is>
          <t>江苏苏州</t>
        </is>
      </c>
      <c r="F487" s="10" t="inlineStr">
        <is>
          <t>慧聪网</t>
        </is>
      </c>
      <c r="G487" s="10" t="inlineStr">
        <is>
          <t>李经理</t>
        </is>
      </c>
      <c r="H487" s="10" t="inlineStr">
        <is>
          <t>000-0000-0483</t>
        </is>
      </c>
      <c r="I487" s="10" t="inlineStr">
        <is>
          <t>DEMO_GYS_0483</t>
        </is>
      </c>
      <c r="J487" s="11" t="n">
        <v>41.9</v>
      </c>
      <c r="K487" s="11" t="n">
        <v>55.2</v>
      </c>
      <c r="L487" s="12" t="n">
        <v>200</v>
      </c>
      <c r="M487" s="10" t="inlineStr">
        <is>
          <t>是</t>
        </is>
      </c>
      <c r="N487" s="10" t="inlineStr">
        <is>
          <t>否</t>
        </is>
      </c>
      <c r="O487" s="10" t="inlineStr">
        <is>
          <t>supplier0483@example.com</t>
        </is>
      </c>
      <c r="P487" s="10" t="inlineStr">
        <is>
          <t>https://example.com/supplier/0483</t>
        </is>
      </c>
      <c r="Q487" s="10">
        <f>IF(R487&gt;=85,"A",IF(R487&gt;=70,"B","C"))</f>
        <v/>
      </c>
      <c r="R487" s="13">
        <f>MIN(100,50+IF(M487="是",10,0)+IF(N487="是",10,0)+IF(L487&lt;=100,10,IF(L487&lt;=300,5,0))+IF(J487&lt;=20,10,IF(J487&lt;=50,5,0))+IF(K487-J487&lt;=20,5,0)+IF(F487="企业官网",5,0))</f>
        <v/>
      </c>
      <c r="S487" s="10">
        <f>IF(Q487="A","价格与起订量有优势，建议优先询盘",IF(Q487="B","条件较均衡，可作为备选","起订量或价格需要进一步确认"))</f>
        <v/>
      </c>
      <c r="T487" s="10" t="inlineStr">
        <is>
          <t>未联系</t>
        </is>
      </c>
      <c r="U487" s="10" t="inlineStr">
        <is>
          <t>虚构演示数据</t>
        </is>
      </c>
    </row>
    <row r="488" ht="21" customHeight="1">
      <c r="A488" s="10" t="inlineStr">
        <is>
          <t>GYS-0484</t>
        </is>
      </c>
      <c r="B488" s="10" t="inlineStr">
        <is>
          <t>白沟厨房用品供应链0484有限公司（演示）</t>
        </is>
      </c>
      <c r="C488" s="10" t="inlineStr">
        <is>
          <t>厨房用品</t>
        </is>
      </c>
      <c r="D488" s="10" t="inlineStr">
        <is>
          <t>硅胶保鲜盒</t>
        </is>
      </c>
      <c r="E488" s="10" t="inlineStr">
        <is>
          <t>河北白沟</t>
        </is>
      </c>
      <c r="F488" s="10" t="inlineStr">
        <is>
          <t>1688</t>
        </is>
      </c>
      <c r="G488" s="10" t="inlineStr">
        <is>
          <t>张经理</t>
        </is>
      </c>
      <c r="H488" s="10" t="inlineStr">
        <is>
          <t>000-0000-0484</t>
        </is>
      </c>
      <c r="I488" s="10" t="inlineStr">
        <is>
          <t>DEMO_GYS_0484</t>
        </is>
      </c>
      <c r="J488" s="11" t="n">
        <v>43.6</v>
      </c>
      <c r="K488" s="11" t="n">
        <v>58</v>
      </c>
      <c r="L488" s="12" t="n">
        <v>100</v>
      </c>
      <c r="M488" s="10" t="inlineStr">
        <is>
          <t>否</t>
        </is>
      </c>
      <c r="N488" s="10" t="inlineStr">
        <is>
          <t>是</t>
        </is>
      </c>
      <c r="O488" s="10" t="inlineStr">
        <is>
          <t>supplier0484@example.com</t>
        </is>
      </c>
      <c r="P488" s="10" t="inlineStr">
        <is>
          <t>https://example.com/supplier/0484</t>
        </is>
      </c>
      <c r="Q488" s="10">
        <f>IF(R488&gt;=85,"A",IF(R488&gt;=70,"B","C"))</f>
        <v/>
      </c>
      <c r="R488" s="13">
        <f>MIN(100,50+IF(M488="是",10,0)+IF(N488="是",10,0)+IF(L488&lt;=100,10,IF(L488&lt;=300,5,0))+IF(J488&lt;=20,10,IF(J488&lt;=50,5,0))+IF(K488-J488&lt;=20,5,0)+IF(F488="企业官网",5,0))</f>
        <v/>
      </c>
      <c r="S488" s="10">
        <f>IF(Q488="A","价格与起订量有优势，建议优先询盘",IF(Q488="B","条件较均衡，可作为备选","起订量或价格需要进一步确认"))</f>
        <v/>
      </c>
      <c r="T488" s="10" t="inlineStr">
        <is>
          <t>未联系</t>
        </is>
      </c>
      <c r="U488" s="10" t="inlineStr">
        <is>
          <t>虚构演示数据</t>
        </is>
      </c>
    </row>
    <row r="489" ht="21" customHeight="1">
      <c r="A489" s="10" t="inlineStr">
        <is>
          <t>GYS-0485</t>
        </is>
      </c>
      <c r="B489" s="10" t="inlineStr">
        <is>
          <t>义乌数码配件供应链0485有限公司（演示）</t>
        </is>
      </c>
      <c r="C489" s="10" t="inlineStr">
        <is>
          <t>数码配件</t>
        </is>
      </c>
      <c r="D489" s="10" t="inlineStr">
        <is>
          <t>磁吸手机支架</t>
        </is>
      </c>
      <c r="E489" s="10" t="inlineStr">
        <is>
          <t>浙江义乌</t>
        </is>
      </c>
      <c r="F489" s="10" t="inlineStr">
        <is>
          <t>中国制造网</t>
        </is>
      </c>
      <c r="G489" s="10" t="inlineStr">
        <is>
          <t>刘经理</t>
        </is>
      </c>
      <c r="H489" s="10" t="inlineStr">
        <is>
          <t>000-0000-0485</t>
        </is>
      </c>
      <c r="I489" s="10" t="inlineStr">
        <is>
          <t>DEMO_GYS_0485</t>
        </is>
      </c>
      <c r="J489" s="11" t="n">
        <v>45.3</v>
      </c>
      <c r="K489" s="11" t="n">
        <v>60.8</v>
      </c>
      <c r="L489" s="12" t="n">
        <v>50</v>
      </c>
      <c r="M489" s="10" t="inlineStr">
        <is>
          <t>是</t>
        </is>
      </c>
      <c r="N489" s="10" t="inlineStr">
        <is>
          <t>是</t>
        </is>
      </c>
      <c r="O489" s="10" t="inlineStr">
        <is>
          <t>supplier0485@example.com</t>
        </is>
      </c>
      <c r="P489" s="10" t="inlineStr">
        <is>
          <t>https://example.com/supplier/0485</t>
        </is>
      </c>
      <c r="Q489" s="10">
        <f>IF(R489&gt;=85,"A",IF(R489&gt;=70,"B","C"))</f>
        <v/>
      </c>
      <c r="R489" s="13">
        <f>MIN(100,50+IF(M489="是",10,0)+IF(N489="是",10,0)+IF(L489&lt;=100,10,IF(L489&lt;=300,5,0))+IF(J489&lt;=20,10,IF(J489&lt;=50,5,0))+IF(K489-J489&lt;=20,5,0)+IF(F489="企业官网",5,0))</f>
        <v/>
      </c>
      <c r="S489" s="10">
        <f>IF(Q489="A","价格与起订量有优势，建议优先询盘",IF(Q489="B","条件较均衡，可作为备选","起订量或价格需要进一步确认"))</f>
        <v/>
      </c>
      <c r="T489" s="10" t="inlineStr">
        <is>
          <t>未联系</t>
        </is>
      </c>
      <c r="U489" s="10" t="inlineStr">
        <is>
          <t>虚构演示数据</t>
        </is>
      </c>
    </row>
    <row r="490" ht="21" customHeight="1">
      <c r="A490" s="10" t="inlineStr">
        <is>
          <t>GYS-0486</t>
        </is>
      </c>
      <c r="B490" s="10" t="inlineStr">
        <is>
          <t>台州宠物用品供应链0486有限公司（演示）</t>
        </is>
      </c>
      <c r="C490" s="10" t="inlineStr">
        <is>
          <t>宠物用品</t>
        </is>
      </c>
      <c r="D490" s="10" t="inlineStr">
        <is>
          <t>宠物清洁手套</t>
        </is>
      </c>
      <c r="E490" s="10" t="inlineStr">
        <is>
          <t>浙江台州</t>
        </is>
      </c>
      <c r="F490" s="10" t="inlineStr">
        <is>
          <t>企业官网</t>
        </is>
      </c>
      <c r="G490" s="10" t="inlineStr">
        <is>
          <t>黄经理</t>
        </is>
      </c>
      <c r="H490" s="10" t="inlineStr">
        <is>
          <t>000-0000-0486</t>
        </is>
      </c>
      <c r="I490" s="10" t="inlineStr">
        <is>
          <t>DEMO_GYS_0486</t>
        </is>
      </c>
      <c r="J490" s="11" t="n">
        <v>47</v>
      </c>
      <c r="K490" s="11" t="n">
        <v>63.6</v>
      </c>
      <c r="L490" s="12" t="n">
        <v>20</v>
      </c>
      <c r="M490" s="10" t="inlineStr">
        <is>
          <t>是</t>
        </is>
      </c>
      <c r="N490" s="10" t="inlineStr">
        <is>
          <t>否</t>
        </is>
      </c>
      <c r="O490" s="10" t="inlineStr">
        <is>
          <t>supplier0486@example.com</t>
        </is>
      </c>
      <c r="P490" s="10" t="inlineStr">
        <is>
          <t>https://example.com/supplier/0486</t>
        </is>
      </c>
      <c r="Q490" s="10">
        <f>IF(R490&gt;=85,"A",IF(R490&gt;=70,"B","C"))</f>
        <v/>
      </c>
      <c r="R490" s="13">
        <f>MIN(100,50+IF(M490="是",10,0)+IF(N490="是",10,0)+IF(L490&lt;=100,10,IF(L490&lt;=300,5,0))+IF(J490&lt;=20,10,IF(J490&lt;=50,5,0))+IF(K490-J490&lt;=20,5,0)+IF(F490="企业官网",5,0))</f>
        <v/>
      </c>
      <c r="S490" s="10">
        <f>IF(Q490="A","价格与起订量有优势，建议优先询盘",IF(Q490="B","条件较均衡，可作为备选","起订量或价格需要进一步确认"))</f>
        <v/>
      </c>
      <c r="T490" s="10" t="inlineStr">
        <is>
          <t>未联系</t>
        </is>
      </c>
      <c r="U490" s="10" t="inlineStr">
        <is>
          <t>虚构演示数据</t>
        </is>
      </c>
    </row>
    <row r="491" ht="21" customHeight="1">
      <c r="A491" s="10" t="inlineStr">
        <is>
          <t>GYS-0487</t>
        </is>
      </c>
      <c r="B491" s="10" t="inlineStr">
        <is>
          <t>东莞母婴用品供应链0487有限公司（演示）</t>
        </is>
      </c>
      <c r="C491" s="10" t="inlineStr">
        <is>
          <t>母婴用品</t>
        </is>
      </c>
      <c r="D491" s="10" t="inlineStr">
        <is>
          <t>婴儿防撞条</t>
        </is>
      </c>
      <c r="E491" s="10" t="inlineStr">
        <is>
          <t>广东东莞</t>
        </is>
      </c>
      <c r="F491" s="10" t="inlineStr">
        <is>
          <t>义乌购</t>
        </is>
      </c>
      <c r="G491" s="10" t="inlineStr">
        <is>
          <t>赵经理</t>
        </is>
      </c>
      <c r="H491" s="10" t="inlineStr">
        <is>
          <t>000-0000-0487</t>
        </is>
      </c>
      <c r="I491" s="10" t="inlineStr">
        <is>
          <t>DEMO_GYS_0487</t>
        </is>
      </c>
      <c r="J491" s="11" t="n">
        <v>48.7</v>
      </c>
      <c r="K491" s="11" t="n">
        <v>66.40000000000001</v>
      </c>
      <c r="L491" s="12" t="n">
        <v>500</v>
      </c>
      <c r="M491" s="10" t="inlineStr">
        <is>
          <t>是</t>
        </is>
      </c>
      <c r="N491" s="10" t="inlineStr">
        <is>
          <t>是</t>
        </is>
      </c>
      <c r="O491" s="10" t="inlineStr">
        <is>
          <t>supplier0487@example.com</t>
        </is>
      </c>
      <c r="P491" s="10" t="inlineStr">
        <is>
          <t>https://example.com/supplier/0487</t>
        </is>
      </c>
      <c r="Q491" s="10">
        <f>IF(R491&gt;=85,"A",IF(R491&gt;=70,"B","C"))</f>
        <v/>
      </c>
      <c r="R491" s="13">
        <f>MIN(100,50+IF(M491="是",10,0)+IF(N491="是",10,0)+IF(L491&lt;=100,10,IF(L491&lt;=300,5,0))+IF(J491&lt;=20,10,IF(J491&lt;=50,5,0))+IF(K491-J491&lt;=20,5,0)+IF(F491="企业官网",5,0))</f>
        <v/>
      </c>
      <c r="S491" s="10">
        <f>IF(Q491="A","价格与起订量有优势，建议优先询盘",IF(Q491="B","条件较均衡，可作为备选","起订量或价格需要进一步确认"))</f>
        <v/>
      </c>
      <c r="T491" s="10" t="inlineStr">
        <is>
          <t>未联系</t>
        </is>
      </c>
      <c r="U491" s="10" t="inlineStr">
        <is>
          <t>虚构演示数据</t>
        </is>
      </c>
    </row>
    <row r="492" ht="21" customHeight="1">
      <c r="A492" s="10" t="inlineStr">
        <is>
          <t>GYS-0488</t>
        </is>
      </c>
      <c r="B492" s="10" t="inlineStr">
        <is>
          <t>厦门运动户外供应链0488有限公司（演示）</t>
        </is>
      </c>
      <c r="C492" s="10" t="inlineStr">
        <is>
          <t>运动户外</t>
        </is>
      </c>
      <c r="D492" s="10" t="inlineStr">
        <is>
          <t>弹力训练带</t>
        </is>
      </c>
      <c r="E492" s="10" t="inlineStr">
        <is>
          <t>福建厦门</t>
        </is>
      </c>
      <c r="F492" s="10" t="inlineStr">
        <is>
          <t>慧聪网</t>
        </is>
      </c>
      <c r="G492" s="10" t="inlineStr">
        <is>
          <t>周经理</t>
        </is>
      </c>
      <c r="H492" s="10" t="inlineStr">
        <is>
          <t>000-0000-0488</t>
        </is>
      </c>
      <c r="I492" s="10" t="inlineStr">
        <is>
          <t>DEMO_GYS_0488</t>
        </is>
      </c>
      <c r="J492" s="11" t="n">
        <v>4.4</v>
      </c>
      <c r="K492" s="11" t="n">
        <v>23.2</v>
      </c>
      <c r="L492" s="12" t="n">
        <v>300</v>
      </c>
      <c r="M492" s="10" t="inlineStr">
        <is>
          <t>否</t>
        </is>
      </c>
      <c r="N492" s="10" t="inlineStr">
        <is>
          <t>是</t>
        </is>
      </c>
      <c r="O492" s="10" t="inlineStr">
        <is>
          <t>supplier0488@example.com</t>
        </is>
      </c>
      <c r="P492" s="10" t="inlineStr">
        <is>
          <t>https://example.com/supplier/0488</t>
        </is>
      </c>
      <c r="Q492" s="10">
        <f>IF(R492&gt;=85,"A",IF(R492&gt;=70,"B","C"))</f>
        <v/>
      </c>
      <c r="R492" s="13">
        <f>MIN(100,50+IF(M492="是",10,0)+IF(N492="是",10,0)+IF(L492&lt;=100,10,IF(L492&lt;=300,5,0))+IF(J492&lt;=20,10,IF(J492&lt;=50,5,0))+IF(K492-J492&lt;=20,5,0)+IF(F492="企业官网",5,0))</f>
        <v/>
      </c>
      <c r="S492" s="10">
        <f>IF(Q492="A","价格与起订量有优势，建议优先询盘",IF(Q492="B","条件较均衡，可作为备选","起订量或价格需要进一步确认"))</f>
        <v/>
      </c>
      <c r="T492" s="10" t="inlineStr">
        <is>
          <t>未联系</t>
        </is>
      </c>
      <c r="U492" s="10" t="inlineStr">
        <is>
          <t>虚构演示数据</t>
        </is>
      </c>
    </row>
    <row r="493" ht="21" customHeight="1">
      <c r="A493" s="10" t="inlineStr">
        <is>
          <t>GYS-0489</t>
        </is>
      </c>
      <c r="B493" s="10" t="inlineStr">
        <is>
          <t>临沂办公文具供应链0489有限公司（演示）</t>
        </is>
      </c>
      <c r="C493" s="10" t="inlineStr">
        <is>
          <t>办公文具</t>
        </is>
      </c>
      <c r="D493" s="10" t="inlineStr">
        <is>
          <t>桌面收纳架</t>
        </is>
      </c>
      <c r="E493" s="10" t="inlineStr">
        <is>
          <t>山东临沂</t>
        </is>
      </c>
      <c r="F493" s="10" t="inlineStr">
        <is>
          <t>1688</t>
        </is>
      </c>
      <c r="G493" s="10" t="inlineStr">
        <is>
          <t>吴经理</t>
        </is>
      </c>
      <c r="H493" s="10" t="inlineStr">
        <is>
          <t>000-0000-0489</t>
        </is>
      </c>
      <c r="I493" s="10" t="inlineStr">
        <is>
          <t>DEMO_GYS_0489</t>
        </is>
      </c>
      <c r="J493" s="11" t="n">
        <v>6.1</v>
      </c>
      <c r="K493" s="11" t="n">
        <v>26</v>
      </c>
      <c r="L493" s="12" t="n">
        <v>200</v>
      </c>
      <c r="M493" s="10" t="inlineStr">
        <is>
          <t>是</t>
        </is>
      </c>
      <c r="N493" s="10" t="inlineStr">
        <is>
          <t>否</t>
        </is>
      </c>
      <c r="O493" s="10" t="inlineStr">
        <is>
          <t>supplier0489@example.com</t>
        </is>
      </c>
      <c r="P493" s="10" t="inlineStr">
        <is>
          <t>https://example.com/supplier/0489</t>
        </is>
      </c>
      <c r="Q493" s="10">
        <f>IF(R493&gt;=85,"A",IF(R493&gt;=70,"B","C"))</f>
        <v/>
      </c>
      <c r="R493" s="13">
        <f>MIN(100,50+IF(M493="是",10,0)+IF(N493="是",10,0)+IF(L493&lt;=100,10,IF(L493&lt;=300,5,0))+IF(J493&lt;=20,10,IF(J493&lt;=50,5,0))+IF(K493-J493&lt;=20,5,0)+IF(F493="企业官网",5,0))</f>
        <v/>
      </c>
      <c r="S493" s="10">
        <f>IF(Q493="A","价格与起订量有优势，建议优先询盘",IF(Q493="B","条件较均衡，可作为备选","起订量或价格需要进一步确认"))</f>
        <v/>
      </c>
      <c r="T493" s="10" t="inlineStr">
        <is>
          <t>未联系</t>
        </is>
      </c>
      <c r="U493" s="10" t="inlineStr">
        <is>
          <t>虚构演示数据</t>
        </is>
      </c>
    </row>
    <row r="494" ht="21" customHeight="1">
      <c r="A494" s="10" t="inlineStr">
        <is>
          <t>GYS-0490</t>
        </is>
      </c>
      <c r="B494" s="10" t="inlineStr">
        <is>
          <t>南昌汽车用品供应链0490有限公司（演示）</t>
        </is>
      </c>
      <c r="C494" s="10" t="inlineStr">
        <is>
          <t>汽车用品</t>
        </is>
      </c>
      <c r="D494" s="10" t="inlineStr">
        <is>
          <t>车载香薰</t>
        </is>
      </c>
      <c r="E494" s="10" t="inlineStr">
        <is>
          <t>江西南昌</t>
        </is>
      </c>
      <c r="F494" s="10" t="inlineStr">
        <is>
          <t>中国制造网</t>
        </is>
      </c>
      <c r="G494" s="10" t="inlineStr">
        <is>
          <t>陈经理</t>
        </is>
      </c>
      <c r="H494" s="10" t="inlineStr">
        <is>
          <t>000-0000-0490</t>
        </is>
      </c>
      <c r="I494" s="10" t="inlineStr">
        <is>
          <t>DEMO_GYS_0490</t>
        </is>
      </c>
      <c r="J494" s="11" t="n">
        <v>7.8</v>
      </c>
      <c r="K494" s="11" t="n">
        <v>28.8</v>
      </c>
      <c r="L494" s="12" t="n">
        <v>100</v>
      </c>
      <c r="M494" s="10" t="inlineStr">
        <is>
          <t>是</t>
        </is>
      </c>
      <c r="N494" s="10" t="inlineStr">
        <is>
          <t>是</t>
        </is>
      </c>
      <c r="O494" s="10" t="inlineStr">
        <is>
          <t>supplier0490@example.com</t>
        </is>
      </c>
      <c r="P494" s="10" t="inlineStr">
        <is>
          <t>https://example.com/supplier/0490</t>
        </is>
      </c>
      <c r="Q494" s="10">
        <f>IF(R494&gt;=85,"A",IF(R494&gt;=70,"B","C"))</f>
        <v/>
      </c>
      <c r="R494" s="13">
        <f>MIN(100,50+IF(M494="是",10,0)+IF(N494="是",10,0)+IF(L494&lt;=100,10,IF(L494&lt;=300,5,0))+IF(J494&lt;=20,10,IF(J494&lt;=50,5,0))+IF(K494-J494&lt;=20,5,0)+IF(F494="企业官网",5,0))</f>
        <v/>
      </c>
      <c r="S494" s="10">
        <f>IF(Q494="A","价格与起订量有优势，建议优先询盘",IF(Q494="B","条件较均衡，可作为备选","起订量或价格需要进一步确认"))</f>
        <v/>
      </c>
      <c r="T494" s="10" t="inlineStr">
        <is>
          <t>未联系</t>
        </is>
      </c>
      <c r="U494" s="10" t="inlineStr">
        <is>
          <t>虚构演示数据</t>
        </is>
      </c>
    </row>
    <row r="495" ht="21" customHeight="1">
      <c r="A495" s="10" t="inlineStr">
        <is>
          <t>GYS-0491</t>
        </is>
      </c>
      <c r="B495" s="10" t="inlineStr">
        <is>
          <t>温州美容工具供应链0491有限公司（演示）</t>
        </is>
      </c>
      <c r="C495" s="10" t="inlineStr">
        <is>
          <t>美容工具</t>
        </is>
      </c>
      <c r="D495" s="10" t="inlineStr">
        <is>
          <t>便携化妆镜</t>
        </is>
      </c>
      <c r="E495" s="10" t="inlineStr">
        <is>
          <t>浙江温州</t>
        </is>
      </c>
      <c r="F495" s="10" t="inlineStr">
        <is>
          <t>企业官网</t>
        </is>
      </c>
      <c r="G495" s="10" t="inlineStr">
        <is>
          <t>林经理</t>
        </is>
      </c>
      <c r="H495" s="10" t="inlineStr">
        <is>
          <t>000-0000-0491</t>
        </is>
      </c>
      <c r="I495" s="10" t="inlineStr">
        <is>
          <t>DEMO_GYS_0491</t>
        </is>
      </c>
      <c r="J495" s="11" t="n">
        <v>9.5</v>
      </c>
      <c r="K495" s="11" t="n">
        <v>13.6</v>
      </c>
      <c r="L495" s="12" t="n">
        <v>50</v>
      </c>
      <c r="M495" s="10" t="inlineStr">
        <is>
          <t>是</t>
        </is>
      </c>
      <c r="N495" s="10" t="inlineStr">
        <is>
          <t>是</t>
        </is>
      </c>
      <c r="O495" s="10" t="inlineStr">
        <is>
          <t>supplier0491@example.com</t>
        </is>
      </c>
      <c r="P495" s="10" t="inlineStr">
        <is>
          <t>https://example.com/supplier/0491</t>
        </is>
      </c>
      <c r="Q495" s="10">
        <f>IF(R495&gt;=85,"A",IF(R495&gt;=70,"B","C"))</f>
        <v/>
      </c>
      <c r="R495" s="13">
        <f>MIN(100,50+IF(M495="是",10,0)+IF(N495="是",10,0)+IF(L495&lt;=100,10,IF(L495&lt;=300,5,0))+IF(J495&lt;=20,10,IF(J495&lt;=50,5,0))+IF(K495-J495&lt;=20,5,0)+IF(F495="企业官网",5,0))</f>
        <v/>
      </c>
      <c r="S495" s="10">
        <f>IF(Q495="A","价格与起订量有优势，建议优先询盘",IF(Q495="B","条件较均衡，可作为备选","起订量或价格需要进一步确认"))</f>
        <v/>
      </c>
      <c r="T495" s="10" t="inlineStr">
        <is>
          <t>未联系</t>
        </is>
      </c>
      <c r="U495" s="10" t="inlineStr">
        <is>
          <t>虚构演示数据</t>
        </is>
      </c>
    </row>
    <row r="496" ht="21" customHeight="1">
      <c r="A496" s="10" t="inlineStr">
        <is>
          <t>GYS-0492</t>
        </is>
      </c>
      <c r="B496" s="10" t="inlineStr">
        <is>
          <t>广州旅行用品供应链0492有限公司（演示）</t>
        </is>
      </c>
      <c r="C496" s="10" t="inlineStr">
        <is>
          <t>旅行用品</t>
        </is>
      </c>
      <c r="D496" s="10" t="inlineStr">
        <is>
          <t>压缩收纳袋</t>
        </is>
      </c>
      <c r="E496" s="10" t="inlineStr">
        <is>
          <t>广东广州</t>
        </is>
      </c>
      <c r="F496" s="10" t="inlineStr">
        <is>
          <t>义乌购</t>
        </is>
      </c>
      <c r="G496" s="10" t="inlineStr">
        <is>
          <t>王经理</t>
        </is>
      </c>
      <c r="H496" s="10" t="inlineStr">
        <is>
          <t>000-0000-0492</t>
        </is>
      </c>
      <c r="I496" s="10" t="inlineStr">
        <is>
          <t>DEMO_GYS_0492</t>
        </is>
      </c>
      <c r="J496" s="11" t="n">
        <v>11.2</v>
      </c>
      <c r="K496" s="11" t="n">
        <v>16.4</v>
      </c>
      <c r="L496" s="12" t="n">
        <v>20</v>
      </c>
      <c r="M496" s="10" t="inlineStr">
        <is>
          <t>否</t>
        </is>
      </c>
      <c r="N496" s="10" t="inlineStr">
        <is>
          <t>否</t>
        </is>
      </c>
      <c r="O496" s="10" t="inlineStr">
        <is>
          <t>supplier0492@example.com</t>
        </is>
      </c>
      <c r="P496" s="10" t="inlineStr">
        <is>
          <t>https://example.com/supplier/0492</t>
        </is>
      </c>
      <c r="Q496" s="10">
        <f>IF(R496&gt;=85,"A",IF(R496&gt;=70,"B","C"))</f>
        <v/>
      </c>
      <c r="R496" s="13">
        <f>MIN(100,50+IF(M496="是",10,0)+IF(N496="是",10,0)+IF(L496&lt;=100,10,IF(L496&lt;=300,5,0))+IF(J496&lt;=20,10,IF(J496&lt;=50,5,0))+IF(K496-J496&lt;=20,5,0)+IF(F496="企业官网",5,0))</f>
        <v/>
      </c>
      <c r="S496" s="10">
        <f>IF(Q496="A","价格与起订量有优势，建议优先询盘",IF(Q496="B","条件较均衡，可作为备选","起订量或价格需要进一步确认"))</f>
        <v/>
      </c>
      <c r="T496" s="10" t="inlineStr">
        <is>
          <t>未联系</t>
        </is>
      </c>
      <c r="U496" s="10" t="inlineStr">
        <is>
          <t>虚构演示数据</t>
        </is>
      </c>
    </row>
    <row r="497" ht="21" customHeight="1">
      <c r="A497" s="10" t="inlineStr">
        <is>
          <t>GYS-0493</t>
        </is>
      </c>
      <c r="B497" s="10" t="inlineStr">
        <is>
          <t>泉州清洁工具供应链0493有限公司（演示）</t>
        </is>
      </c>
      <c r="C497" s="10" t="inlineStr">
        <is>
          <t>清洁工具</t>
        </is>
      </c>
      <c r="D497" s="10" t="inlineStr">
        <is>
          <t>免手洗拖把</t>
        </is>
      </c>
      <c r="E497" s="10" t="inlineStr">
        <is>
          <t>福建泉州</t>
        </is>
      </c>
      <c r="F497" s="10" t="inlineStr">
        <is>
          <t>慧聪网</t>
        </is>
      </c>
      <c r="G497" s="10" t="inlineStr">
        <is>
          <t>李经理</t>
        </is>
      </c>
      <c r="H497" s="10" t="inlineStr">
        <is>
          <t>000-0000-0493</t>
        </is>
      </c>
      <c r="I497" s="10" t="inlineStr">
        <is>
          <t>DEMO_GYS_0493</t>
        </is>
      </c>
      <c r="J497" s="11" t="n">
        <v>12.9</v>
      </c>
      <c r="K497" s="11" t="n">
        <v>19.2</v>
      </c>
      <c r="L497" s="12" t="n">
        <v>500</v>
      </c>
      <c r="M497" s="10" t="inlineStr">
        <is>
          <t>是</t>
        </is>
      </c>
      <c r="N497" s="10" t="inlineStr">
        <is>
          <t>是</t>
        </is>
      </c>
      <c r="O497" s="10" t="inlineStr">
        <is>
          <t>supplier0493@example.com</t>
        </is>
      </c>
      <c r="P497" s="10" t="inlineStr">
        <is>
          <t>https://example.com/supplier/0493</t>
        </is>
      </c>
      <c r="Q497" s="10">
        <f>IF(R497&gt;=85,"A",IF(R497&gt;=70,"B","C"))</f>
        <v/>
      </c>
      <c r="R497" s="13">
        <f>MIN(100,50+IF(M497="是",10,0)+IF(N497="是",10,0)+IF(L497&lt;=100,10,IF(L497&lt;=300,5,0))+IF(J497&lt;=20,10,IF(J497&lt;=50,5,0))+IF(K497-J497&lt;=20,5,0)+IF(F497="企业官网",5,0))</f>
        <v/>
      </c>
      <c r="S497" s="10">
        <f>IF(Q497="A","价格与起订量有优势，建议优先询盘",IF(Q497="B","条件较均衡，可作为备选","起订量或价格需要进一步确认"))</f>
        <v/>
      </c>
      <c r="T497" s="10" t="inlineStr">
        <is>
          <t>未联系</t>
        </is>
      </c>
      <c r="U497" s="10" t="inlineStr">
        <is>
          <t>虚构演示数据</t>
        </is>
      </c>
    </row>
    <row r="498" ht="21" customHeight="1">
      <c r="A498" s="10" t="inlineStr">
        <is>
          <t>GYS-0494</t>
        </is>
      </c>
      <c r="B498" s="10" t="inlineStr">
        <is>
          <t>南通小家电供应链0494有限公司（演示）</t>
        </is>
      </c>
      <c r="C498" s="10" t="inlineStr">
        <is>
          <t>小家电</t>
        </is>
      </c>
      <c r="D498" s="10" t="inlineStr">
        <is>
          <t>迷你加湿器</t>
        </is>
      </c>
      <c r="E498" s="10" t="inlineStr">
        <is>
          <t>江苏南通</t>
        </is>
      </c>
      <c r="F498" s="10" t="inlineStr">
        <is>
          <t>1688</t>
        </is>
      </c>
      <c r="G498" s="10" t="inlineStr">
        <is>
          <t>张经理</t>
        </is>
      </c>
      <c r="H498" s="10" t="inlineStr">
        <is>
          <t>000-0000-0494</t>
        </is>
      </c>
      <c r="I498" s="10" t="inlineStr">
        <is>
          <t>DEMO_GYS_0494</t>
        </is>
      </c>
      <c r="J498" s="11" t="n">
        <v>14.6</v>
      </c>
      <c r="K498" s="11" t="n">
        <v>22</v>
      </c>
      <c r="L498" s="12" t="n">
        <v>300</v>
      </c>
      <c r="M498" s="10" t="inlineStr">
        <is>
          <t>是</t>
        </is>
      </c>
      <c r="N498" s="10" t="inlineStr">
        <is>
          <t>是</t>
        </is>
      </c>
      <c r="O498" s="10" t="inlineStr">
        <is>
          <t>supplier0494@example.com</t>
        </is>
      </c>
      <c r="P498" s="10" t="inlineStr">
        <is>
          <t>https://example.com/supplier/0494</t>
        </is>
      </c>
      <c r="Q498" s="10">
        <f>IF(R498&gt;=85,"A",IF(R498&gt;=70,"B","C"))</f>
        <v/>
      </c>
      <c r="R498" s="13">
        <f>MIN(100,50+IF(M498="是",10,0)+IF(N498="是",10,0)+IF(L498&lt;=100,10,IF(L498&lt;=300,5,0))+IF(J498&lt;=20,10,IF(J498&lt;=50,5,0))+IF(K498-J498&lt;=20,5,0)+IF(F498="企业官网",5,0))</f>
        <v/>
      </c>
      <c r="S498" s="10">
        <f>IF(Q498="A","价格与起订量有优势，建议优先询盘",IF(Q498="B","条件较均衡，可作为备选","起订量或价格需要进一步确认"))</f>
        <v/>
      </c>
      <c r="T498" s="10" t="inlineStr">
        <is>
          <t>未联系</t>
        </is>
      </c>
      <c r="U498" s="10" t="inlineStr">
        <is>
          <t>虚构演示数据</t>
        </is>
      </c>
    </row>
    <row r="499" ht="21" customHeight="1">
      <c r="A499" s="10" t="inlineStr">
        <is>
          <t>GYS-0495</t>
        </is>
      </c>
      <c r="B499" s="10" t="inlineStr">
        <is>
          <t>郑州礼品包装供应链0495有限公司（演示）</t>
        </is>
      </c>
      <c r="C499" s="10" t="inlineStr">
        <is>
          <t>礼品包装</t>
        </is>
      </c>
      <c r="D499" s="10" t="inlineStr">
        <is>
          <t>节日礼盒</t>
        </is>
      </c>
      <c r="E499" s="10" t="inlineStr">
        <is>
          <t>河南郑州</t>
        </is>
      </c>
      <c r="F499" s="10" t="inlineStr">
        <is>
          <t>中国制造网</t>
        </is>
      </c>
      <c r="G499" s="10" t="inlineStr">
        <is>
          <t>刘经理</t>
        </is>
      </c>
      <c r="H499" s="10" t="inlineStr">
        <is>
          <t>000-0000-0495</t>
        </is>
      </c>
      <c r="I499" s="10" t="inlineStr">
        <is>
          <t>DEMO_GYS_0495</t>
        </is>
      </c>
      <c r="J499" s="11" t="n">
        <v>16.3</v>
      </c>
      <c r="K499" s="11" t="n">
        <v>24.8</v>
      </c>
      <c r="L499" s="12" t="n">
        <v>200</v>
      </c>
      <c r="M499" s="10" t="inlineStr">
        <is>
          <t>是</t>
        </is>
      </c>
      <c r="N499" s="10" t="inlineStr">
        <is>
          <t>否</t>
        </is>
      </c>
      <c r="O499" s="10" t="inlineStr">
        <is>
          <t>supplier0495@example.com</t>
        </is>
      </c>
      <c r="P499" s="10" t="inlineStr">
        <is>
          <t>https://example.com/supplier/0495</t>
        </is>
      </c>
      <c r="Q499" s="10">
        <f>IF(R499&gt;=85,"A",IF(R499&gt;=70,"B","C"))</f>
        <v/>
      </c>
      <c r="R499" s="13">
        <f>MIN(100,50+IF(M499="是",10,0)+IF(N499="是",10,0)+IF(L499&lt;=100,10,IF(L499&lt;=300,5,0))+IF(J499&lt;=20,10,IF(J499&lt;=50,5,0))+IF(K499-J499&lt;=20,5,0)+IF(F499="企业官网",5,0))</f>
        <v/>
      </c>
      <c r="S499" s="10">
        <f>IF(Q499="A","价格与起订量有优势，建议优先询盘",IF(Q499="B","条件较均衡，可作为备选","起订量或价格需要进一步确认"))</f>
        <v/>
      </c>
      <c r="T499" s="10" t="inlineStr">
        <is>
          <t>未联系</t>
        </is>
      </c>
      <c r="U499" s="10" t="inlineStr">
        <is>
          <t>虚构演示数据</t>
        </is>
      </c>
    </row>
    <row r="500" ht="21" customHeight="1">
      <c r="A500" s="10" t="inlineStr">
        <is>
          <t>GYS-0496</t>
        </is>
      </c>
      <c r="B500" s="10" t="inlineStr">
        <is>
          <t>宁波五金工具供应链0496有限公司（演示）</t>
        </is>
      </c>
      <c r="C500" s="10" t="inlineStr">
        <is>
          <t>五金工具</t>
        </is>
      </c>
      <c r="D500" s="10" t="inlineStr">
        <is>
          <t>多功能螺丝刀</t>
        </is>
      </c>
      <c r="E500" s="10" t="inlineStr">
        <is>
          <t>浙江宁波</t>
        </is>
      </c>
      <c r="F500" s="10" t="inlineStr">
        <is>
          <t>企业官网</t>
        </is>
      </c>
      <c r="G500" s="10" t="inlineStr">
        <is>
          <t>黄经理</t>
        </is>
      </c>
      <c r="H500" s="10" t="inlineStr">
        <is>
          <t>000-0000-0496</t>
        </is>
      </c>
      <c r="I500" s="10" t="inlineStr">
        <is>
          <t>DEMO_GYS_0496</t>
        </is>
      </c>
      <c r="J500" s="11" t="n">
        <v>18</v>
      </c>
      <c r="K500" s="11" t="n">
        <v>27.6</v>
      </c>
      <c r="L500" s="12" t="n">
        <v>100</v>
      </c>
      <c r="M500" s="10" t="inlineStr">
        <is>
          <t>否</t>
        </is>
      </c>
      <c r="N500" s="10" t="inlineStr">
        <is>
          <t>是</t>
        </is>
      </c>
      <c r="O500" s="10" t="inlineStr">
        <is>
          <t>supplier0496@example.com</t>
        </is>
      </c>
      <c r="P500" s="10" t="inlineStr">
        <is>
          <t>https://example.com/supplier/0496</t>
        </is>
      </c>
      <c r="Q500" s="10">
        <f>IF(R500&gt;=85,"A",IF(R500&gt;=70,"B","C"))</f>
        <v/>
      </c>
      <c r="R500" s="13">
        <f>MIN(100,50+IF(M500="是",10,0)+IF(N500="是",10,0)+IF(L500&lt;=100,10,IF(L500&lt;=300,5,0))+IF(J500&lt;=20,10,IF(J500&lt;=50,5,0))+IF(K500-J500&lt;=20,5,0)+IF(F500="企业官网",5,0))</f>
        <v/>
      </c>
      <c r="S500" s="10">
        <f>IF(Q500="A","价格与起订量有优势，建议优先询盘",IF(Q500="B","条件较均衡，可作为备选","起订量或价格需要进一步确认"))</f>
        <v/>
      </c>
      <c r="T500" s="10" t="inlineStr">
        <is>
          <t>未联系</t>
        </is>
      </c>
      <c r="U500" s="10" t="inlineStr">
        <is>
          <t>虚构演示数据</t>
        </is>
      </c>
    </row>
    <row r="501" ht="21" customHeight="1">
      <c r="A501" s="10" t="inlineStr">
        <is>
          <t>GYS-0497</t>
        </is>
      </c>
      <c r="B501" s="10" t="inlineStr">
        <is>
          <t>深圳鞋靴配件供应链0497有限公司（演示）</t>
        </is>
      </c>
      <c r="C501" s="10" t="inlineStr">
        <is>
          <t>鞋靴配件</t>
        </is>
      </c>
      <c r="D501" s="10" t="inlineStr">
        <is>
          <t>防磨脚贴</t>
        </is>
      </c>
      <c r="E501" s="10" t="inlineStr">
        <is>
          <t>广东深圳</t>
        </is>
      </c>
      <c r="F501" s="10" t="inlineStr">
        <is>
          <t>义乌购</t>
        </is>
      </c>
      <c r="G501" s="10" t="inlineStr">
        <is>
          <t>赵经理</t>
        </is>
      </c>
      <c r="H501" s="10" t="inlineStr">
        <is>
          <t>000-0000-0497</t>
        </is>
      </c>
      <c r="I501" s="10" t="inlineStr">
        <is>
          <t>DEMO_GYS_0497</t>
        </is>
      </c>
      <c r="J501" s="11" t="n">
        <v>19.7</v>
      </c>
      <c r="K501" s="11" t="n">
        <v>30.4</v>
      </c>
      <c r="L501" s="12" t="n">
        <v>50</v>
      </c>
      <c r="M501" s="10" t="inlineStr">
        <is>
          <t>是</t>
        </is>
      </c>
      <c r="N501" s="10" t="inlineStr">
        <is>
          <t>是</t>
        </is>
      </c>
      <c r="O501" s="10" t="inlineStr">
        <is>
          <t>supplier0497@example.com</t>
        </is>
      </c>
      <c r="P501" s="10" t="inlineStr">
        <is>
          <t>https://example.com/supplier/0497</t>
        </is>
      </c>
      <c r="Q501" s="10">
        <f>IF(R501&gt;=85,"A",IF(R501&gt;=70,"B","C"))</f>
        <v/>
      </c>
      <c r="R501" s="13">
        <f>MIN(100,50+IF(M501="是",10,0)+IF(N501="是",10,0)+IF(L501&lt;=100,10,IF(L501&lt;=300,5,0))+IF(J501&lt;=20,10,IF(J501&lt;=50,5,0))+IF(K501-J501&lt;=20,5,0)+IF(F501="企业官网",5,0))</f>
        <v/>
      </c>
      <c r="S501" s="10">
        <f>IF(Q501="A","价格与起订量有优势，建议优先询盘",IF(Q501="B","条件较均衡，可作为备选","起订量或价格需要进一步确认"))</f>
        <v/>
      </c>
      <c r="T501" s="10" t="inlineStr">
        <is>
          <t>未联系</t>
        </is>
      </c>
      <c r="U501" s="10" t="inlineStr">
        <is>
          <t>虚构演示数据</t>
        </is>
      </c>
    </row>
    <row r="502" ht="21" customHeight="1">
      <c r="A502" s="10" t="inlineStr">
        <is>
          <t>GYS-0498</t>
        </is>
      </c>
      <c r="B502" s="10" t="inlineStr">
        <is>
          <t>佛山食品包装供应链0498有限公司（演示）</t>
        </is>
      </c>
      <c r="C502" s="10" t="inlineStr">
        <is>
          <t>食品包装</t>
        </is>
      </c>
      <c r="D502" s="10" t="inlineStr">
        <is>
          <t>密封包装袋</t>
        </is>
      </c>
      <c r="E502" s="10" t="inlineStr">
        <is>
          <t>广东佛山</t>
        </is>
      </c>
      <c r="F502" s="10" t="inlineStr">
        <is>
          <t>慧聪网</t>
        </is>
      </c>
      <c r="G502" s="10" t="inlineStr">
        <is>
          <t>周经理</t>
        </is>
      </c>
      <c r="H502" s="10" t="inlineStr">
        <is>
          <t>000-0000-0498</t>
        </is>
      </c>
      <c r="I502" s="10" t="inlineStr">
        <is>
          <t>DEMO_GYS_0498</t>
        </is>
      </c>
      <c r="J502" s="11" t="n">
        <v>21.4</v>
      </c>
      <c r="K502" s="11" t="n">
        <v>33.2</v>
      </c>
      <c r="L502" s="12" t="n">
        <v>20</v>
      </c>
      <c r="M502" s="10" t="inlineStr">
        <is>
          <t>是</t>
        </is>
      </c>
      <c r="N502" s="10" t="inlineStr">
        <is>
          <t>否</t>
        </is>
      </c>
      <c r="O502" s="10" t="inlineStr">
        <is>
          <t>supplier0498@example.com</t>
        </is>
      </c>
      <c r="P502" s="10" t="inlineStr">
        <is>
          <t>https://example.com/supplier/0498</t>
        </is>
      </c>
      <c r="Q502" s="10">
        <f>IF(R502&gt;=85,"A",IF(R502&gt;=70,"B","C"))</f>
        <v/>
      </c>
      <c r="R502" s="13">
        <f>MIN(100,50+IF(M502="是",10,0)+IF(N502="是",10,0)+IF(L502&lt;=100,10,IF(L502&lt;=300,5,0))+IF(J502&lt;=20,10,IF(J502&lt;=50,5,0))+IF(K502-J502&lt;=20,5,0)+IF(F502="企业官网",5,0))</f>
        <v/>
      </c>
      <c r="S502" s="10">
        <f>IF(Q502="A","价格与起订量有优势，建议优先询盘",IF(Q502="B","条件较均衡，可作为备选","起订量或价格需要进一步确认"))</f>
        <v/>
      </c>
      <c r="T502" s="10" t="inlineStr">
        <is>
          <t>未联系</t>
        </is>
      </c>
      <c r="U502" s="10" t="inlineStr">
        <is>
          <t>虚构演示数据</t>
        </is>
      </c>
    </row>
    <row r="503" ht="21" customHeight="1">
      <c r="A503" s="10" t="inlineStr">
        <is>
          <t>GYS-0499</t>
        </is>
      </c>
      <c r="B503" s="10" t="inlineStr">
        <is>
          <t>苏州户外照明供应链0499有限公司（演示）</t>
        </is>
      </c>
      <c r="C503" s="10" t="inlineStr">
        <is>
          <t>户外照明</t>
        </is>
      </c>
      <c r="D503" s="10" t="inlineStr">
        <is>
          <t>便携露营灯</t>
        </is>
      </c>
      <c r="E503" s="10" t="inlineStr">
        <is>
          <t>江苏苏州</t>
        </is>
      </c>
      <c r="F503" s="10" t="inlineStr">
        <is>
          <t>1688</t>
        </is>
      </c>
      <c r="G503" s="10" t="inlineStr">
        <is>
          <t>吴经理</t>
        </is>
      </c>
      <c r="H503" s="10" t="inlineStr">
        <is>
          <t>000-0000-0499</t>
        </is>
      </c>
      <c r="I503" s="10" t="inlineStr">
        <is>
          <t>DEMO_GYS_0499</t>
        </is>
      </c>
      <c r="J503" s="11" t="n">
        <v>23.1</v>
      </c>
      <c r="K503" s="11" t="n">
        <v>36</v>
      </c>
      <c r="L503" s="12" t="n">
        <v>500</v>
      </c>
      <c r="M503" s="10" t="inlineStr">
        <is>
          <t>是</t>
        </is>
      </c>
      <c r="N503" s="10" t="inlineStr">
        <is>
          <t>是</t>
        </is>
      </c>
      <c r="O503" s="10" t="inlineStr">
        <is>
          <t>supplier0499@example.com</t>
        </is>
      </c>
      <c r="P503" s="10" t="inlineStr">
        <is>
          <t>https://example.com/supplier/0499</t>
        </is>
      </c>
      <c r="Q503" s="10">
        <f>IF(R503&gt;=85,"A",IF(R503&gt;=70,"B","C"))</f>
        <v/>
      </c>
      <c r="R503" s="13">
        <f>MIN(100,50+IF(M503="是",10,0)+IF(N503="是",10,0)+IF(L503&lt;=100,10,IF(L503&lt;=300,5,0))+IF(J503&lt;=20,10,IF(J503&lt;=50,5,0))+IF(K503-J503&lt;=20,5,0)+IF(F503="企业官网",5,0))</f>
        <v/>
      </c>
      <c r="S503" s="10">
        <f>IF(Q503="A","价格与起订量有优势，建议优先询盘",IF(Q503="B","条件较均衡，可作为备选","起订量或价格需要进一步确认"))</f>
        <v/>
      </c>
      <c r="T503" s="10" t="inlineStr">
        <is>
          <t>未联系</t>
        </is>
      </c>
      <c r="U503" s="10" t="inlineStr">
        <is>
          <t>虚构演示数据</t>
        </is>
      </c>
    </row>
    <row r="504" ht="21" customHeight="1">
      <c r="A504" s="10" t="inlineStr">
        <is>
          <t>GYS-0500</t>
        </is>
      </c>
      <c r="B504" s="10" t="inlineStr">
        <is>
          <t>白沟健康用品供应链0500有限公司（演示）</t>
        </is>
      </c>
      <c r="C504" s="10" t="inlineStr">
        <is>
          <t>健康用品</t>
        </is>
      </c>
      <c r="D504" s="10" t="inlineStr">
        <is>
          <t>热敷眼罩</t>
        </is>
      </c>
      <c r="E504" s="10" t="inlineStr">
        <is>
          <t>河北白沟</t>
        </is>
      </c>
      <c r="F504" s="10" t="inlineStr">
        <is>
          <t>中国制造网</t>
        </is>
      </c>
      <c r="G504" s="10" t="inlineStr">
        <is>
          <t>陈经理</t>
        </is>
      </c>
      <c r="H504" s="10" t="inlineStr">
        <is>
          <t>000-0000-0500</t>
        </is>
      </c>
      <c r="I504" s="10" t="inlineStr">
        <is>
          <t>DEMO_GYS_0500</t>
        </is>
      </c>
      <c r="J504" s="11" t="n">
        <v>24.8</v>
      </c>
      <c r="K504" s="11" t="n">
        <v>38.8</v>
      </c>
      <c r="L504" s="12" t="n">
        <v>300</v>
      </c>
      <c r="M504" s="10" t="inlineStr">
        <is>
          <t>否</t>
        </is>
      </c>
      <c r="N504" s="10" t="inlineStr">
        <is>
          <t>是</t>
        </is>
      </c>
      <c r="O504" s="10" t="inlineStr">
        <is>
          <t>supplier0500@example.com</t>
        </is>
      </c>
      <c r="P504" s="10" t="inlineStr">
        <is>
          <t>https://example.com/supplier/0500</t>
        </is>
      </c>
      <c r="Q504" s="10">
        <f>IF(R504&gt;=85,"A",IF(R504&gt;=70,"B","C"))</f>
        <v/>
      </c>
      <c r="R504" s="13">
        <f>MIN(100,50+IF(M504="是",10,0)+IF(N504="是",10,0)+IF(L504&lt;=100,10,IF(L504&lt;=300,5,0))+IF(J504&lt;=20,10,IF(J504&lt;=50,5,0))+IF(K504-J504&lt;=20,5,0)+IF(F504="企业官网",5,0))</f>
        <v/>
      </c>
      <c r="S504" s="10">
        <f>IF(Q504="A","价格与起订量有优势，建议优先询盘",IF(Q504="B","条件较均衡，可作为备选","起订量或价格需要进一步确认"))</f>
        <v/>
      </c>
      <c r="T504" s="10" t="inlineStr">
        <is>
          <t>未联系</t>
        </is>
      </c>
      <c r="U504" s="10" t="inlineStr">
        <is>
          <t>虚构演示数据</t>
        </is>
      </c>
    </row>
    <row r="505" ht="21" customHeight="1">
      <c r="A505" s="10" t="inlineStr">
        <is>
          <t>GYS-0501</t>
        </is>
      </c>
      <c r="B505" s="10" t="inlineStr">
        <is>
          <t>义乌服饰内衣供应链0501有限公司（演示）</t>
        </is>
      </c>
      <c r="C505" s="10" t="inlineStr">
        <is>
          <t>服饰内衣</t>
        </is>
      </c>
      <c r="D505" s="10" t="inlineStr">
        <is>
          <t>防滑袜</t>
        </is>
      </c>
      <c r="E505" s="10" t="inlineStr">
        <is>
          <t>浙江义乌</t>
        </is>
      </c>
      <c r="F505" s="10" t="inlineStr">
        <is>
          <t>企业官网</t>
        </is>
      </c>
      <c r="G505" s="10" t="inlineStr">
        <is>
          <t>林经理</t>
        </is>
      </c>
      <c r="H505" s="10" t="inlineStr">
        <is>
          <t>000-0000-0501</t>
        </is>
      </c>
      <c r="I505" s="10" t="inlineStr">
        <is>
          <t>DEMO_GYS_0501</t>
        </is>
      </c>
      <c r="J505" s="11" t="n">
        <v>26.5</v>
      </c>
      <c r="K505" s="11" t="n">
        <v>41.6</v>
      </c>
      <c r="L505" s="12" t="n">
        <v>200</v>
      </c>
      <c r="M505" s="10" t="inlineStr">
        <is>
          <t>是</t>
        </is>
      </c>
      <c r="N505" s="10" t="inlineStr">
        <is>
          <t>否</t>
        </is>
      </c>
      <c r="O505" s="10" t="inlineStr">
        <is>
          <t>supplier0501@example.com</t>
        </is>
      </c>
      <c r="P505" s="10" t="inlineStr">
        <is>
          <t>https://example.com/supplier/0501</t>
        </is>
      </c>
      <c r="Q505" s="10">
        <f>IF(R505&gt;=85,"A",IF(R505&gt;=70,"B","C"))</f>
        <v/>
      </c>
      <c r="R505" s="13">
        <f>MIN(100,50+IF(M505="是",10,0)+IF(N505="是",10,0)+IF(L505&lt;=100,10,IF(L505&lt;=300,5,0))+IF(J505&lt;=20,10,IF(J505&lt;=50,5,0))+IF(K505-J505&lt;=20,5,0)+IF(F505="企业官网",5,0))</f>
        <v/>
      </c>
      <c r="S505" s="10">
        <f>IF(Q505="A","价格与起订量有优势，建议优先询盘",IF(Q505="B","条件较均衡，可作为备选","起订量或价格需要进一步确认"))</f>
        <v/>
      </c>
      <c r="T505" s="10" t="inlineStr">
        <is>
          <t>未联系</t>
        </is>
      </c>
      <c r="U505" s="10" t="inlineStr">
        <is>
          <t>虚构演示数据</t>
        </is>
      </c>
    </row>
    <row r="506" ht="21" customHeight="1">
      <c r="A506" s="10" t="inlineStr">
        <is>
          <t>GYS-0502</t>
        </is>
      </c>
      <c r="B506" s="10" t="inlineStr">
        <is>
          <t>台州家居日用供应链0502有限公司（演示）</t>
        </is>
      </c>
      <c r="C506" s="10" t="inlineStr">
        <is>
          <t>家居日用</t>
        </is>
      </c>
      <c r="D506" s="10" t="inlineStr">
        <is>
          <t>折叠收纳箱</t>
        </is>
      </c>
      <c r="E506" s="10" t="inlineStr">
        <is>
          <t>浙江台州</t>
        </is>
      </c>
      <c r="F506" s="10" t="inlineStr">
        <is>
          <t>义乌购</t>
        </is>
      </c>
      <c r="G506" s="10" t="inlineStr">
        <is>
          <t>王经理</t>
        </is>
      </c>
      <c r="H506" s="10" t="inlineStr">
        <is>
          <t>000-0000-0502</t>
        </is>
      </c>
      <c r="I506" s="10" t="inlineStr">
        <is>
          <t>DEMO_GYS_0502</t>
        </is>
      </c>
      <c r="J506" s="11" t="n">
        <v>28.2</v>
      </c>
      <c r="K506" s="11" t="n">
        <v>44.4</v>
      </c>
      <c r="L506" s="12" t="n">
        <v>100</v>
      </c>
      <c r="M506" s="10" t="inlineStr">
        <is>
          <t>是</t>
        </is>
      </c>
      <c r="N506" s="10" t="inlineStr">
        <is>
          <t>是</t>
        </is>
      </c>
      <c r="O506" s="10" t="inlineStr">
        <is>
          <t>supplier0502@example.com</t>
        </is>
      </c>
      <c r="P506" s="10" t="inlineStr">
        <is>
          <t>https://example.com/supplier/0502</t>
        </is>
      </c>
      <c r="Q506" s="10">
        <f>IF(R506&gt;=85,"A",IF(R506&gt;=70,"B","C"))</f>
        <v/>
      </c>
      <c r="R506" s="13">
        <f>MIN(100,50+IF(M506="是",10,0)+IF(N506="是",10,0)+IF(L506&lt;=100,10,IF(L506&lt;=300,5,0))+IF(J506&lt;=20,10,IF(J506&lt;=50,5,0))+IF(K506-J506&lt;=20,5,0)+IF(F506="企业官网",5,0))</f>
        <v/>
      </c>
      <c r="S506" s="10">
        <f>IF(Q506="A","价格与起订量有优势，建议优先询盘",IF(Q506="B","条件较均衡，可作为备选","起订量或价格需要进一步确认"))</f>
        <v/>
      </c>
      <c r="T506" s="10" t="inlineStr">
        <is>
          <t>未联系</t>
        </is>
      </c>
      <c r="U506" s="10" t="inlineStr">
        <is>
          <t>虚构演示数据</t>
        </is>
      </c>
    </row>
    <row r="507" ht="21" customHeight="1">
      <c r="A507" s="10" t="inlineStr">
        <is>
          <t>GYS-0503</t>
        </is>
      </c>
      <c r="B507" s="10" t="inlineStr">
        <is>
          <t>东莞个护清洁供应链0503有限公司（演示）</t>
        </is>
      </c>
      <c r="C507" s="10" t="inlineStr">
        <is>
          <t>个护清洁</t>
        </is>
      </c>
      <c r="D507" s="10" t="inlineStr">
        <is>
          <t>便携洗脸巾</t>
        </is>
      </c>
      <c r="E507" s="10" t="inlineStr">
        <is>
          <t>广东东莞</t>
        </is>
      </c>
      <c r="F507" s="10" t="inlineStr">
        <is>
          <t>慧聪网</t>
        </is>
      </c>
      <c r="G507" s="10" t="inlineStr">
        <is>
          <t>李经理</t>
        </is>
      </c>
      <c r="H507" s="10" t="inlineStr">
        <is>
          <t>000-0000-0503</t>
        </is>
      </c>
      <c r="I507" s="10" t="inlineStr">
        <is>
          <t>DEMO_GYS_0503</t>
        </is>
      </c>
      <c r="J507" s="11" t="n">
        <v>29.9</v>
      </c>
      <c r="K507" s="11" t="n">
        <v>47.2</v>
      </c>
      <c r="L507" s="12" t="n">
        <v>50</v>
      </c>
      <c r="M507" s="10" t="inlineStr">
        <is>
          <t>是</t>
        </is>
      </c>
      <c r="N507" s="10" t="inlineStr">
        <is>
          <t>是</t>
        </is>
      </c>
      <c r="O507" s="10" t="inlineStr">
        <is>
          <t>supplier0503@example.com</t>
        </is>
      </c>
      <c r="P507" s="10" t="inlineStr">
        <is>
          <t>https://example.com/supplier/0503</t>
        </is>
      </c>
      <c r="Q507" s="10">
        <f>IF(R507&gt;=85,"A",IF(R507&gt;=70,"B","C"))</f>
        <v/>
      </c>
      <c r="R507" s="13">
        <f>MIN(100,50+IF(M507="是",10,0)+IF(N507="是",10,0)+IF(L507&lt;=100,10,IF(L507&lt;=300,5,0))+IF(J507&lt;=20,10,IF(J507&lt;=50,5,0))+IF(K507-J507&lt;=20,5,0)+IF(F507="企业官网",5,0))</f>
        <v/>
      </c>
      <c r="S507" s="10">
        <f>IF(Q507="A","价格与起订量有优势，建议优先询盘",IF(Q507="B","条件较均衡，可作为备选","起订量或价格需要进一步确认"))</f>
        <v/>
      </c>
      <c r="T507" s="10" t="inlineStr">
        <is>
          <t>未联系</t>
        </is>
      </c>
      <c r="U507" s="10" t="inlineStr">
        <is>
          <t>虚构演示数据</t>
        </is>
      </c>
    </row>
    <row r="508" ht="21" customHeight="1">
      <c r="A508" s="10" t="inlineStr">
        <is>
          <t>GYS-0504</t>
        </is>
      </c>
      <c r="B508" s="10" t="inlineStr">
        <is>
          <t>厦门厨房用品供应链0504有限公司（演示）</t>
        </is>
      </c>
      <c r="C508" s="10" t="inlineStr">
        <is>
          <t>厨房用品</t>
        </is>
      </c>
      <c r="D508" s="10" t="inlineStr">
        <is>
          <t>硅胶保鲜盒</t>
        </is>
      </c>
      <c r="E508" s="10" t="inlineStr">
        <is>
          <t>福建厦门</t>
        </is>
      </c>
      <c r="F508" s="10" t="inlineStr">
        <is>
          <t>1688</t>
        </is>
      </c>
      <c r="G508" s="10" t="inlineStr">
        <is>
          <t>张经理</t>
        </is>
      </c>
      <c r="H508" s="10" t="inlineStr">
        <is>
          <t>000-0000-0504</t>
        </is>
      </c>
      <c r="I508" s="10" t="inlineStr">
        <is>
          <t>DEMO_GYS_0504</t>
        </is>
      </c>
      <c r="J508" s="11" t="n">
        <v>31.6</v>
      </c>
      <c r="K508" s="11" t="n">
        <v>50</v>
      </c>
      <c r="L508" s="12" t="n">
        <v>20</v>
      </c>
      <c r="M508" s="10" t="inlineStr">
        <is>
          <t>否</t>
        </is>
      </c>
      <c r="N508" s="10" t="inlineStr">
        <is>
          <t>否</t>
        </is>
      </c>
      <c r="O508" s="10" t="inlineStr">
        <is>
          <t>supplier0504@example.com</t>
        </is>
      </c>
      <c r="P508" s="10" t="inlineStr">
        <is>
          <t>https://example.com/supplier/0504</t>
        </is>
      </c>
      <c r="Q508" s="10">
        <f>IF(R508&gt;=85,"A",IF(R508&gt;=70,"B","C"))</f>
        <v/>
      </c>
      <c r="R508" s="13">
        <f>MIN(100,50+IF(M508="是",10,0)+IF(N508="是",10,0)+IF(L508&lt;=100,10,IF(L508&lt;=300,5,0))+IF(J508&lt;=20,10,IF(J508&lt;=50,5,0))+IF(K508-J508&lt;=20,5,0)+IF(F508="企业官网",5,0))</f>
        <v/>
      </c>
      <c r="S508" s="10">
        <f>IF(Q508="A","价格与起订量有优势，建议优先询盘",IF(Q508="B","条件较均衡，可作为备选","起订量或价格需要进一步确认"))</f>
        <v/>
      </c>
      <c r="T508" s="10" t="inlineStr">
        <is>
          <t>未联系</t>
        </is>
      </c>
      <c r="U508" s="10" t="inlineStr">
        <is>
          <t>虚构演示数据</t>
        </is>
      </c>
    </row>
    <row r="509" ht="21" customHeight="1">
      <c r="A509" s="10" t="inlineStr">
        <is>
          <t>GYS-0505</t>
        </is>
      </c>
      <c r="B509" s="10" t="inlineStr">
        <is>
          <t>临沂数码配件供应链0505有限公司（演示）</t>
        </is>
      </c>
      <c r="C509" s="10" t="inlineStr">
        <is>
          <t>数码配件</t>
        </is>
      </c>
      <c r="D509" s="10" t="inlineStr">
        <is>
          <t>磁吸手机支架</t>
        </is>
      </c>
      <c r="E509" s="10" t="inlineStr">
        <is>
          <t>山东临沂</t>
        </is>
      </c>
      <c r="F509" s="10" t="inlineStr">
        <is>
          <t>中国制造网</t>
        </is>
      </c>
      <c r="G509" s="10" t="inlineStr">
        <is>
          <t>刘经理</t>
        </is>
      </c>
      <c r="H509" s="10" t="inlineStr">
        <is>
          <t>000-0000-0505</t>
        </is>
      </c>
      <c r="I509" s="10" t="inlineStr">
        <is>
          <t>DEMO_GYS_0505</t>
        </is>
      </c>
      <c r="J509" s="11" t="n">
        <v>33.3</v>
      </c>
      <c r="K509" s="11" t="n">
        <v>52.8</v>
      </c>
      <c r="L509" s="12" t="n">
        <v>500</v>
      </c>
      <c r="M509" s="10" t="inlineStr">
        <is>
          <t>是</t>
        </is>
      </c>
      <c r="N509" s="10" t="inlineStr">
        <is>
          <t>是</t>
        </is>
      </c>
      <c r="O509" s="10" t="inlineStr">
        <is>
          <t>supplier0505@example.com</t>
        </is>
      </c>
      <c r="P509" s="10" t="inlineStr">
        <is>
          <t>https://example.com/supplier/0505</t>
        </is>
      </c>
      <c r="Q509" s="10">
        <f>IF(R509&gt;=85,"A",IF(R509&gt;=70,"B","C"))</f>
        <v/>
      </c>
      <c r="R509" s="13">
        <f>MIN(100,50+IF(M509="是",10,0)+IF(N509="是",10,0)+IF(L509&lt;=100,10,IF(L509&lt;=300,5,0))+IF(J509&lt;=20,10,IF(J509&lt;=50,5,0))+IF(K509-J509&lt;=20,5,0)+IF(F509="企业官网",5,0))</f>
        <v/>
      </c>
      <c r="S509" s="10">
        <f>IF(Q509="A","价格与起订量有优势，建议优先询盘",IF(Q509="B","条件较均衡，可作为备选","起订量或价格需要进一步确认"))</f>
        <v/>
      </c>
      <c r="T509" s="10" t="inlineStr">
        <is>
          <t>未联系</t>
        </is>
      </c>
      <c r="U509" s="10" t="inlineStr">
        <is>
          <t>虚构演示数据</t>
        </is>
      </c>
    </row>
    <row r="510" ht="21" customHeight="1">
      <c r="A510" s="10" t="inlineStr">
        <is>
          <t>GYS-0506</t>
        </is>
      </c>
      <c r="B510" s="10" t="inlineStr">
        <is>
          <t>南昌宠物用品供应链0506有限公司（演示）</t>
        </is>
      </c>
      <c r="C510" s="10" t="inlineStr">
        <is>
          <t>宠物用品</t>
        </is>
      </c>
      <c r="D510" s="10" t="inlineStr">
        <is>
          <t>宠物清洁手套</t>
        </is>
      </c>
      <c r="E510" s="10" t="inlineStr">
        <is>
          <t>江西南昌</t>
        </is>
      </c>
      <c r="F510" s="10" t="inlineStr">
        <is>
          <t>企业官网</t>
        </is>
      </c>
      <c r="G510" s="10" t="inlineStr">
        <is>
          <t>黄经理</t>
        </is>
      </c>
      <c r="H510" s="10" t="inlineStr">
        <is>
          <t>000-0000-0506</t>
        </is>
      </c>
      <c r="I510" s="10" t="inlineStr">
        <is>
          <t>DEMO_GYS_0506</t>
        </is>
      </c>
      <c r="J510" s="11" t="n">
        <v>35</v>
      </c>
      <c r="K510" s="11" t="n">
        <v>55.6</v>
      </c>
      <c r="L510" s="12" t="n">
        <v>300</v>
      </c>
      <c r="M510" s="10" t="inlineStr">
        <is>
          <t>是</t>
        </is>
      </c>
      <c r="N510" s="10" t="inlineStr">
        <is>
          <t>是</t>
        </is>
      </c>
      <c r="O510" s="10" t="inlineStr">
        <is>
          <t>supplier0506@example.com</t>
        </is>
      </c>
      <c r="P510" s="10" t="inlineStr">
        <is>
          <t>https://example.com/supplier/0506</t>
        </is>
      </c>
      <c r="Q510" s="10">
        <f>IF(R510&gt;=85,"A",IF(R510&gt;=70,"B","C"))</f>
        <v/>
      </c>
      <c r="R510" s="13">
        <f>MIN(100,50+IF(M510="是",10,0)+IF(N510="是",10,0)+IF(L510&lt;=100,10,IF(L510&lt;=300,5,0))+IF(J510&lt;=20,10,IF(J510&lt;=50,5,0))+IF(K510-J510&lt;=20,5,0)+IF(F510="企业官网",5,0))</f>
        <v/>
      </c>
      <c r="S510" s="10">
        <f>IF(Q510="A","价格与起订量有优势，建议优先询盘",IF(Q510="B","条件较均衡，可作为备选","起订量或价格需要进一步确认"))</f>
        <v/>
      </c>
      <c r="T510" s="10" t="inlineStr">
        <is>
          <t>未联系</t>
        </is>
      </c>
      <c r="U510" s="10" t="inlineStr">
        <is>
          <t>虚构演示数据</t>
        </is>
      </c>
    </row>
    <row r="511" ht="21" customHeight="1">
      <c r="A511" s="10" t="inlineStr">
        <is>
          <t>GYS-0507</t>
        </is>
      </c>
      <c r="B511" s="10" t="inlineStr">
        <is>
          <t>温州母婴用品供应链0507有限公司（演示）</t>
        </is>
      </c>
      <c r="C511" s="10" t="inlineStr">
        <is>
          <t>母婴用品</t>
        </is>
      </c>
      <c r="D511" s="10" t="inlineStr">
        <is>
          <t>婴儿防撞条</t>
        </is>
      </c>
      <c r="E511" s="10" t="inlineStr">
        <is>
          <t>浙江温州</t>
        </is>
      </c>
      <c r="F511" s="10" t="inlineStr">
        <is>
          <t>义乌购</t>
        </is>
      </c>
      <c r="G511" s="10" t="inlineStr">
        <is>
          <t>赵经理</t>
        </is>
      </c>
      <c r="H511" s="10" t="inlineStr">
        <is>
          <t>000-0000-0507</t>
        </is>
      </c>
      <c r="I511" s="10" t="inlineStr">
        <is>
          <t>DEMO_GYS_0507</t>
        </is>
      </c>
      <c r="J511" s="11" t="n">
        <v>36.7</v>
      </c>
      <c r="K511" s="11" t="n">
        <v>58.4</v>
      </c>
      <c r="L511" s="12" t="n">
        <v>200</v>
      </c>
      <c r="M511" s="10" t="inlineStr">
        <is>
          <t>是</t>
        </is>
      </c>
      <c r="N511" s="10" t="inlineStr">
        <is>
          <t>否</t>
        </is>
      </c>
      <c r="O511" s="10" t="inlineStr">
        <is>
          <t>supplier0507@example.com</t>
        </is>
      </c>
      <c r="P511" s="10" t="inlineStr">
        <is>
          <t>https://example.com/supplier/0507</t>
        </is>
      </c>
      <c r="Q511" s="10">
        <f>IF(R511&gt;=85,"A",IF(R511&gt;=70,"B","C"))</f>
        <v/>
      </c>
      <c r="R511" s="13">
        <f>MIN(100,50+IF(M511="是",10,0)+IF(N511="是",10,0)+IF(L511&lt;=100,10,IF(L511&lt;=300,5,0))+IF(J511&lt;=20,10,IF(J511&lt;=50,5,0))+IF(K511-J511&lt;=20,5,0)+IF(F511="企业官网",5,0))</f>
        <v/>
      </c>
      <c r="S511" s="10">
        <f>IF(Q511="A","价格与起订量有优势，建议优先询盘",IF(Q511="B","条件较均衡，可作为备选","起订量或价格需要进一步确认"))</f>
        <v/>
      </c>
      <c r="T511" s="10" t="inlineStr">
        <is>
          <t>未联系</t>
        </is>
      </c>
      <c r="U511" s="10" t="inlineStr">
        <is>
          <t>虚构演示数据</t>
        </is>
      </c>
    </row>
    <row r="512" ht="21" customHeight="1">
      <c r="A512" s="10" t="inlineStr">
        <is>
          <t>GYS-0508</t>
        </is>
      </c>
      <c r="B512" s="10" t="inlineStr">
        <is>
          <t>广州运动户外供应链0508有限公司（演示）</t>
        </is>
      </c>
      <c r="C512" s="10" t="inlineStr">
        <is>
          <t>运动户外</t>
        </is>
      </c>
      <c r="D512" s="10" t="inlineStr">
        <is>
          <t>弹力训练带</t>
        </is>
      </c>
      <c r="E512" s="10" t="inlineStr">
        <is>
          <t>广东广州</t>
        </is>
      </c>
      <c r="F512" s="10" t="inlineStr">
        <is>
          <t>慧聪网</t>
        </is>
      </c>
      <c r="G512" s="10" t="inlineStr">
        <is>
          <t>周经理</t>
        </is>
      </c>
      <c r="H512" s="10" t="inlineStr">
        <is>
          <t>000-0000-0508</t>
        </is>
      </c>
      <c r="I512" s="10" t="inlineStr">
        <is>
          <t>DEMO_GYS_0508</t>
        </is>
      </c>
      <c r="J512" s="11" t="n">
        <v>38.4</v>
      </c>
      <c r="K512" s="11" t="n">
        <v>43.2</v>
      </c>
      <c r="L512" s="12" t="n">
        <v>100</v>
      </c>
      <c r="M512" s="10" t="inlineStr">
        <is>
          <t>否</t>
        </is>
      </c>
      <c r="N512" s="10" t="inlineStr">
        <is>
          <t>是</t>
        </is>
      </c>
      <c r="O512" s="10" t="inlineStr">
        <is>
          <t>supplier0508@example.com</t>
        </is>
      </c>
      <c r="P512" s="10" t="inlineStr">
        <is>
          <t>https://example.com/supplier/0508</t>
        </is>
      </c>
      <c r="Q512" s="10">
        <f>IF(R512&gt;=85,"A",IF(R512&gt;=70,"B","C"))</f>
        <v/>
      </c>
      <c r="R512" s="13">
        <f>MIN(100,50+IF(M512="是",10,0)+IF(N512="是",10,0)+IF(L512&lt;=100,10,IF(L512&lt;=300,5,0))+IF(J512&lt;=20,10,IF(J512&lt;=50,5,0))+IF(K512-J512&lt;=20,5,0)+IF(F512="企业官网",5,0))</f>
        <v/>
      </c>
      <c r="S512" s="10">
        <f>IF(Q512="A","价格与起订量有优势，建议优先询盘",IF(Q512="B","条件较均衡，可作为备选","起订量或价格需要进一步确认"))</f>
        <v/>
      </c>
      <c r="T512" s="10" t="inlineStr">
        <is>
          <t>未联系</t>
        </is>
      </c>
      <c r="U512" s="10" t="inlineStr">
        <is>
          <t>虚构演示数据</t>
        </is>
      </c>
    </row>
    <row r="513" ht="21" customHeight="1">
      <c r="A513" s="10" t="inlineStr">
        <is>
          <t>GYS-0509</t>
        </is>
      </c>
      <c r="B513" s="10" t="inlineStr">
        <is>
          <t>泉州办公文具供应链0509有限公司（演示）</t>
        </is>
      </c>
      <c r="C513" s="10" t="inlineStr">
        <is>
          <t>办公文具</t>
        </is>
      </c>
      <c r="D513" s="10" t="inlineStr">
        <is>
          <t>桌面收纳架</t>
        </is>
      </c>
      <c r="E513" s="10" t="inlineStr">
        <is>
          <t>福建泉州</t>
        </is>
      </c>
      <c r="F513" s="10" t="inlineStr">
        <is>
          <t>1688</t>
        </is>
      </c>
      <c r="G513" s="10" t="inlineStr">
        <is>
          <t>吴经理</t>
        </is>
      </c>
      <c r="H513" s="10" t="inlineStr">
        <is>
          <t>000-0000-0509</t>
        </is>
      </c>
      <c r="I513" s="10" t="inlineStr">
        <is>
          <t>DEMO_GYS_0509</t>
        </is>
      </c>
      <c r="J513" s="11" t="n">
        <v>40.1</v>
      </c>
      <c r="K513" s="11" t="n">
        <v>46</v>
      </c>
      <c r="L513" s="12" t="n">
        <v>50</v>
      </c>
      <c r="M513" s="10" t="inlineStr">
        <is>
          <t>是</t>
        </is>
      </c>
      <c r="N513" s="10" t="inlineStr">
        <is>
          <t>是</t>
        </is>
      </c>
      <c r="O513" s="10" t="inlineStr">
        <is>
          <t>supplier0509@example.com</t>
        </is>
      </c>
      <c r="P513" s="10" t="inlineStr">
        <is>
          <t>https://example.com/supplier/0509</t>
        </is>
      </c>
      <c r="Q513" s="10">
        <f>IF(R513&gt;=85,"A",IF(R513&gt;=70,"B","C"))</f>
        <v/>
      </c>
      <c r="R513" s="13">
        <f>MIN(100,50+IF(M513="是",10,0)+IF(N513="是",10,0)+IF(L513&lt;=100,10,IF(L513&lt;=300,5,0))+IF(J513&lt;=20,10,IF(J513&lt;=50,5,0))+IF(K513-J513&lt;=20,5,0)+IF(F513="企业官网",5,0))</f>
        <v/>
      </c>
      <c r="S513" s="10">
        <f>IF(Q513="A","价格与起订量有优势，建议优先询盘",IF(Q513="B","条件较均衡，可作为备选","起订量或价格需要进一步确认"))</f>
        <v/>
      </c>
      <c r="T513" s="10" t="inlineStr">
        <is>
          <t>未联系</t>
        </is>
      </c>
      <c r="U513" s="10" t="inlineStr">
        <is>
          <t>虚构演示数据</t>
        </is>
      </c>
    </row>
    <row r="514" ht="21" customHeight="1">
      <c r="A514" s="10" t="inlineStr">
        <is>
          <t>GYS-0510</t>
        </is>
      </c>
      <c r="B514" s="10" t="inlineStr">
        <is>
          <t>南通汽车用品供应链0510有限公司（演示）</t>
        </is>
      </c>
      <c r="C514" s="10" t="inlineStr">
        <is>
          <t>汽车用品</t>
        </is>
      </c>
      <c r="D514" s="10" t="inlineStr">
        <is>
          <t>车载香薰</t>
        </is>
      </c>
      <c r="E514" s="10" t="inlineStr">
        <is>
          <t>江苏南通</t>
        </is>
      </c>
      <c r="F514" s="10" t="inlineStr">
        <is>
          <t>中国制造网</t>
        </is>
      </c>
      <c r="G514" s="10" t="inlineStr">
        <is>
          <t>陈经理</t>
        </is>
      </c>
      <c r="H514" s="10" t="inlineStr">
        <is>
          <t>000-0000-0510</t>
        </is>
      </c>
      <c r="I514" s="10" t="inlineStr">
        <is>
          <t>DEMO_GYS_0510</t>
        </is>
      </c>
      <c r="J514" s="11" t="n">
        <v>41.8</v>
      </c>
      <c r="K514" s="11" t="n">
        <v>48.8</v>
      </c>
      <c r="L514" s="12" t="n">
        <v>20</v>
      </c>
      <c r="M514" s="10" t="inlineStr">
        <is>
          <t>是</t>
        </is>
      </c>
      <c r="N514" s="10" t="inlineStr">
        <is>
          <t>否</t>
        </is>
      </c>
      <c r="O514" s="10" t="inlineStr">
        <is>
          <t>supplier0510@example.com</t>
        </is>
      </c>
      <c r="P514" s="10" t="inlineStr">
        <is>
          <t>https://example.com/supplier/0510</t>
        </is>
      </c>
      <c r="Q514" s="10">
        <f>IF(R514&gt;=85,"A",IF(R514&gt;=70,"B","C"))</f>
        <v/>
      </c>
      <c r="R514" s="13">
        <f>MIN(100,50+IF(M514="是",10,0)+IF(N514="是",10,0)+IF(L514&lt;=100,10,IF(L514&lt;=300,5,0))+IF(J514&lt;=20,10,IF(J514&lt;=50,5,0))+IF(K514-J514&lt;=20,5,0)+IF(F514="企业官网",5,0))</f>
        <v/>
      </c>
      <c r="S514" s="10">
        <f>IF(Q514="A","价格与起订量有优势，建议优先询盘",IF(Q514="B","条件较均衡，可作为备选","起订量或价格需要进一步确认"))</f>
        <v/>
      </c>
      <c r="T514" s="10" t="inlineStr">
        <is>
          <t>未联系</t>
        </is>
      </c>
      <c r="U514" s="10" t="inlineStr">
        <is>
          <t>虚构演示数据</t>
        </is>
      </c>
    </row>
    <row r="515" ht="21" customHeight="1">
      <c r="A515" s="10" t="inlineStr">
        <is>
          <t>GYS-0511</t>
        </is>
      </c>
      <c r="B515" s="10" t="inlineStr">
        <is>
          <t>郑州美容工具供应链0511有限公司（演示）</t>
        </is>
      </c>
      <c r="C515" s="10" t="inlineStr">
        <is>
          <t>美容工具</t>
        </is>
      </c>
      <c r="D515" s="10" t="inlineStr">
        <is>
          <t>便携化妆镜</t>
        </is>
      </c>
      <c r="E515" s="10" t="inlineStr">
        <is>
          <t>河南郑州</t>
        </is>
      </c>
      <c r="F515" s="10" t="inlineStr">
        <is>
          <t>企业官网</t>
        </is>
      </c>
      <c r="G515" s="10" t="inlineStr">
        <is>
          <t>林经理</t>
        </is>
      </c>
      <c r="H515" s="10" t="inlineStr">
        <is>
          <t>000-0000-0511</t>
        </is>
      </c>
      <c r="I515" s="10" t="inlineStr">
        <is>
          <t>DEMO_GYS_0511</t>
        </is>
      </c>
      <c r="J515" s="11" t="n">
        <v>43.5</v>
      </c>
      <c r="K515" s="11" t="n">
        <v>51.6</v>
      </c>
      <c r="L515" s="12" t="n">
        <v>500</v>
      </c>
      <c r="M515" s="10" t="inlineStr">
        <is>
          <t>是</t>
        </is>
      </c>
      <c r="N515" s="10" t="inlineStr">
        <is>
          <t>是</t>
        </is>
      </c>
      <c r="O515" s="10" t="inlineStr">
        <is>
          <t>supplier0511@example.com</t>
        </is>
      </c>
      <c r="P515" s="10" t="inlineStr">
        <is>
          <t>https://example.com/supplier/0511</t>
        </is>
      </c>
      <c r="Q515" s="10">
        <f>IF(R515&gt;=85,"A",IF(R515&gt;=70,"B","C"))</f>
        <v/>
      </c>
      <c r="R515" s="13">
        <f>MIN(100,50+IF(M515="是",10,0)+IF(N515="是",10,0)+IF(L515&lt;=100,10,IF(L515&lt;=300,5,0))+IF(J515&lt;=20,10,IF(J515&lt;=50,5,0))+IF(K515-J515&lt;=20,5,0)+IF(F515="企业官网",5,0))</f>
        <v/>
      </c>
      <c r="S515" s="10">
        <f>IF(Q515="A","价格与起订量有优势，建议优先询盘",IF(Q515="B","条件较均衡，可作为备选","起订量或价格需要进一步确认"))</f>
        <v/>
      </c>
      <c r="T515" s="10" t="inlineStr">
        <is>
          <t>未联系</t>
        </is>
      </c>
      <c r="U515" s="10" t="inlineStr">
        <is>
          <t>虚构演示数据</t>
        </is>
      </c>
    </row>
    <row r="516" ht="21" customHeight="1">
      <c r="A516" s="10" t="inlineStr">
        <is>
          <t>GYS-0512</t>
        </is>
      </c>
      <c r="B516" s="10" t="inlineStr">
        <is>
          <t>宁波旅行用品供应链0512有限公司（演示）</t>
        </is>
      </c>
      <c r="C516" s="10" t="inlineStr">
        <is>
          <t>旅行用品</t>
        </is>
      </c>
      <c r="D516" s="10" t="inlineStr">
        <is>
          <t>压缩收纳袋</t>
        </is>
      </c>
      <c r="E516" s="10" t="inlineStr">
        <is>
          <t>浙江宁波</t>
        </is>
      </c>
      <c r="F516" s="10" t="inlineStr">
        <is>
          <t>义乌购</t>
        </is>
      </c>
      <c r="G516" s="10" t="inlineStr">
        <is>
          <t>王经理</t>
        </is>
      </c>
      <c r="H516" s="10" t="inlineStr">
        <is>
          <t>000-0000-0512</t>
        </is>
      </c>
      <c r="I516" s="10" t="inlineStr">
        <is>
          <t>DEMO_GYS_0512</t>
        </is>
      </c>
      <c r="J516" s="11" t="n">
        <v>45.2</v>
      </c>
      <c r="K516" s="11" t="n">
        <v>54.4</v>
      </c>
      <c r="L516" s="12" t="n">
        <v>300</v>
      </c>
      <c r="M516" s="10" t="inlineStr">
        <is>
          <t>否</t>
        </is>
      </c>
      <c r="N516" s="10" t="inlineStr">
        <is>
          <t>是</t>
        </is>
      </c>
      <c r="O516" s="10" t="inlineStr">
        <is>
          <t>supplier0512@example.com</t>
        </is>
      </c>
      <c r="P516" s="10" t="inlineStr">
        <is>
          <t>https://example.com/supplier/0512</t>
        </is>
      </c>
      <c r="Q516" s="10">
        <f>IF(R516&gt;=85,"A",IF(R516&gt;=70,"B","C"))</f>
        <v/>
      </c>
      <c r="R516" s="13">
        <f>MIN(100,50+IF(M516="是",10,0)+IF(N516="是",10,0)+IF(L516&lt;=100,10,IF(L516&lt;=300,5,0))+IF(J516&lt;=20,10,IF(J516&lt;=50,5,0))+IF(K516-J516&lt;=20,5,0)+IF(F516="企业官网",5,0))</f>
        <v/>
      </c>
      <c r="S516" s="10">
        <f>IF(Q516="A","价格与起订量有优势，建议优先询盘",IF(Q516="B","条件较均衡，可作为备选","起订量或价格需要进一步确认"))</f>
        <v/>
      </c>
      <c r="T516" s="10" t="inlineStr">
        <is>
          <t>未联系</t>
        </is>
      </c>
      <c r="U516" s="10" t="inlineStr">
        <is>
          <t>虚构演示数据</t>
        </is>
      </c>
    </row>
    <row r="517" ht="21" customHeight="1">
      <c r="A517" s="10" t="inlineStr">
        <is>
          <t>GYS-0513</t>
        </is>
      </c>
      <c r="B517" s="10" t="inlineStr">
        <is>
          <t>深圳清洁工具供应链0513有限公司（演示）</t>
        </is>
      </c>
      <c r="C517" s="10" t="inlineStr">
        <is>
          <t>清洁工具</t>
        </is>
      </c>
      <c r="D517" s="10" t="inlineStr">
        <is>
          <t>免手洗拖把</t>
        </is>
      </c>
      <c r="E517" s="10" t="inlineStr">
        <is>
          <t>广东深圳</t>
        </is>
      </c>
      <c r="F517" s="10" t="inlineStr">
        <is>
          <t>慧聪网</t>
        </is>
      </c>
      <c r="G517" s="10" t="inlineStr">
        <is>
          <t>李经理</t>
        </is>
      </c>
      <c r="H517" s="10" t="inlineStr">
        <is>
          <t>000-0000-0513</t>
        </is>
      </c>
      <c r="I517" s="10" t="inlineStr">
        <is>
          <t>DEMO_GYS_0513</t>
        </is>
      </c>
      <c r="J517" s="11" t="n">
        <v>46.9</v>
      </c>
      <c r="K517" s="11" t="n">
        <v>57.2</v>
      </c>
      <c r="L517" s="12" t="n">
        <v>200</v>
      </c>
      <c r="M517" s="10" t="inlineStr">
        <is>
          <t>是</t>
        </is>
      </c>
      <c r="N517" s="10" t="inlineStr">
        <is>
          <t>否</t>
        </is>
      </c>
      <c r="O517" s="10" t="inlineStr">
        <is>
          <t>supplier0513@example.com</t>
        </is>
      </c>
      <c r="P517" s="10" t="inlineStr">
        <is>
          <t>https://example.com/supplier/0513</t>
        </is>
      </c>
      <c r="Q517" s="10">
        <f>IF(R517&gt;=85,"A",IF(R517&gt;=70,"B","C"))</f>
        <v/>
      </c>
      <c r="R517" s="13">
        <f>MIN(100,50+IF(M517="是",10,0)+IF(N517="是",10,0)+IF(L517&lt;=100,10,IF(L517&lt;=300,5,0))+IF(J517&lt;=20,10,IF(J517&lt;=50,5,0))+IF(K517-J517&lt;=20,5,0)+IF(F517="企业官网",5,0))</f>
        <v/>
      </c>
      <c r="S517" s="10">
        <f>IF(Q517="A","价格与起订量有优势，建议优先询盘",IF(Q517="B","条件较均衡，可作为备选","起订量或价格需要进一步确认"))</f>
        <v/>
      </c>
      <c r="T517" s="10" t="inlineStr">
        <is>
          <t>未联系</t>
        </is>
      </c>
      <c r="U517" s="10" t="inlineStr">
        <is>
          <t>虚构演示数据</t>
        </is>
      </c>
    </row>
    <row r="518" ht="21" customHeight="1">
      <c r="A518" s="10" t="inlineStr">
        <is>
          <t>GYS-0514</t>
        </is>
      </c>
      <c r="B518" s="10" t="inlineStr">
        <is>
          <t>佛山小家电供应链0514有限公司（演示）</t>
        </is>
      </c>
      <c r="C518" s="10" t="inlineStr">
        <is>
          <t>小家电</t>
        </is>
      </c>
      <c r="D518" s="10" t="inlineStr">
        <is>
          <t>迷你加湿器</t>
        </is>
      </c>
      <c r="E518" s="10" t="inlineStr">
        <is>
          <t>广东佛山</t>
        </is>
      </c>
      <c r="F518" s="10" t="inlineStr">
        <is>
          <t>1688</t>
        </is>
      </c>
      <c r="G518" s="10" t="inlineStr">
        <is>
          <t>张经理</t>
        </is>
      </c>
      <c r="H518" s="10" t="inlineStr">
        <is>
          <t>000-0000-0514</t>
        </is>
      </c>
      <c r="I518" s="10" t="inlineStr">
        <is>
          <t>DEMO_GYS_0514</t>
        </is>
      </c>
      <c r="J518" s="11" t="n">
        <v>48.6</v>
      </c>
      <c r="K518" s="11" t="n">
        <v>60</v>
      </c>
      <c r="L518" s="12" t="n">
        <v>100</v>
      </c>
      <c r="M518" s="10" t="inlineStr">
        <is>
          <t>是</t>
        </is>
      </c>
      <c r="N518" s="10" t="inlineStr">
        <is>
          <t>是</t>
        </is>
      </c>
      <c r="O518" s="10" t="inlineStr">
        <is>
          <t>supplier0514@example.com</t>
        </is>
      </c>
      <c r="P518" s="10" t="inlineStr">
        <is>
          <t>https://example.com/supplier/0514</t>
        </is>
      </c>
      <c r="Q518" s="10">
        <f>IF(R518&gt;=85,"A",IF(R518&gt;=70,"B","C"))</f>
        <v/>
      </c>
      <c r="R518" s="13">
        <f>MIN(100,50+IF(M518="是",10,0)+IF(N518="是",10,0)+IF(L518&lt;=100,10,IF(L518&lt;=300,5,0))+IF(J518&lt;=20,10,IF(J518&lt;=50,5,0))+IF(K518-J518&lt;=20,5,0)+IF(F518="企业官网",5,0))</f>
        <v/>
      </c>
      <c r="S518" s="10">
        <f>IF(Q518="A","价格与起订量有优势，建议优先询盘",IF(Q518="B","条件较均衡，可作为备选","起订量或价格需要进一步确认"))</f>
        <v/>
      </c>
      <c r="T518" s="10" t="inlineStr">
        <is>
          <t>未联系</t>
        </is>
      </c>
      <c r="U518" s="10" t="inlineStr">
        <is>
          <t>虚构演示数据</t>
        </is>
      </c>
    </row>
    <row r="519" ht="21" customHeight="1">
      <c r="A519" s="10" t="inlineStr">
        <is>
          <t>GYS-0515</t>
        </is>
      </c>
      <c r="B519" s="10" t="inlineStr">
        <is>
          <t>苏州礼品包装供应链0515有限公司（演示）</t>
        </is>
      </c>
      <c r="C519" s="10" t="inlineStr">
        <is>
          <t>礼品包装</t>
        </is>
      </c>
      <c r="D519" s="10" t="inlineStr">
        <is>
          <t>节日礼盒</t>
        </is>
      </c>
      <c r="E519" s="10" t="inlineStr">
        <is>
          <t>江苏苏州</t>
        </is>
      </c>
      <c r="F519" s="10" t="inlineStr">
        <is>
          <t>中国制造网</t>
        </is>
      </c>
      <c r="G519" s="10" t="inlineStr">
        <is>
          <t>刘经理</t>
        </is>
      </c>
      <c r="H519" s="10" t="inlineStr">
        <is>
          <t>000-0000-0515</t>
        </is>
      </c>
      <c r="I519" s="10" t="inlineStr">
        <is>
          <t>DEMO_GYS_0515</t>
        </is>
      </c>
      <c r="J519" s="11" t="n">
        <v>4.3</v>
      </c>
      <c r="K519" s="11" t="n">
        <v>16.8</v>
      </c>
      <c r="L519" s="12" t="n">
        <v>50</v>
      </c>
      <c r="M519" s="10" t="inlineStr">
        <is>
          <t>是</t>
        </is>
      </c>
      <c r="N519" s="10" t="inlineStr">
        <is>
          <t>是</t>
        </is>
      </c>
      <c r="O519" s="10" t="inlineStr">
        <is>
          <t>supplier0515@example.com</t>
        </is>
      </c>
      <c r="P519" s="10" t="inlineStr">
        <is>
          <t>https://example.com/supplier/0515</t>
        </is>
      </c>
      <c r="Q519" s="10">
        <f>IF(R519&gt;=85,"A",IF(R519&gt;=70,"B","C"))</f>
        <v/>
      </c>
      <c r="R519" s="13">
        <f>MIN(100,50+IF(M519="是",10,0)+IF(N519="是",10,0)+IF(L519&lt;=100,10,IF(L519&lt;=300,5,0))+IF(J519&lt;=20,10,IF(J519&lt;=50,5,0))+IF(K519-J519&lt;=20,5,0)+IF(F519="企业官网",5,0))</f>
        <v/>
      </c>
      <c r="S519" s="10">
        <f>IF(Q519="A","价格与起订量有优势，建议优先询盘",IF(Q519="B","条件较均衡，可作为备选","起订量或价格需要进一步确认"))</f>
        <v/>
      </c>
      <c r="T519" s="10" t="inlineStr">
        <is>
          <t>未联系</t>
        </is>
      </c>
      <c r="U519" s="10" t="inlineStr">
        <is>
          <t>虚构演示数据</t>
        </is>
      </c>
    </row>
    <row r="520" ht="21" customHeight="1">
      <c r="A520" s="10" t="inlineStr">
        <is>
          <t>GYS-0516</t>
        </is>
      </c>
      <c r="B520" s="10" t="inlineStr">
        <is>
          <t>白沟五金工具供应链0516有限公司（演示）</t>
        </is>
      </c>
      <c r="C520" s="10" t="inlineStr">
        <is>
          <t>五金工具</t>
        </is>
      </c>
      <c r="D520" s="10" t="inlineStr">
        <is>
          <t>多功能螺丝刀</t>
        </is>
      </c>
      <c r="E520" s="10" t="inlineStr">
        <is>
          <t>河北白沟</t>
        </is>
      </c>
      <c r="F520" s="10" t="inlineStr">
        <is>
          <t>企业官网</t>
        </is>
      </c>
      <c r="G520" s="10" t="inlineStr">
        <is>
          <t>黄经理</t>
        </is>
      </c>
      <c r="H520" s="10" t="inlineStr">
        <is>
          <t>000-0000-0516</t>
        </is>
      </c>
      <c r="I520" s="10" t="inlineStr">
        <is>
          <t>DEMO_GYS_0516</t>
        </is>
      </c>
      <c r="J520" s="11" t="n">
        <v>6</v>
      </c>
      <c r="K520" s="11" t="n">
        <v>19.6</v>
      </c>
      <c r="L520" s="12" t="n">
        <v>20</v>
      </c>
      <c r="M520" s="10" t="inlineStr">
        <is>
          <t>否</t>
        </is>
      </c>
      <c r="N520" s="10" t="inlineStr">
        <is>
          <t>否</t>
        </is>
      </c>
      <c r="O520" s="10" t="inlineStr">
        <is>
          <t>supplier0516@example.com</t>
        </is>
      </c>
      <c r="P520" s="10" t="inlineStr">
        <is>
          <t>https://example.com/supplier/0516</t>
        </is>
      </c>
      <c r="Q520" s="10">
        <f>IF(R520&gt;=85,"A",IF(R520&gt;=70,"B","C"))</f>
        <v/>
      </c>
      <c r="R520" s="13">
        <f>MIN(100,50+IF(M520="是",10,0)+IF(N520="是",10,0)+IF(L520&lt;=100,10,IF(L520&lt;=300,5,0))+IF(J520&lt;=20,10,IF(J520&lt;=50,5,0))+IF(K520-J520&lt;=20,5,0)+IF(F520="企业官网",5,0))</f>
        <v/>
      </c>
      <c r="S520" s="10">
        <f>IF(Q520="A","价格与起订量有优势，建议优先询盘",IF(Q520="B","条件较均衡，可作为备选","起订量或价格需要进一步确认"))</f>
        <v/>
      </c>
      <c r="T520" s="10" t="inlineStr">
        <is>
          <t>未联系</t>
        </is>
      </c>
      <c r="U520" s="10" t="inlineStr">
        <is>
          <t>虚构演示数据</t>
        </is>
      </c>
    </row>
    <row r="521" ht="21" customHeight="1">
      <c r="A521" s="10" t="inlineStr">
        <is>
          <t>GYS-0517</t>
        </is>
      </c>
      <c r="B521" s="10" t="inlineStr">
        <is>
          <t>义乌鞋靴配件供应链0517有限公司（演示）</t>
        </is>
      </c>
      <c r="C521" s="10" t="inlineStr">
        <is>
          <t>鞋靴配件</t>
        </is>
      </c>
      <c r="D521" s="10" t="inlineStr">
        <is>
          <t>防磨脚贴</t>
        </is>
      </c>
      <c r="E521" s="10" t="inlineStr">
        <is>
          <t>浙江义乌</t>
        </is>
      </c>
      <c r="F521" s="10" t="inlineStr">
        <is>
          <t>义乌购</t>
        </is>
      </c>
      <c r="G521" s="10" t="inlineStr">
        <is>
          <t>赵经理</t>
        </is>
      </c>
      <c r="H521" s="10" t="inlineStr">
        <is>
          <t>000-0000-0517</t>
        </is>
      </c>
      <c r="I521" s="10" t="inlineStr">
        <is>
          <t>DEMO_GYS_0517</t>
        </is>
      </c>
      <c r="J521" s="11" t="n">
        <v>7.7</v>
      </c>
      <c r="K521" s="11" t="n">
        <v>22.4</v>
      </c>
      <c r="L521" s="12" t="n">
        <v>500</v>
      </c>
      <c r="M521" s="10" t="inlineStr">
        <is>
          <t>是</t>
        </is>
      </c>
      <c r="N521" s="10" t="inlineStr">
        <is>
          <t>是</t>
        </is>
      </c>
      <c r="O521" s="10" t="inlineStr">
        <is>
          <t>supplier0517@example.com</t>
        </is>
      </c>
      <c r="P521" s="10" t="inlineStr">
        <is>
          <t>https://example.com/supplier/0517</t>
        </is>
      </c>
      <c r="Q521" s="10">
        <f>IF(R521&gt;=85,"A",IF(R521&gt;=70,"B","C"))</f>
        <v/>
      </c>
      <c r="R521" s="13">
        <f>MIN(100,50+IF(M521="是",10,0)+IF(N521="是",10,0)+IF(L521&lt;=100,10,IF(L521&lt;=300,5,0))+IF(J521&lt;=20,10,IF(J521&lt;=50,5,0))+IF(K521-J521&lt;=20,5,0)+IF(F521="企业官网",5,0))</f>
        <v/>
      </c>
      <c r="S521" s="10">
        <f>IF(Q521="A","价格与起订量有优势，建议优先询盘",IF(Q521="B","条件较均衡，可作为备选","起订量或价格需要进一步确认"))</f>
        <v/>
      </c>
      <c r="T521" s="10" t="inlineStr">
        <is>
          <t>未联系</t>
        </is>
      </c>
      <c r="U521" s="10" t="inlineStr">
        <is>
          <t>虚构演示数据</t>
        </is>
      </c>
    </row>
    <row r="522" ht="21" customHeight="1">
      <c r="A522" s="10" t="inlineStr">
        <is>
          <t>GYS-0518</t>
        </is>
      </c>
      <c r="B522" s="10" t="inlineStr">
        <is>
          <t>台州食品包装供应链0518有限公司（演示）</t>
        </is>
      </c>
      <c r="C522" s="10" t="inlineStr">
        <is>
          <t>食品包装</t>
        </is>
      </c>
      <c r="D522" s="10" t="inlineStr">
        <is>
          <t>密封包装袋</t>
        </is>
      </c>
      <c r="E522" s="10" t="inlineStr">
        <is>
          <t>浙江台州</t>
        </is>
      </c>
      <c r="F522" s="10" t="inlineStr">
        <is>
          <t>慧聪网</t>
        </is>
      </c>
      <c r="G522" s="10" t="inlineStr">
        <is>
          <t>周经理</t>
        </is>
      </c>
      <c r="H522" s="10" t="inlineStr">
        <is>
          <t>000-0000-0518</t>
        </is>
      </c>
      <c r="I522" s="10" t="inlineStr">
        <is>
          <t>DEMO_GYS_0518</t>
        </is>
      </c>
      <c r="J522" s="11" t="n">
        <v>9.4</v>
      </c>
      <c r="K522" s="11" t="n">
        <v>25.2</v>
      </c>
      <c r="L522" s="12" t="n">
        <v>300</v>
      </c>
      <c r="M522" s="10" t="inlineStr">
        <is>
          <t>是</t>
        </is>
      </c>
      <c r="N522" s="10" t="inlineStr">
        <is>
          <t>是</t>
        </is>
      </c>
      <c r="O522" s="10" t="inlineStr">
        <is>
          <t>supplier0518@example.com</t>
        </is>
      </c>
      <c r="P522" s="10" t="inlineStr">
        <is>
          <t>https://example.com/supplier/0518</t>
        </is>
      </c>
      <c r="Q522" s="10">
        <f>IF(R522&gt;=85,"A",IF(R522&gt;=70,"B","C"))</f>
        <v/>
      </c>
      <c r="R522" s="13">
        <f>MIN(100,50+IF(M522="是",10,0)+IF(N522="是",10,0)+IF(L522&lt;=100,10,IF(L522&lt;=300,5,0))+IF(J522&lt;=20,10,IF(J522&lt;=50,5,0))+IF(K522-J522&lt;=20,5,0)+IF(F522="企业官网",5,0))</f>
        <v/>
      </c>
      <c r="S522" s="10">
        <f>IF(Q522="A","价格与起订量有优势，建议优先询盘",IF(Q522="B","条件较均衡，可作为备选","起订量或价格需要进一步确认"))</f>
        <v/>
      </c>
      <c r="T522" s="10" t="inlineStr">
        <is>
          <t>未联系</t>
        </is>
      </c>
      <c r="U522" s="10" t="inlineStr">
        <is>
          <t>虚构演示数据</t>
        </is>
      </c>
    </row>
    <row r="523" ht="21" customHeight="1">
      <c r="A523" s="10" t="inlineStr">
        <is>
          <t>GYS-0519</t>
        </is>
      </c>
      <c r="B523" s="10" t="inlineStr">
        <is>
          <t>东莞户外照明供应链0519有限公司（演示）</t>
        </is>
      </c>
      <c r="C523" s="10" t="inlineStr">
        <is>
          <t>户外照明</t>
        </is>
      </c>
      <c r="D523" s="10" t="inlineStr">
        <is>
          <t>便携露营灯</t>
        </is>
      </c>
      <c r="E523" s="10" t="inlineStr">
        <is>
          <t>广东东莞</t>
        </is>
      </c>
      <c r="F523" s="10" t="inlineStr">
        <is>
          <t>1688</t>
        </is>
      </c>
      <c r="G523" s="10" t="inlineStr">
        <is>
          <t>吴经理</t>
        </is>
      </c>
      <c r="H523" s="10" t="inlineStr">
        <is>
          <t>000-0000-0519</t>
        </is>
      </c>
      <c r="I523" s="10" t="inlineStr">
        <is>
          <t>DEMO_GYS_0519</t>
        </is>
      </c>
      <c r="J523" s="11" t="n">
        <v>11.1</v>
      </c>
      <c r="K523" s="11" t="n">
        <v>28</v>
      </c>
      <c r="L523" s="12" t="n">
        <v>200</v>
      </c>
      <c r="M523" s="10" t="inlineStr">
        <is>
          <t>是</t>
        </is>
      </c>
      <c r="N523" s="10" t="inlineStr">
        <is>
          <t>否</t>
        </is>
      </c>
      <c r="O523" s="10" t="inlineStr">
        <is>
          <t>supplier0519@example.com</t>
        </is>
      </c>
      <c r="P523" s="10" t="inlineStr">
        <is>
          <t>https://example.com/supplier/0519</t>
        </is>
      </c>
      <c r="Q523" s="10">
        <f>IF(R523&gt;=85,"A",IF(R523&gt;=70,"B","C"))</f>
        <v/>
      </c>
      <c r="R523" s="13">
        <f>MIN(100,50+IF(M523="是",10,0)+IF(N523="是",10,0)+IF(L523&lt;=100,10,IF(L523&lt;=300,5,0))+IF(J523&lt;=20,10,IF(J523&lt;=50,5,0))+IF(K523-J523&lt;=20,5,0)+IF(F523="企业官网",5,0))</f>
        <v/>
      </c>
      <c r="S523" s="10">
        <f>IF(Q523="A","价格与起订量有优势，建议优先询盘",IF(Q523="B","条件较均衡，可作为备选","起订量或价格需要进一步确认"))</f>
        <v/>
      </c>
      <c r="T523" s="10" t="inlineStr">
        <is>
          <t>未联系</t>
        </is>
      </c>
      <c r="U523" s="10" t="inlineStr">
        <is>
          <t>虚构演示数据</t>
        </is>
      </c>
    </row>
    <row r="524" ht="21" customHeight="1">
      <c r="A524" s="10" t="inlineStr">
        <is>
          <t>GYS-0520</t>
        </is>
      </c>
      <c r="B524" s="10" t="inlineStr">
        <is>
          <t>厦门健康用品供应链0520有限公司（演示）</t>
        </is>
      </c>
      <c r="C524" s="10" t="inlineStr">
        <is>
          <t>健康用品</t>
        </is>
      </c>
      <c r="D524" s="10" t="inlineStr">
        <is>
          <t>热敷眼罩</t>
        </is>
      </c>
      <c r="E524" s="10" t="inlineStr">
        <is>
          <t>福建厦门</t>
        </is>
      </c>
      <c r="F524" s="10" t="inlineStr">
        <is>
          <t>中国制造网</t>
        </is>
      </c>
      <c r="G524" s="10" t="inlineStr">
        <is>
          <t>陈经理</t>
        </is>
      </c>
      <c r="H524" s="10" t="inlineStr">
        <is>
          <t>000-0000-0520</t>
        </is>
      </c>
      <c r="I524" s="10" t="inlineStr">
        <is>
          <t>DEMO_GYS_0520</t>
        </is>
      </c>
      <c r="J524" s="11" t="n">
        <v>12.8</v>
      </c>
      <c r="K524" s="11" t="n">
        <v>30.8</v>
      </c>
      <c r="L524" s="12" t="n">
        <v>100</v>
      </c>
      <c r="M524" s="10" t="inlineStr">
        <is>
          <t>否</t>
        </is>
      </c>
      <c r="N524" s="10" t="inlineStr">
        <is>
          <t>是</t>
        </is>
      </c>
      <c r="O524" s="10" t="inlineStr">
        <is>
          <t>supplier0520@example.com</t>
        </is>
      </c>
      <c r="P524" s="10" t="inlineStr">
        <is>
          <t>https://example.com/supplier/0520</t>
        </is>
      </c>
      <c r="Q524" s="10">
        <f>IF(R524&gt;=85,"A",IF(R524&gt;=70,"B","C"))</f>
        <v/>
      </c>
      <c r="R524" s="13">
        <f>MIN(100,50+IF(M524="是",10,0)+IF(N524="是",10,0)+IF(L524&lt;=100,10,IF(L524&lt;=300,5,0))+IF(J524&lt;=20,10,IF(J524&lt;=50,5,0))+IF(K524-J524&lt;=20,5,0)+IF(F524="企业官网",5,0))</f>
        <v/>
      </c>
      <c r="S524" s="10">
        <f>IF(Q524="A","价格与起订量有优势，建议优先询盘",IF(Q524="B","条件较均衡，可作为备选","起订量或价格需要进一步确认"))</f>
        <v/>
      </c>
      <c r="T524" s="10" t="inlineStr">
        <is>
          <t>未联系</t>
        </is>
      </c>
      <c r="U524" s="10" t="inlineStr">
        <is>
          <t>虚构演示数据</t>
        </is>
      </c>
    </row>
    <row r="525" ht="21" customHeight="1">
      <c r="A525" s="10" t="inlineStr">
        <is>
          <t>GYS-0521</t>
        </is>
      </c>
      <c r="B525" s="10" t="inlineStr">
        <is>
          <t>临沂服饰内衣供应链0521有限公司（演示）</t>
        </is>
      </c>
      <c r="C525" s="10" t="inlineStr">
        <is>
          <t>服饰内衣</t>
        </is>
      </c>
      <c r="D525" s="10" t="inlineStr">
        <is>
          <t>防滑袜</t>
        </is>
      </c>
      <c r="E525" s="10" t="inlineStr">
        <is>
          <t>山东临沂</t>
        </is>
      </c>
      <c r="F525" s="10" t="inlineStr">
        <is>
          <t>企业官网</t>
        </is>
      </c>
      <c r="G525" s="10" t="inlineStr">
        <is>
          <t>林经理</t>
        </is>
      </c>
      <c r="H525" s="10" t="inlineStr">
        <is>
          <t>000-0000-0521</t>
        </is>
      </c>
      <c r="I525" s="10" t="inlineStr">
        <is>
          <t>DEMO_GYS_0521</t>
        </is>
      </c>
      <c r="J525" s="11" t="n">
        <v>14.5</v>
      </c>
      <c r="K525" s="11" t="n">
        <v>33.6</v>
      </c>
      <c r="L525" s="12" t="n">
        <v>50</v>
      </c>
      <c r="M525" s="10" t="inlineStr">
        <is>
          <t>是</t>
        </is>
      </c>
      <c r="N525" s="10" t="inlineStr">
        <is>
          <t>是</t>
        </is>
      </c>
      <c r="O525" s="10" t="inlineStr">
        <is>
          <t>supplier0521@example.com</t>
        </is>
      </c>
      <c r="P525" s="10" t="inlineStr">
        <is>
          <t>https://example.com/supplier/0521</t>
        </is>
      </c>
      <c r="Q525" s="10">
        <f>IF(R525&gt;=85,"A",IF(R525&gt;=70,"B","C"))</f>
        <v/>
      </c>
      <c r="R525" s="13">
        <f>MIN(100,50+IF(M525="是",10,0)+IF(N525="是",10,0)+IF(L525&lt;=100,10,IF(L525&lt;=300,5,0))+IF(J525&lt;=20,10,IF(J525&lt;=50,5,0))+IF(K525-J525&lt;=20,5,0)+IF(F525="企业官网",5,0))</f>
        <v/>
      </c>
      <c r="S525" s="10">
        <f>IF(Q525="A","价格与起订量有优势，建议优先询盘",IF(Q525="B","条件较均衡，可作为备选","起订量或价格需要进一步确认"))</f>
        <v/>
      </c>
      <c r="T525" s="10" t="inlineStr">
        <is>
          <t>未联系</t>
        </is>
      </c>
      <c r="U525" s="10" t="inlineStr">
        <is>
          <t>虚构演示数据</t>
        </is>
      </c>
    </row>
    <row r="526" ht="21" customHeight="1">
      <c r="A526" s="10" t="inlineStr">
        <is>
          <t>GYS-0522</t>
        </is>
      </c>
      <c r="B526" s="10" t="inlineStr">
        <is>
          <t>南昌家居日用供应链0522有限公司（演示）</t>
        </is>
      </c>
      <c r="C526" s="10" t="inlineStr">
        <is>
          <t>家居日用</t>
        </is>
      </c>
      <c r="D526" s="10" t="inlineStr">
        <is>
          <t>折叠收纳箱</t>
        </is>
      </c>
      <c r="E526" s="10" t="inlineStr">
        <is>
          <t>江西南昌</t>
        </is>
      </c>
      <c r="F526" s="10" t="inlineStr">
        <is>
          <t>义乌购</t>
        </is>
      </c>
      <c r="G526" s="10" t="inlineStr">
        <is>
          <t>王经理</t>
        </is>
      </c>
      <c r="H526" s="10" t="inlineStr">
        <is>
          <t>000-0000-0522</t>
        </is>
      </c>
      <c r="I526" s="10" t="inlineStr">
        <is>
          <t>DEMO_GYS_0522</t>
        </is>
      </c>
      <c r="J526" s="11" t="n">
        <v>16.2</v>
      </c>
      <c r="K526" s="11" t="n">
        <v>36.4</v>
      </c>
      <c r="L526" s="12" t="n">
        <v>20</v>
      </c>
      <c r="M526" s="10" t="inlineStr">
        <is>
          <t>是</t>
        </is>
      </c>
      <c r="N526" s="10" t="inlineStr">
        <is>
          <t>否</t>
        </is>
      </c>
      <c r="O526" s="10" t="inlineStr">
        <is>
          <t>supplier0522@example.com</t>
        </is>
      </c>
      <c r="P526" s="10" t="inlineStr">
        <is>
          <t>https://example.com/supplier/0522</t>
        </is>
      </c>
      <c r="Q526" s="10">
        <f>IF(R526&gt;=85,"A",IF(R526&gt;=70,"B","C"))</f>
        <v/>
      </c>
      <c r="R526" s="13">
        <f>MIN(100,50+IF(M526="是",10,0)+IF(N526="是",10,0)+IF(L526&lt;=100,10,IF(L526&lt;=300,5,0))+IF(J526&lt;=20,10,IF(J526&lt;=50,5,0))+IF(K526-J526&lt;=20,5,0)+IF(F526="企业官网",5,0))</f>
        <v/>
      </c>
      <c r="S526" s="10">
        <f>IF(Q526="A","价格与起订量有优势，建议优先询盘",IF(Q526="B","条件较均衡，可作为备选","起订量或价格需要进一步确认"))</f>
        <v/>
      </c>
      <c r="T526" s="10" t="inlineStr">
        <is>
          <t>未联系</t>
        </is>
      </c>
      <c r="U526" s="10" t="inlineStr">
        <is>
          <t>虚构演示数据</t>
        </is>
      </c>
    </row>
    <row r="527" ht="21" customHeight="1">
      <c r="A527" s="10" t="inlineStr">
        <is>
          <t>GYS-0523</t>
        </is>
      </c>
      <c r="B527" s="10" t="inlineStr">
        <is>
          <t>温州个护清洁供应链0523有限公司（演示）</t>
        </is>
      </c>
      <c r="C527" s="10" t="inlineStr">
        <is>
          <t>个护清洁</t>
        </is>
      </c>
      <c r="D527" s="10" t="inlineStr">
        <is>
          <t>便携洗脸巾</t>
        </is>
      </c>
      <c r="E527" s="10" t="inlineStr">
        <is>
          <t>浙江温州</t>
        </is>
      </c>
      <c r="F527" s="10" t="inlineStr">
        <is>
          <t>慧聪网</t>
        </is>
      </c>
      <c r="G527" s="10" t="inlineStr">
        <is>
          <t>李经理</t>
        </is>
      </c>
      <c r="H527" s="10" t="inlineStr">
        <is>
          <t>000-0000-0523</t>
        </is>
      </c>
      <c r="I527" s="10" t="inlineStr">
        <is>
          <t>DEMO_GYS_0523</t>
        </is>
      </c>
      <c r="J527" s="11" t="n">
        <v>17.9</v>
      </c>
      <c r="K527" s="11" t="n">
        <v>39.2</v>
      </c>
      <c r="L527" s="12" t="n">
        <v>500</v>
      </c>
      <c r="M527" s="10" t="inlineStr">
        <is>
          <t>是</t>
        </is>
      </c>
      <c r="N527" s="10" t="inlineStr">
        <is>
          <t>是</t>
        </is>
      </c>
      <c r="O527" s="10" t="inlineStr">
        <is>
          <t>supplier0523@example.com</t>
        </is>
      </c>
      <c r="P527" s="10" t="inlineStr">
        <is>
          <t>https://example.com/supplier/0523</t>
        </is>
      </c>
      <c r="Q527" s="10">
        <f>IF(R527&gt;=85,"A",IF(R527&gt;=70,"B","C"))</f>
        <v/>
      </c>
      <c r="R527" s="13">
        <f>MIN(100,50+IF(M527="是",10,0)+IF(N527="是",10,0)+IF(L527&lt;=100,10,IF(L527&lt;=300,5,0))+IF(J527&lt;=20,10,IF(J527&lt;=50,5,0))+IF(K527-J527&lt;=20,5,0)+IF(F527="企业官网",5,0))</f>
        <v/>
      </c>
      <c r="S527" s="10">
        <f>IF(Q527="A","价格与起订量有优势，建议优先询盘",IF(Q527="B","条件较均衡，可作为备选","起订量或价格需要进一步确认"))</f>
        <v/>
      </c>
      <c r="T527" s="10" t="inlineStr">
        <is>
          <t>未联系</t>
        </is>
      </c>
      <c r="U527" s="10" t="inlineStr">
        <is>
          <t>虚构演示数据</t>
        </is>
      </c>
    </row>
    <row r="528" ht="21" customHeight="1">
      <c r="A528" s="10" t="inlineStr">
        <is>
          <t>GYS-0524</t>
        </is>
      </c>
      <c r="B528" s="10" t="inlineStr">
        <is>
          <t>广州厨房用品供应链0524有限公司（演示）</t>
        </is>
      </c>
      <c r="C528" s="10" t="inlineStr">
        <is>
          <t>厨房用品</t>
        </is>
      </c>
      <c r="D528" s="10" t="inlineStr">
        <is>
          <t>硅胶保鲜盒</t>
        </is>
      </c>
      <c r="E528" s="10" t="inlineStr">
        <is>
          <t>广东广州</t>
        </is>
      </c>
      <c r="F528" s="10" t="inlineStr">
        <is>
          <t>1688</t>
        </is>
      </c>
      <c r="G528" s="10" t="inlineStr">
        <is>
          <t>张经理</t>
        </is>
      </c>
      <c r="H528" s="10" t="inlineStr">
        <is>
          <t>000-0000-0524</t>
        </is>
      </c>
      <c r="I528" s="10" t="inlineStr">
        <is>
          <t>DEMO_GYS_0524</t>
        </is>
      </c>
      <c r="J528" s="11" t="n">
        <v>19.6</v>
      </c>
      <c r="K528" s="11" t="n">
        <v>24</v>
      </c>
      <c r="L528" s="12" t="n">
        <v>300</v>
      </c>
      <c r="M528" s="10" t="inlineStr">
        <is>
          <t>否</t>
        </is>
      </c>
      <c r="N528" s="10" t="inlineStr">
        <is>
          <t>是</t>
        </is>
      </c>
      <c r="O528" s="10" t="inlineStr">
        <is>
          <t>supplier0524@example.com</t>
        </is>
      </c>
      <c r="P528" s="10" t="inlineStr">
        <is>
          <t>https://example.com/supplier/0524</t>
        </is>
      </c>
      <c r="Q528" s="10">
        <f>IF(R528&gt;=85,"A",IF(R528&gt;=70,"B","C"))</f>
        <v/>
      </c>
      <c r="R528" s="13">
        <f>MIN(100,50+IF(M528="是",10,0)+IF(N528="是",10,0)+IF(L528&lt;=100,10,IF(L528&lt;=300,5,0))+IF(J528&lt;=20,10,IF(J528&lt;=50,5,0))+IF(K528-J528&lt;=20,5,0)+IF(F528="企业官网",5,0))</f>
        <v/>
      </c>
      <c r="S528" s="10">
        <f>IF(Q528="A","价格与起订量有优势，建议优先询盘",IF(Q528="B","条件较均衡，可作为备选","起订量或价格需要进一步确认"))</f>
        <v/>
      </c>
      <c r="T528" s="10" t="inlineStr">
        <is>
          <t>未联系</t>
        </is>
      </c>
      <c r="U528" s="10" t="inlineStr">
        <is>
          <t>虚构演示数据</t>
        </is>
      </c>
    </row>
    <row r="529" ht="21" customHeight="1">
      <c r="A529" s="10" t="inlineStr">
        <is>
          <t>GYS-0525</t>
        </is>
      </c>
      <c r="B529" s="10" t="inlineStr">
        <is>
          <t>泉州数码配件供应链0525有限公司（演示）</t>
        </is>
      </c>
      <c r="C529" s="10" t="inlineStr">
        <is>
          <t>数码配件</t>
        </is>
      </c>
      <c r="D529" s="10" t="inlineStr">
        <is>
          <t>磁吸手机支架</t>
        </is>
      </c>
      <c r="E529" s="10" t="inlineStr">
        <is>
          <t>福建泉州</t>
        </is>
      </c>
      <c r="F529" s="10" t="inlineStr">
        <is>
          <t>中国制造网</t>
        </is>
      </c>
      <c r="G529" s="10" t="inlineStr">
        <is>
          <t>刘经理</t>
        </is>
      </c>
      <c r="H529" s="10" t="inlineStr">
        <is>
          <t>000-0000-0525</t>
        </is>
      </c>
      <c r="I529" s="10" t="inlineStr">
        <is>
          <t>DEMO_GYS_0525</t>
        </is>
      </c>
      <c r="J529" s="11" t="n">
        <v>21.3</v>
      </c>
      <c r="K529" s="11" t="n">
        <v>26.8</v>
      </c>
      <c r="L529" s="12" t="n">
        <v>200</v>
      </c>
      <c r="M529" s="10" t="inlineStr">
        <is>
          <t>是</t>
        </is>
      </c>
      <c r="N529" s="10" t="inlineStr">
        <is>
          <t>否</t>
        </is>
      </c>
      <c r="O529" s="10" t="inlineStr">
        <is>
          <t>supplier0525@example.com</t>
        </is>
      </c>
      <c r="P529" s="10" t="inlineStr">
        <is>
          <t>https://example.com/supplier/0525</t>
        </is>
      </c>
      <c r="Q529" s="10">
        <f>IF(R529&gt;=85,"A",IF(R529&gt;=70,"B","C"))</f>
        <v/>
      </c>
      <c r="R529" s="13">
        <f>MIN(100,50+IF(M529="是",10,0)+IF(N529="是",10,0)+IF(L529&lt;=100,10,IF(L529&lt;=300,5,0))+IF(J529&lt;=20,10,IF(J529&lt;=50,5,0))+IF(K529-J529&lt;=20,5,0)+IF(F529="企业官网",5,0))</f>
        <v/>
      </c>
      <c r="S529" s="10">
        <f>IF(Q529="A","价格与起订量有优势，建议优先询盘",IF(Q529="B","条件较均衡，可作为备选","起订量或价格需要进一步确认"))</f>
        <v/>
      </c>
      <c r="T529" s="10" t="inlineStr">
        <is>
          <t>未联系</t>
        </is>
      </c>
      <c r="U529" s="10" t="inlineStr">
        <is>
          <t>虚构演示数据</t>
        </is>
      </c>
    </row>
    <row r="530" ht="21" customHeight="1">
      <c r="A530" s="10" t="inlineStr">
        <is>
          <t>GYS-0526</t>
        </is>
      </c>
      <c r="B530" s="10" t="inlineStr">
        <is>
          <t>南通宠物用品供应链0526有限公司（演示）</t>
        </is>
      </c>
      <c r="C530" s="10" t="inlineStr">
        <is>
          <t>宠物用品</t>
        </is>
      </c>
      <c r="D530" s="10" t="inlineStr">
        <is>
          <t>宠物清洁手套</t>
        </is>
      </c>
      <c r="E530" s="10" t="inlineStr">
        <is>
          <t>江苏南通</t>
        </is>
      </c>
      <c r="F530" s="10" t="inlineStr">
        <is>
          <t>企业官网</t>
        </is>
      </c>
      <c r="G530" s="10" t="inlineStr">
        <is>
          <t>黄经理</t>
        </is>
      </c>
      <c r="H530" s="10" t="inlineStr">
        <is>
          <t>000-0000-0526</t>
        </is>
      </c>
      <c r="I530" s="10" t="inlineStr">
        <is>
          <t>DEMO_GYS_0526</t>
        </is>
      </c>
      <c r="J530" s="11" t="n">
        <v>23</v>
      </c>
      <c r="K530" s="11" t="n">
        <v>29.6</v>
      </c>
      <c r="L530" s="12" t="n">
        <v>100</v>
      </c>
      <c r="M530" s="10" t="inlineStr">
        <is>
          <t>是</t>
        </is>
      </c>
      <c r="N530" s="10" t="inlineStr">
        <is>
          <t>是</t>
        </is>
      </c>
      <c r="O530" s="10" t="inlineStr">
        <is>
          <t>supplier0526@example.com</t>
        </is>
      </c>
      <c r="P530" s="10" t="inlineStr">
        <is>
          <t>https://example.com/supplier/0526</t>
        </is>
      </c>
      <c r="Q530" s="10">
        <f>IF(R530&gt;=85,"A",IF(R530&gt;=70,"B","C"))</f>
        <v/>
      </c>
      <c r="R530" s="13">
        <f>MIN(100,50+IF(M530="是",10,0)+IF(N530="是",10,0)+IF(L530&lt;=100,10,IF(L530&lt;=300,5,0))+IF(J530&lt;=20,10,IF(J530&lt;=50,5,0))+IF(K530-J530&lt;=20,5,0)+IF(F530="企业官网",5,0))</f>
        <v/>
      </c>
      <c r="S530" s="10">
        <f>IF(Q530="A","价格与起订量有优势，建议优先询盘",IF(Q530="B","条件较均衡，可作为备选","起订量或价格需要进一步确认"))</f>
        <v/>
      </c>
      <c r="T530" s="10" t="inlineStr">
        <is>
          <t>未联系</t>
        </is>
      </c>
      <c r="U530" s="10" t="inlineStr">
        <is>
          <t>虚构演示数据</t>
        </is>
      </c>
    </row>
    <row r="531" ht="21" customHeight="1">
      <c r="A531" s="10" t="inlineStr">
        <is>
          <t>GYS-0527</t>
        </is>
      </c>
      <c r="B531" s="10" t="inlineStr">
        <is>
          <t>郑州母婴用品供应链0527有限公司（演示）</t>
        </is>
      </c>
      <c r="C531" s="10" t="inlineStr">
        <is>
          <t>母婴用品</t>
        </is>
      </c>
      <c r="D531" s="10" t="inlineStr">
        <is>
          <t>婴儿防撞条</t>
        </is>
      </c>
      <c r="E531" s="10" t="inlineStr">
        <is>
          <t>河南郑州</t>
        </is>
      </c>
      <c r="F531" s="10" t="inlineStr">
        <is>
          <t>义乌购</t>
        </is>
      </c>
      <c r="G531" s="10" t="inlineStr">
        <is>
          <t>赵经理</t>
        </is>
      </c>
      <c r="H531" s="10" t="inlineStr">
        <is>
          <t>000-0000-0527</t>
        </is>
      </c>
      <c r="I531" s="10" t="inlineStr">
        <is>
          <t>DEMO_GYS_0527</t>
        </is>
      </c>
      <c r="J531" s="11" t="n">
        <v>24.7</v>
      </c>
      <c r="K531" s="11" t="n">
        <v>32.4</v>
      </c>
      <c r="L531" s="12" t="n">
        <v>50</v>
      </c>
      <c r="M531" s="10" t="inlineStr">
        <is>
          <t>是</t>
        </is>
      </c>
      <c r="N531" s="10" t="inlineStr">
        <is>
          <t>是</t>
        </is>
      </c>
      <c r="O531" s="10" t="inlineStr">
        <is>
          <t>supplier0527@example.com</t>
        </is>
      </c>
      <c r="P531" s="10" t="inlineStr">
        <is>
          <t>https://example.com/supplier/0527</t>
        </is>
      </c>
      <c r="Q531" s="10">
        <f>IF(R531&gt;=85,"A",IF(R531&gt;=70,"B","C"))</f>
        <v/>
      </c>
      <c r="R531" s="13">
        <f>MIN(100,50+IF(M531="是",10,0)+IF(N531="是",10,0)+IF(L531&lt;=100,10,IF(L531&lt;=300,5,0))+IF(J531&lt;=20,10,IF(J531&lt;=50,5,0))+IF(K531-J531&lt;=20,5,0)+IF(F531="企业官网",5,0))</f>
        <v/>
      </c>
      <c r="S531" s="10">
        <f>IF(Q531="A","价格与起订量有优势，建议优先询盘",IF(Q531="B","条件较均衡，可作为备选","起订量或价格需要进一步确认"))</f>
        <v/>
      </c>
      <c r="T531" s="10" t="inlineStr">
        <is>
          <t>未联系</t>
        </is>
      </c>
      <c r="U531" s="10" t="inlineStr">
        <is>
          <t>虚构演示数据</t>
        </is>
      </c>
    </row>
    <row r="532" ht="21" customHeight="1">
      <c r="A532" s="10" t="inlineStr">
        <is>
          <t>GYS-0528</t>
        </is>
      </c>
      <c r="B532" s="10" t="inlineStr">
        <is>
          <t>宁波运动户外供应链0528有限公司（演示）</t>
        </is>
      </c>
      <c r="C532" s="10" t="inlineStr">
        <is>
          <t>运动户外</t>
        </is>
      </c>
      <c r="D532" s="10" t="inlineStr">
        <is>
          <t>弹力训练带</t>
        </is>
      </c>
      <c r="E532" s="10" t="inlineStr">
        <is>
          <t>浙江宁波</t>
        </is>
      </c>
      <c r="F532" s="10" t="inlineStr">
        <is>
          <t>慧聪网</t>
        </is>
      </c>
      <c r="G532" s="10" t="inlineStr">
        <is>
          <t>周经理</t>
        </is>
      </c>
      <c r="H532" s="10" t="inlineStr">
        <is>
          <t>000-0000-0528</t>
        </is>
      </c>
      <c r="I532" s="10" t="inlineStr">
        <is>
          <t>DEMO_GYS_0528</t>
        </is>
      </c>
      <c r="J532" s="11" t="n">
        <v>26.4</v>
      </c>
      <c r="K532" s="11" t="n">
        <v>35.2</v>
      </c>
      <c r="L532" s="12" t="n">
        <v>20</v>
      </c>
      <c r="M532" s="10" t="inlineStr">
        <is>
          <t>否</t>
        </is>
      </c>
      <c r="N532" s="10" t="inlineStr">
        <is>
          <t>否</t>
        </is>
      </c>
      <c r="O532" s="10" t="inlineStr">
        <is>
          <t>supplier0528@example.com</t>
        </is>
      </c>
      <c r="P532" s="10" t="inlineStr">
        <is>
          <t>https://example.com/supplier/0528</t>
        </is>
      </c>
      <c r="Q532" s="10">
        <f>IF(R532&gt;=85,"A",IF(R532&gt;=70,"B","C"))</f>
        <v/>
      </c>
      <c r="R532" s="13">
        <f>MIN(100,50+IF(M532="是",10,0)+IF(N532="是",10,0)+IF(L532&lt;=100,10,IF(L532&lt;=300,5,0))+IF(J532&lt;=20,10,IF(J532&lt;=50,5,0))+IF(K532-J532&lt;=20,5,0)+IF(F532="企业官网",5,0))</f>
        <v/>
      </c>
      <c r="S532" s="10">
        <f>IF(Q532="A","价格与起订量有优势，建议优先询盘",IF(Q532="B","条件较均衡，可作为备选","起订量或价格需要进一步确认"))</f>
        <v/>
      </c>
      <c r="T532" s="10" t="inlineStr">
        <is>
          <t>未联系</t>
        </is>
      </c>
      <c r="U532" s="10" t="inlineStr">
        <is>
          <t>虚构演示数据</t>
        </is>
      </c>
    </row>
    <row r="533" ht="21" customHeight="1">
      <c r="A533" s="10" t="inlineStr">
        <is>
          <t>GYS-0529</t>
        </is>
      </c>
      <c r="B533" s="10" t="inlineStr">
        <is>
          <t>深圳办公文具供应链0529有限公司（演示）</t>
        </is>
      </c>
      <c r="C533" s="10" t="inlineStr">
        <is>
          <t>办公文具</t>
        </is>
      </c>
      <c r="D533" s="10" t="inlineStr">
        <is>
          <t>桌面收纳架</t>
        </is>
      </c>
      <c r="E533" s="10" t="inlineStr">
        <is>
          <t>广东深圳</t>
        </is>
      </c>
      <c r="F533" s="10" t="inlineStr">
        <is>
          <t>1688</t>
        </is>
      </c>
      <c r="G533" s="10" t="inlineStr">
        <is>
          <t>吴经理</t>
        </is>
      </c>
      <c r="H533" s="10" t="inlineStr">
        <is>
          <t>000-0000-0529</t>
        </is>
      </c>
      <c r="I533" s="10" t="inlineStr">
        <is>
          <t>DEMO_GYS_0529</t>
        </is>
      </c>
      <c r="J533" s="11" t="n">
        <v>28.1</v>
      </c>
      <c r="K533" s="11" t="n">
        <v>38</v>
      </c>
      <c r="L533" s="12" t="n">
        <v>500</v>
      </c>
      <c r="M533" s="10" t="inlineStr">
        <is>
          <t>是</t>
        </is>
      </c>
      <c r="N533" s="10" t="inlineStr">
        <is>
          <t>是</t>
        </is>
      </c>
      <c r="O533" s="10" t="inlineStr">
        <is>
          <t>supplier0529@example.com</t>
        </is>
      </c>
      <c r="P533" s="10" t="inlineStr">
        <is>
          <t>https://example.com/supplier/0529</t>
        </is>
      </c>
      <c r="Q533" s="10">
        <f>IF(R533&gt;=85,"A",IF(R533&gt;=70,"B","C"))</f>
        <v/>
      </c>
      <c r="R533" s="13">
        <f>MIN(100,50+IF(M533="是",10,0)+IF(N533="是",10,0)+IF(L533&lt;=100,10,IF(L533&lt;=300,5,0))+IF(J533&lt;=20,10,IF(J533&lt;=50,5,0))+IF(K533-J533&lt;=20,5,0)+IF(F533="企业官网",5,0))</f>
        <v/>
      </c>
      <c r="S533" s="10">
        <f>IF(Q533="A","价格与起订量有优势，建议优先询盘",IF(Q533="B","条件较均衡，可作为备选","起订量或价格需要进一步确认"))</f>
        <v/>
      </c>
      <c r="T533" s="10" t="inlineStr">
        <is>
          <t>未联系</t>
        </is>
      </c>
      <c r="U533" s="10" t="inlineStr">
        <is>
          <t>虚构演示数据</t>
        </is>
      </c>
    </row>
    <row r="534" ht="21" customHeight="1">
      <c r="A534" s="10" t="inlineStr">
        <is>
          <t>GYS-0530</t>
        </is>
      </c>
      <c r="B534" s="10" t="inlineStr">
        <is>
          <t>佛山汽车用品供应链0530有限公司（演示）</t>
        </is>
      </c>
      <c r="C534" s="10" t="inlineStr">
        <is>
          <t>汽车用品</t>
        </is>
      </c>
      <c r="D534" s="10" t="inlineStr">
        <is>
          <t>车载香薰</t>
        </is>
      </c>
      <c r="E534" s="10" t="inlineStr">
        <is>
          <t>广东佛山</t>
        </is>
      </c>
      <c r="F534" s="10" t="inlineStr">
        <is>
          <t>中国制造网</t>
        </is>
      </c>
      <c r="G534" s="10" t="inlineStr">
        <is>
          <t>陈经理</t>
        </is>
      </c>
      <c r="H534" s="10" t="inlineStr">
        <is>
          <t>000-0000-0530</t>
        </is>
      </c>
      <c r="I534" s="10" t="inlineStr">
        <is>
          <t>DEMO_GYS_0530</t>
        </is>
      </c>
      <c r="J534" s="11" t="n">
        <v>29.8</v>
      </c>
      <c r="K534" s="11" t="n">
        <v>40.8</v>
      </c>
      <c r="L534" s="12" t="n">
        <v>300</v>
      </c>
      <c r="M534" s="10" t="inlineStr">
        <is>
          <t>是</t>
        </is>
      </c>
      <c r="N534" s="10" t="inlineStr">
        <is>
          <t>是</t>
        </is>
      </c>
      <c r="O534" s="10" t="inlineStr">
        <is>
          <t>supplier0530@example.com</t>
        </is>
      </c>
      <c r="P534" s="10" t="inlineStr">
        <is>
          <t>https://example.com/supplier/0530</t>
        </is>
      </c>
      <c r="Q534" s="10">
        <f>IF(R534&gt;=85,"A",IF(R534&gt;=70,"B","C"))</f>
        <v/>
      </c>
      <c r="R534" s="13">
        <f>MIN(100,50+IF(M534="是",10,0)+IF(N534="是",10,0)+IF(L534&lt;=100,10,IF(L534&lt;=300,5,0))+IF(J534&lt;=20,10,IF(J534&lt;=50,5,0))+IF(K534-J534&lt;=20,5,0)+IF(F534="企业官网",5,0))</f>
        <v/>
      </c>
      <c r="S534" s="10">
        <f>IF(Q534="A","价格与起订量有优势，建议优先询盘",IF(Q534="B","条件较均衡，可作为备选","起订量或价格需要进一步确认"))</f>
        <v/>
      </c>
      <c r="T534" s="10" t="inlineStr">
        <is>
          <t>未联系</t>
        </is>
      </c>
      <c r="U534" s="10" t="inlineStr">
        <is>
          <t>虚构演示数据</t>
        </is>
      </c>
    </row>
    <row r="535" ht="21" customHeight="1">
      <c r="A535" s="10" t="inlineStr">
        <is>
          <t>GYS-0531</t>
        </is>
      </c>
      <c r="B535" s="10" t="inlineStr">
        <is>
          <t>苏州美容工具供应链0531有限公司（演示）</t>
        </is>
      </c>
      <c r="C535" s="10" t="inlineStr">
        <is>
          <t>美容工具</t>
        </is>
      </c>
      <c r="D535" s="10" t="inlineStr">
        <is>
          <t>便携化妆镜</t>
        </is>
      </c>
      <c r="E535" s="10" t="inlineStr">
        <is>
          <t>江苏苏州</t>
        </is>
      </c>
      <c r="F535" s="10" t="inlineStr">
        <is>
          <t>企业官网</t>
        </is>
      </c>
      <c r="G535" s="10" t="inlineStr">
        <is>
          <t>林经理</t>
        </is>
      </c>
      <c r="H535" s="10" t="inlineStr">
        <is>
          <t>000-0000-0531</t>
        </is>
      </c>
      <c r="I535" s="10" t="inlineStr">
        <is>
          <t>DEMO_GYS_0531</t>
        </is>
      </c>
      <c r="J535" s="11" t="n">
        <v>31.5</v>
      </c>
      <c r="K535" s="11" t="n">
        <v>43.6</v>
      </c>
      <c r="L535" s="12" t="n">
        <v>200</v>
      </c>
      <c r="M535" s="10" t="inlineStr">
        <is>
          <t>是</t>
        </is>
      </c>
      <c r="N535" s="10" t="inlineStr">
        <is>
          <t>否</t>
        </is>
      </c>
      <c r="O535" s="10" t="inlineStr">
        <is>
          <t>supplier0531@example.com</t>
        </is>
      </c>
      <c r="P535" s="10" t="inlineStr">
        <is>
          <t>https://example.com/supplier/0531</t>
        </is>
      </c>
      <c r="Q535" s="10">
        <f>IF(R535&gt;=85,"A",IF(R535&gt;=70,"B","C"))</f>
        <v/>
      </c>
      <c r="R535" s="13">
        <f>MIN(100,50+IF(M535="是",10,0)+IF(N535="是",10,0)+IF(L535&lt;=100,10,IF(L535&lt;=300,5,0))+IF(J535&lt;=20,10,IF(J535&lt;=50,5,0))+IF(K535-J535&lt;=20,5,0)+IF(F535="企业官网",5,0))</f>
        <v/>
      </c>
      <c r="S535" s="10">
        <f>IF(Q535="A","价格与起订量有优势，建议优先询盘",IF(Q535="B","条件较均衡，可作为备选","起订量或价格需要进一步确认"))</f>
        <v/>
      </c>
      <c r="T535" s="10" t="inlineStr">
        <is>
          <t>未联系</t>
        </is>
      </c>
      <c r="U535" s="10" t="inlineStr">
        <is>
          <t>虚构演示数据</t>
        </is>
      </c>
    </row>
    <row r="536" ht="21" customHeight="1">
      <c r="A536" s="10" t="inlineStr">
        <is>
          <t>GYS-0532</t>
        </is>
      </c>
      <c r="B536" s="10" t="inlineStr">
        <is>
          <t>白沟旅行用品供应链0532有限公司（演示）</t>
        </is>
      </c>
      <c r="C536" s="10" t="inlineStr">
        <is>
          <t>旅行用品</t>
        </is>
      </c>
      <c r="D536" s="10" t="inlineStr">
        <is>
          <t>压缩收纳袋</t>
        </is>
      </c>
      <c r="E536" s="10" t="inlineStr">
        <is>
          <t>河北白沟</t>
        </is>
      </c>
      <c r="F536" s="10" t="inlineStr">
        <is>
          <t>义乌购</t>
        </is>
      </c>
      <c r="G536" s="10" t="inlineStr">
        <is>
          <t>王经理</t>
        </is>
      </c>
      <c r="H536" s="10" t="inlineStr">
        <is>
          <t>000-0000-0532</t>
        </is>
      </c>
      <c r="I536" s="10" t="inlineStr">
        <is>
          <t>DEMO_GYS_0532</t>
        </is>
      </c>
      <c r="J536" s="11" t="n">
        <v>33.2</v>
      </c>
      <c r="K536" s="11" t="n">
        <v>46.4</v>
      </c>
      <c r="L536" s="12" t="n">
        <v>100</v>
      </c>
      <c r="M536" s="10" t="inlineStr">
        <is>
          <t>否</t>
        </is>
      </c>
      <c r="N536" s="10" t="inlineStr">
        <is>
          <t>是</t>
        </is>
      </c>
      <c r="O536" s="10" t="inlineStr">
        <is>
          <t>supplier0532@example.com</t>
        </is>
      </c>
      <c r="P536" s="10" t="inlineStr">
        <is>
          <t>https://example.com/supplier/0532</t>
        </is>
      </c>
      <c r="Q536" s="10">
        <f>IF(R536&gt;=85,"A",IF(R536&gt;=70,"B","C"))</f>
        <v/>
      </c>
      <c r="R536" s="13">
        <f>MIN(100,50+IF(M536="是",10,0)+IF(N536="是",10,0)+IF(L536&lt;=100,10,IF(L536&lt;=300,5,0))+IF(J536&lt;=20,10,IF(J536&lt;=50,5,0))+IF(K536-J536&lt;=20,5,0)+IF(F536="企业官网",5,0))</f>
        <v/>
      </c>
      <c r="S536" s="10">
        <f>IF(Q536="A","价格与起订量有优势，建议优先询盘",IF(Q536="B","条件较均衡，可作为备选","起订量或价格需要进一步确认"))</f>
        <v/>
      </c>
      <c r="T536" s="10" t="inlineStr">
        <is>
          <t>未联系</t>
        </is>
      </c>
      <c r="U536" s="10" t="inlineStr">
        <is>
          <t>虚构演示数据</t>
        </is>
      </c>
    </row>
    <row r="537" ht="21" customHeight="1">
      <c r="A537" s="10" t="inlineStr">
        <is>
          <t>GYS-0533</t>
        </is>
      </c>
      <c r="B537" s="10" t="inlineStr">
        <is>
          <t>义乌清洁工具供应链0533有限公司（演示）</t>
        </is>
      </c>
      <c r="C537" s="10" t="inlineStr">
        <is>
          <t>清洁工具</t>
        </is>
      </c>
      <c r="D537" s="10" t="inlineStr">
        <is>
          <t>免手洗拖把</t>
        </is>
      </c>
      <c r="E537" s="10" t="inlineStr">
        <is>
          <t>浙江义乌</t>
        </is>
      </c>
      <c r="F537" s="10" t="inlineStr">
        <is>
          <t>慧聪网</t>
        </is>
      </c>
      <c r="G537" s="10" t="inlineStr">
        <is>
          <t>李经理</t>
        </is>
      </c>
      <c r="H537" s="10" t="inlineStr">
        <is>
          <t>000-0000-0533</t>
        </is>
      </c>
      <c r="I537" s="10" t="inlineStr">
        <is>
          <t>DEMO_GYS_0533</t>
        </is>
      </c>
      <c r="J537" s="11" t="n">
        <v>34.9</v>
      </c>
      <c r="K537" s="11" t="n">
        <v>49.2</v>
      </c>
      <c r="L537" s="12" t="n">
        <v>50</v>
      </c>
      <c r="M537" s="10" t="inlineStr">
        <is>
          <t>是</t>
        </is>
      </c>
      <c r="N537" s="10" t="inlineStr">
        <is>
          <t>是</t>
        </is>
      </c>
      <c r="O537" s="10" t="inlineStr">
        <is>
          <t>supplier0533@example.com</t>
        </is>
      </c>
      <c r="P537" s="10" t="inlineStr">
        <is>
          <t>https://example.com/supplier/0533</t>
        </is>
      </c>
      <c r="Q537" s="10">
        <f>IF(R537&gt;=85,"A",IF(R537&gt;=70,"B","C"))</f>
        <v/>
      </c>
      <c r="R537" s="13">
        <f>MIN(100,50+IF(M537="是",10,0)+IF(N537="是",10,0)+IF(L537&lt;=100,10,IF(L537&lt;=300,5,0))+IF(J537&lt;=20,10,IF(J537&lt;=50,5,0))+IF(K537-J537&lt;=20,5,0)+IF(F537="企业官网",5,0))</f>
        <v/>
      </c>
      <c r="S537" s="10">
        <f>IF(Q537="A","价格与起订量有优势，建议优先询盘",IF(Q537="B","条件较均衡，可作为备选","起订量或价格需要进一步确认"))</f>
        <v/>
      </c>
      <c r="T537" s="10" t="inlineStr">
        <is>
          <t>未联系</t>
        </is>
      </c>
      <c r="U537" s="10" t="inlineStr">
        <is>
          <t>虚构演示数据</t>
        </is>
      </c>
    </row>
    <row r="538" ht="21" customHeight="1">
      <c r="A538" s="10" t="inlineStr">
        <is>
          <t>GYS-0534</t>
        </is>
      </c>
      <c r="B538" s="10" t="inlineStr">
        <is>
          <t>台州小家电供应链0534有限公司（演示）</t>
        </is>
      </c>
      <c r="C538" s="10" t="inlineStr">
        <is>
          <t>小家电</t>
        </is>
      </c>
      <c r="D538" s="10" t="inlineStr">
        <is>
          <t>迷你加湿器</t>
        </is>
      </c>
      <c r="E538" s="10" t="inlineStr">
        <is>
          <t>浙江台州</t>
        </is>
      </c>
      <c r="F538" s="10" t="inlineStr">
        <is>
          <t>1688</t>
        </is>
      </c>
      <c r="G538" s="10" t="inlineStr">
        <is>
          <t>张经理</t>
        </is>
      </c>
      <c r="H538" s="10" t="inlineStr">
        <is>
          <t>000-0000-0534</t>
        </is>
      </c>
      <c r="I538" s="10" t="inlineStr">
        <is>
          <t>DEMO_GYS_0534</t>
        </is>
      </c>
      <c r="J538" s="11" t="n">
        <v>36.6</v>
      </c>
      <c r="K538" s="11" t="n">
        <v>52</v>
      </c>
      <c r="L538" s="12" t="n">
        <v>20</v>
      </c>
      <c r="M538" s="10" t="inlineStr">
        <is>
          <t>是</t>
        </is>
      </c>
      <c r="N538" s="10" t="inlineStr">
        <is>
          <t>否</t>
        </is>
      </c>
      <c r="O538" s="10" t="inlineStr">
        <is>
          <t>supplier0534@example.com</t>
        </is>
      </c>
      <c r="P538" s="10" t="inlineStr">
        <is>
          <t>https://example.com/supplier/0534</t>
        </is>
      </c>
      <c r="Q538" s="10">
        <f>IF(R538&gt;=85,"A",IF(R538&gt;=70,"B","C"))</f>
        <v/>
      </c>
      <c r="R538" s="13">
        <f>MIN(100,50+IF(M538="是",10,0)+IF(N538="是",10,0)+IF(L538&lt;=100,10,IF(L538&lt;=300,5,0))+IF(J538&lt;=20,10,IF(J538&lt;=50,5,0))+IF(K538-J538&lt;=20,5,0)+IF(F538="企业官网",5,0))</f>
        <v/>
      </c>
      <c r="S538" s="10">
        <f>IF(Q538="A","价格与起订量有优势，建议优先询盘",IF(Q538="B","条件较均衡，可作为备选","起订量或价格需要进一步确认"))</f>
        <v/>
      </c>
      <c r="T538" s="10" t="inlineStr">
        <is>
          <t>未联系</t>
        </is>
      </c>
      <c r="U538" s="10" t="inlineStr">
        <is>
          <t>虚构演示数据</t>
        </is>
      </c>
    </row>
    <row r="539" ht="21" customHeight="1">
      <c r="A539" s="10" t="inlineStr">
        <is>
          <t>GYS-0535</t>
        </is>
      </c>
      <c r="B539" s="10" t="inlineStr">
        <is>
          <t>东莞礼品包装供应链0535有限公司（演示）</t>
        </is>
      </c>
      <c r="C539" s="10" t="inlineStr">
        <is>
          <t>礼品包装</t>
        </is>
      </c>
      <c r="D539" s="10" t="inlineStr">
        <is>
          <t>节日礼盒</t>
        </is>
      </c>
      <c r="E539" s="10" t="inlineStr">
        <is>
          <t>广东东莞</t>
        </is>
      </c>
      <c r="F539" s="10" t="inlineStr">
        <is>
          <t>中国制造网</t>
        </is>
      </c>
      <c r="G539" s="10" t="inlineStr">
        <is>
          <t>刘经理</t>
        </is>
      </c>
      <c r="H539" s="10" t="inlineStr">
        <is>
          <t>000-0000-0535</t>
        </is>
      </c>
      <c r="I539" s="10" t="inlineStr">
        <is>
          <t>DEMO_GYS_0535</t>
        </is>
      </c>
      <c r="J539" s="11" t="n">
        <v>38.3</v>
      </c>
      <c r="K539" s="11" t="n">
        <v>54.8</v>
      </c>
      <c r="L539" s="12" t="n">
        <v>500</v>
      </c>
      <c r="M539" s="10" t="inlineStr">
        <is>
          <t>是</t>
        </is>
      </c>
      <c r="N539" s="10" t="inlineStr">
        <is>
          <t>是</t>
        </is>
      </c>
      <c r="O539" s="10" t="inlineStr">
        <is>
          <t>supplier0535@example.com</t>
        </is>
      </c>
      <c r="P539" s="10" t="inlineStr">
        <is>
          <t>https://example.com/supplier/0535</t>
        </is>
      </c>
      <c r="Q539" s="10">
        <f>IF(R539&gt;=85,"A",IF(R539&gt;=70,"B","C"))</f>
        <v/>
      </c>
      <c r="R539" s="13">
        <f>MIN(100,50+IF(M539="是",10,0)+IF(N539="是",10,0)+IF(L539&lt;=100,10,IF(L539&lt;=300,5,0))+IF(J539&lt;=20,10,IF(J539&lt;=50,5,0))+IF(K539-J539&lt;=20,5,0)+IF(F539="企业官网",5,0))</f>
        <v/>
      </c>
      <c r="S539" s="10">
        <f>IF(Q539="A","价格与起订量有优势，建议优先询盘",IF(Q539="B","条件较均衡，可作为备选","起订量或价格需要进一步确认"))</f>
        <v/>
      </c>
      <c r="T539" s="10" t="inlineStr">
        <is>
          <t>未联系</t>
        </is>
      </c>
      <c r="U539" s="10" t="inlineStr">
        <is>
          <t>虚构演示数据</t>
        </is>
      </c>
    </row>
    <row r="540" ht="21" customHeight="1">
      <c r="A540" s="10" t="inlineStr">
        <is>
          <t>GYS-0536</t>
        </is>
      </c>
      <c r="B540" s="10" t="inlineStr">
        <is>
          <t>厦门五金工具供应链0536有限公司（演示）</t>
        </is>
      </c>
      <c r="C540" s="10" t="inlineStr">
        <is>
          <t>五金工具</t>
        </is>
      </c>
      <c r="D540" s="10" t="inlineStr">
        <is>
          <t>多功能螺丝刀</t>
        </is>
      </c>
      <c r="E540" s="10" t="inlineStr">
        <is>
          <t>福建厦门</t>
        </is>
      </c>
      <c r="F540" s="10" t="inlineStr">
        <is>
          <t>企业官网</t>
        </is>
      </c>
      <c r="G540" s="10" t="inlineStr">
        <is>
          <t>黄经理</t>
        </is>
      </c>
      <c r="H540" s="10" t="inlineStr">
        <is>
          <t>000-0000-0536</t>
        </is>
      </c>
      <c r="I540" s="10" t="inlineStr">
        <is>
          <t>DEMO_GYS_0536</t>
        </is>
      </c>
      <c r="J540" s="11" t="n">
        <v>40</v>
      </c>
      <c r="K540" s="11" t="n">
        <v>57.6</v>
      </c>
      <c r="L540" s="12" t="n">
        <v>300</v>
      </c>
      <c r="M540" s="10" t="inlineStr">
        <is>
          <t>否</t>
        </is>
      </c>
      <c r="N540" s="10" t="inlineStr">
        <is>
          <t>是</t>
        </is>
      </c>
      <c r="O540" s="10" t="inlineStr">
        <is>
          <t>supplier0536@example.com</t>
        </is>
      </c>
      <c r="P540" s="10" t="inlineStr">
        <is>
          <t>https://example.com/supplier/0536</t>
        </is>
      </c>
      <c r="Q540" s="10">
        <f>IF(R540&gt;=85,"A",IF(R540&gt;=70,"B","C"))</f>
        <v/>
      </c>
      <c r="R540" s="13">
        <f>MIN(100,50+IF(M540="是",10,0)+IF(N540="是",10,0)+IF(L540&lt;=100,10,IF(L540&lt;=300,5,0))+IF(J540&lt;=20,10,IF(J540&lt;=50,5,0))+IF(K540-J540&lt;=20,5,0)+IF(F540="企业官网",5,0))</f>
        <v/>
      </c>
      <c r="S540" s="10">
        <f>IF(Q540="A","价格与起订量有优势，建议优先询盘",IF(Q540="B","条件较均衡，可作为备选","起订量或价格需要进一步确认"))</f>
        <v/>
      </c>
      <c r="T540" s="10" t="inlineStr">
        <is>
          <t>未联系</t>
        </is>
      </c>
      <c r="U540" s="10" t="inlineStr">
        <is>
          <t>虚构演示数据</t>
        </is>
      </c>
    </row>
    <row r="541" ht="21" customHeight="1">
      <c r="A541" s="10" t="inlineStr">
        <is>
          <t>GYS-0537</t>
        </is>
      </c>
      <c r="B541" s="10" t="inlineStr">
        <is>
          <t>临沂鞋靴配件供应链0537有限公司（演示）</t>
        </is>
      </c>
      <c r="C541" s="10" t="inlineStr">
        <is>
          <t>鞋靴配件</t>
        </is>
      </c>
      <c r="D541" s="10" t="inlineStr">
        <is>
          <t>防磨脚贴</t>
        </is>
      </c>
      <c r="E541" s="10" t="inlineStr">
        <is>
          <t>山东临沂</t>
        </is>
      </c>
      <c r="F541" s="10" t="inlineStr">
        <is>
          <t>义乌购</t>
        </is>
      </c>
      <c r="G541" s="10" t="inlineStr">
        <is>
          <t>赵经理</t>
        </is>
      </c>
      <c r="H541" s="10" t="inlineStr">
        <is>
          <t>000-0000-0537</t>
        </is>
      </c>
      <c r="I541" s="10" t="inlineStr">
        <is>
          <t>DEMO_GYS_0537</t>
        </is>
      </c>
      <c r="J541" s="11" t="n">
        <v>41.7</v>
      </c>
      <c r="K541" s="11" t="n">
        <v>60.4</v>
      </c>
      <c r="L541" s="12" t="n">
        <v>200</v>
      </c>
      <c r="M541" s="10" t="inlineStr">
        <is>
          <t>是</t>
        </is>
      </c>
      <c r="N541" s="10" t="inlineStr">
        <is>
          <t>否</t>
        </is>
      </c>
      <c r="O541" s="10" t="inlineStr">
        <is>
          <t>supplier0537@example.com</t>
        </is>
      </c>
      <c r="P541" s="10" t="inlineStr">
        <is>
          <t>https://example.com/supplier/0537</t>
        </is>
      </c>
      <c r="Q541" s="10">
        <f>IF(R541&gt;=85,"A",IF(R541&gt;=70,"B","C"))</f>
        <v/>
      </c>
      <c r="R541" s="13">
        <f>MIN(100,50+IF(M541="是",10,0)+IF(N541="是",10,0)+IF(L541&lt;=100,10,IF(L541&lt;=300,5,0))+IF(J541&lt;=20,10,IF(J541&lt;=50,5,0))+IF(K541-J541&lt;=20,5,0)+IF(F541="企业官网",5,0))</f>
        <v/>
      </c>
      <c r="S541" s="10">
        <f>IF(Q541="A","价格与起订量有优势，建议优先询盘",IF(Q541="B","条件较均衡，可作为备选","起订量或价格需要进一步确认"))</f>
        <v/>
      </c>
      <c r="T541" s="10" t="inlineStr">
        <is>
          <t>未联系</t>
        </is>
      </c>
      <c r="U541" s="10" t="inlineStr">
        <is>
          <t>虚构演示数据</t>
        </is>
      </c>
    </row>
    <row r="542" ht="21" customHeight="1">
      <c r="A542" s="10" t="inlineStr">
        <is>
          <t>GYS-0538</t>
        </is>
      </c>
      <c r="B542" s="10" t="inlineStr">
        <is>
          <t>南昌食品包装供应链0538有限公司（演示）</t>
        </is>
      </c>
      <c r="C542" s="10" t="inlineStr">
        <is>
          <t>食品包装</t>
        </is>
      </c>
      <c r="D542" s="10" t="inlineStr">
        <is>
          <t>密封包装袋</t>
        </is>
      </c>
      <c r="E542" s="10" t="inlineStr">
        <is>
          <t>江西南昌</t>
        </is>
      </c>
      <c r="F542" s="10" t="inlineStr">
        <is>
          <t>慧聪网</t>
        </is>
      </c>
      <c r="G542" s="10" t="inlineStr">
        <is>
          <t>周经理</t>
        </is>
      </c>
      <c r="H542" s="10" t="inlineStr">
        <is>
          <t>000-0000-0538</t>
        </is>
      </c>
      <c r="I542" s="10" t="inlineStr">
        <is>
          <t>DEMO_GYS_0538</t>
        </is>
      </c>
      <c r="J542" s="11" t="n">
        <v>43.4</v>
      </c>
      <c r="K542" s="11" t="n">
        <v>63.2</v>
      </c>
      <c r="L542" s="12" t="n">
        <v>100</v>
      </c>
      <c r="M542" s="10" t="inlineStr">
        <is>
          <t>是</t>
        </is>
      </c>
      <c r="N542" s="10" t="inlineStr">
        <is>
          <t>是</t>
        </is>
      </c>
      <c r="O542" s="10" t="inlineStr">
        <is>
          <t>supplier0538@example.com</t>
        </is>
      </c>
      <c r="P542" s="10" t="inlineStr">
        <is>
          <t>https://example.com/supplier/0538</t>
        </is>
      </c>
      <c r="Q542" s="10">
        <f>IF(R542&gt;=85,"A",IF(R542&gt;=70,"B","C"))</f>
        <v/>
      </c>
      <c r="R542" s="13">
        <f>MIN(100,50+IF(M542="是",10,0)+IF(N542="是",10,0)+IF(L542&lt;=100,10,IF(L542&lt;=300,5,0))+IF(J542&lt;=20,10,IF(J542&lt;=50,5,0))+IF(K542-J542&lt;=20,5,0)+IF(F542="企业官网",5,0))</f>
        <v/>
      </c>
      <c r="S542" s="10">
        <f>IF(Q542="A","价格与起订量有优势，建议优先询盘",IF(Q542="B","条件较均衡，可作为备选","起订量或价格需要进一步确认"))</f>
        <v/>
      </c>
      <c r="T542" s="10" t="inlineStr">
        <is>
          <t>未联系</t>
        </is>
      </c>
      <c r="U542" s="10" t="inlineStr">
        <is>
          <t>虚构演示数据</t>
        </is>
      </c>
    </row>
    <row r="543" ht="21" customHeight="1">
      <c r="A543" s="10" t="inlineStr">
        <is>
          <t>GYS-0539</t>
        </is>
      </c>
      <c r="B543" s="10" t="inlineStr">
        <is>
          <t>温州户外照明供应链0539有限公司（演示）</t>
        </is>
      </c>
      <c r="C543" s="10" t="inlineStr">
        <is>
          <t>户外照明</t>
        </is>
      </c>
      <c r="D543" s="10" t="inlineStr">
        <is>
          <t>便携露营灯</t>
        </is>
      </c>
      <c r="E543" s="10" t="inlineStr">
        <is>
          <t>浙江温州</t>
        </is>
      </c>
      <c r="F543" s="10" t="inlineStr">
        <is>
          <t>1688</t>
        </is>
      </c>
      <c r="G543" s="10" t="inlineStr">
        <is>
          <t>吴经理</t>
        </is>
      </c>
      <c r="H543" s="10" t="inlineStr">
        <is>
          <t>000-0000-0539</t>
        </is>
      </c>
      <c r="I543" s="10" t="inlineStr">
        <is>
          <t>DEMO_GYS_0539</t>
        </is>
      </c>
      <c r="J543" s="11" t="n">
        <v>45.1</v>
      </c>
      <c r="K543" s="11" t="n">
        <v>66</v>
      </c>
      <c r="L543" s="12" t="n">
        <v>50</v>
      </c>
      <c r="M543" s="10" t="inlineStr">
        <is>
          <t>是</t>
        </is>
      </c>
      <c r="N543" s="10" t="inlineStr">
        <is>
          <t>是</t>
        </is>
      </c>
      <c r="O543" s="10" t="inlineStr">
        <is>
          <t>supplier0539@example.com</t>
        </is>
      </c>
      <c r="P543" s="10" t="inlineStr">
        <is>
          <t>https://example.com/supplier/0539</t>
        </is>
      </c>
      <c r="Q543" s="10">
        <f>IF(R543&gt;=85,"A",IF(R543&gt;=70,"B","C"))</f>
        <v/>
      </c>
      <c r="R543" s="13">
        <f>MIN(100,50+IF(M543="是",10,0)+IF(N543="是",10,0)+IF(L543&lt;=100,10,IF(L543&lt;=300,5,0))+IF(J543&lt;=20,10,IF(J543&lt;=50,5,0))+IF(K543-J543&lt;=20,5,0)+IF(F543="企业官网",5,0))</f>
        <v/>
      </c>
      <c r="S543" s="10">
        <f>IF(Q543="A","价格与起订量有优势，建议优先询盘",IF(Q543="B","条件较均衡，可作为备选","起订量或价格需要进一步确认"))</f>
        <v/>
      </c>
      <c r="T543" s="10" t="inlineStr">
        <is>
          <t>未联系</t>
        </is>
      </c>
      <c r="U543" s="10" t="inlineStr">
        <is>
          <t>虚构演示数据</t>
        </is>
      </c>
    </row>
    <row r="544" ht="21" customHeight="1">
      <c r="A544" s="10" t="inlineStr">
        <is>
          <t>GYS-0540</t>
        </is>
      </c>
      <c r="B544" s="10" t="inlineStr">
        <is>
          <t>广州健康用品供应链0540有限公司（演示）</t>
        </is>
      </c>
      <c r="C544" s="10" t="inlineStr">
        <is>
          <t>健康用品</t>
        </is>
      </c>
      <c r="D544" s="10" t="inlineStr">
        <is>
          <t>热敷眼罩</t>
        </is>
      </c>
      <c r="E544" s="10" t="inlineStr">
        <is>
          <t>广东广州</t>
        </is>
      </c>
      <c r="F544" s="10" t="inlineStr">
        <is>
          <t>中国制造网</t>
        </is>
      </c>
      <c r="G544" s="10" t="inlineStr">
        <is>
          <t>陈经理</t>
        </is>
      </c>
      <c r="H544" s="10" t="inlineStr">
        <is>
          <t>000-0000-0540</t>
        </is>
      </c>
      <c r="I544" s="10" t="inlineStr">
        <is>
          <t>DEMO_GYS_0540</t>
        </is>
      </c>
      <c r="J544" s="11" t="n">
        <v>46.8</v>
      </c>
      <c r="K544" s="11" t="n">
        <v>50.8</v>
      </c>
      <c r="L544" s="12" t="n">
        <v>20</v>
      </c>
      <c r="M544" s="10" t="inlineStr">
        <is>
          <t>否</t>
        </is>
      </c>
      <c r="N544" s="10" t="inlineStr">
        <is>
          <t>否</t>
        </is>
      </c>
      <c r="O544" s="10" t="inlineStr">
        <is>
          <t>supplier0540@example.com</t>
        </is>
      </c>
      <c r="P544" s="10" t="inlineStr">
        <is>
          <t>https://example.com/supplier/0540</t>
        </is>
      </c>
      <c r="Q544" s="10">
        <f>IF(R544&gt;=85,"A",IF(R544&gt;=70,"B","C"))</f>
        <v/>
      </c>
      <c r="R544" s="13">
        <f>MIN(100,50+IF(M544="是",10,0)+IF(N544="是",10,0)+IF(L544&lt;=100,10,IF(L544&lt;=300,5,0))+IF(J544&lt;=20,10,IF(J544&lt;=50,5,0))+IF(K544-J544&lt;=20,5,0)+IF(F544="企业官网",5,0))</f>
        <v/>
      </c>
      <c r="S544" s="10">
        <f>IF(Q544="A","价格与起订量有优势，建议优先询盘",IF(Q544="B","条件较均衡，可作为备选","起订量或价格需要进一步确认"))</f>
        <v/>
      </c>
      <c r="T544" s="10" t="inlineStr">
        <is>
          <t>未联系</t>
        </is>
      </c>
      <c r="U544" s="10" t="inlineStr">
        <is>
          <t>虚构演示数据</t>
        </is>
      </c>
    </row>
    <row r="545" ht="21" customHeight="1">
      <c r="A545" s="10" t="inlineStr">
        <is>
          <t>GYS-0541</t>
        </is>
      </c>
      <c r="B545" s="10" t="inlineStr">
        <is>
          <t>泉州服饰内衣供应链0541有限公司（演示）</t>
        </is>
      </c>
      <c r="C545" s="10" t="inlineStr">
        <is>
          <t>服饰内衣</t>
        </is>
      </c>
      <c r="D545" s="10" t="inlineStr">
        <is>
          <t>防滑袜</t>
        </is>
      </c>
      <c r="E545" s="10" t="inlineStr">
        <is>
          <t>福建泉州</t>
        </is>
      </c>
      <c r="F545" s="10" t="inlineStr">
        <is>
          <t>企业官网</t>
        </is>
      </c>
      <c r="G545" s="10" t="inlineStr">
        <is>
          <t>林经理</t>
        </is>
      </c>
      <c r="H545" s="10" t="inlineStr">
        <is>
          <t>000-0000-0541</t>
        </is>
      </c>
      <c r="I545" s="10" t="inlineStr">
        <is>
          <t>DEMO_GYS_0541</t>
        </is>
      </c>
      <c r="J545" s="11" t="n">
        <v>48.5</v>
      </c>
      <c r="K545" s="11" t="n">
        <v>53.6</v>
      </c>
      <c r="L545" s="12" t="n">
        <v>500</v>
      </c>
      <c r="M545" s="10" t="inlineStr">
        <is>
          <t>是</t>
        </is>
      </c>
      <c r="N545" s="10" t="inlineStr">
        <is>
          <t>是</t>
        </is>
      </c>
      <c r="O545" s="10" t="inlineStr">
        <is>
          <t>supplier0541@example.com</t>
        </is>
      </c>
      <c r="P545" s="10" t="inlineStr">
        <is>
          <t>https://example.com/supplier/0541</t>
        </is>
      </c>
      <c r="Q545" s="10">
        <f>IF(R545&gt;=85,"A",IF(R545&gt;=70,"B","C"))</f>
        <v/>
      </c>
      <c r="R545" s="13">
        <f>MIN(100,50+IF(M545="是",10,0)+IF(N545="是",10,0)+IF(L545&lt;=100,10,IF(L545&lt;=300,5,0))+IF(J545&lt;=20,10,IF(J545&lt;=50,5,0))+IF(K545-J545&lt;=20,5,0)+IF(F545="企业官网",5,0))</f>
        <v/>
      </c>
      <c r="S545" s="10">
        <f>IF(Q545="A","价格与起订量有优势，建议优先询盘",IF(Q545="B","条件较均衡，可作为备选","起订量或价格需要进一步确认"))</f>
        <v/>
      </c>
      <c r="T545" s="10" t="inlineStr">
        <is>
          <t>未联系</t>
        </is>
      </c>
      <c r="U545" s="10" t="inlineStr">
        <is>
          <t>虚构演示数据</t>
        </is>
      </c>
    </row>
    <row r="546" ht="21" customHeight="1">
      <c r="A546" s="10" t="inlineStr">
        <is>
          <t>GYS-0542</t>
        </is>
      </c>
      <c r="B546" s="10" t="inlineStr">
        <is>
          <t>南通家居日用供应链0542有限公司（演示）</t>
        </is>
      </c>
      <c r="C546" s="10" t="inlineStr">
        <is>
          <t>家居日用</t>
        </is>
      </c>
      <c r="D546" s="10" t="inlineStr">
        <is>
          <t>折叠收纳箱</t>
        </is>
      </c>
      <c r="E546" s="10" t="inlineStr">
        <is>
          <t>江苏南通</t>
        </is>
      </c>
      <c r="F546" s="10" t="inlineStr">
        <is>
          <t>义乌购</t>
        </is>
      </c>
      <c r="G546" s="10" t="inlineStr">
        <is>
          <t>王经理</t>
        </is>
      </c>
      <c r="H546" s="10" t="inlineStr">
        <is>
          <t>000-0000-0542</t>
        </is>
      </c>
      <c r="I546" s="10" t="inlineStr">
        <is>
          <t>DEMO_GYS_0542</t>
        </is>
      </c>
      <c r="J546" s="11" t="n">
        <v>4.2</v>
      </c>
      <c r="K546" s="11" t="n">
        <v>10.4</v>
      </c>
      <c r="L546" s="12" t="n">
        <v>300</v>
      </c>
      <c r="M546" s="10" t="inlineStr">
        <is>
          <t>是</t>
        </is>
      </c>
      <c r="N546" s="10" t="inlineStr">
        <is>
          <t>是</t>
        </is>
      </c>
      <c r="O546" s="10" t="inlineStr">
        <is>
          <t>supplier0542@example.com</t>
        </is>
      </c>
      <c r="P546" s="10" t="inlineStr">
        <is>
          <t>https://example.com/supplier/0542</t>
        </is>
      </c>
      <c r="Q546" s="10">
        <f>IF(R546&gt;=85,"A",IF(R546&gt;=70,"B","C"))</f>
        <v/>
      </c>
      <c r="R546" s="13">
        <f>MIN(100,50+IF(M546="是",10,0)+IF(N546="是",10,0)+IF(L546&lt;=100,10,IF(L546&lt;=300,5,0))+IF(J546&lt;=20,10,IF(J546&lt;=50,5,0))+IF(K546-J546&lt;=20,5,0)+IF(F546="企业官网",5,0))</f>
        <v/>
      </c>
      <c r="S546" s="10">
        <f>IF(Q546="A","价格与起订量有优势，建议优先询盘",IF(Q546="B","条件较均衡，可作为备选","起订量或价格需要进一步确认"))</f>
        <v/>
      </c>
      <c r="T546" s="10" t="inlineStr">
        <is>
          <t>未联系</t>
        </is>
      </c>
      <c r="U546" s="10" t="inlineStr">
        <is>
          <t>虚构演示数据</t>
        </is>
      </c>
    </row>
    <row r="547" ht="21" customHeight="1">
      <c r="A547" s="10" t="inlineStr">
        <is>
          <t>GYS-0543</t>
        </is>
      </c>
      <c r="B547" s="10" t="inlineStr">
        <is>
          <t>郑州个护清洁供应链0543有限公司（演示）</t>
        </is>
      </c>
      <c r="C547" s="10" t="inlineStr">
        <is>
          <t>个护清洁</t>
        </is>
      </c>
      <c r="D547" s="10" t="inlineStr">
        <is>
          <t>便携洗脸巾</t>
        </is>
      </c>
      <c r="E547" s="10" t="inlineStr">
        <is>
          <t>河南郑州</t>
        </is>
      </c>
      <c r="F547" s="10" t="inlineStr">
        <is>
          <t>慧聪网</t>
        </is>
      </c>
      <c r="G547" s="10" t="inlineStr">
        <is>
          <t>李经理</t>
        </is>
      </c>
      <c r="H547" s="10" t="inlineStr">
        <is>
          <t>000-0000-0543</t>
        </is>
      </c>
      <c r="I547" s="10" t="inlineStr">
        <is>
          <t>DEMO_GYS_0543</t>
        </is>
      </c>
      <c r="J547" s="11" t="n">
        <v>5.9</v>
      </c>
      <c r="K547" s="11" t="n">
        <v>13.2</v>
      </c>
      <c r="L547" s="12" t="n">
        <v>200</v>
      </c>
      <c r="M547" s="10" t="inlineStr">
        <is>
          <t>是</t>
        </is>
      </c>
      <c r="N547" s="10" t="inlineStr">
        <is>
          <t>否</t>
        </is>
      </c>
      <c r="O547" s="10" t="inlineStr">
        <is>
          <t>supplier0543@example.com</t>
        </is>
      </c>
      <c r="P547" s="10" t="inlineStr">
        <is>
          <t>https://example.com/supplier/0543</t>
        </is>
      </c>
      <c r="Q547" s="10">
        <f>IF(R547&gt;=85,"A",IF(R547&gt;=70,"B","C"))</f>
        <v/>
      </c>
      <c r="R547" s="13">
        <f>MIN(100,50+IF(M547="是",10,0)+IF(N547="是",10,0)+IF(L547&lt;=100,10,IF(L547&lt;=300,5,0))+IF(J547&lt;=20,10,IF(J547&lt;=50,5,0))+IF(K547-J547&lt;=20,5,0)+IF(F547="企业官网",5,0))</f>
        <v/>
      </c>
      <c r="S547" s="10">
        <f>IF(Q547="A","价格与起订量有优势，建议优先询盘",IF(Q547="B","条件较均衡，可作为备选","起订量或价格需要进一步确认"))</f>
        <v/>
      </c>
      <c r="T547" s="10" t="inlineStr">
        <is>
          <t>未联系</t>
        </is>
      </c>
      <c r="U547" s="10" t="inlineStr">
        <is>
          <t>虚构演示数据</t>
        </is>
      </c>
    </row>
    <row r="548" ht="21" customHeight="1">
      <c r="A548" s="10" t="inlineStr">
        <is>
          <t>GYS-0544</t>
        </is>
      </c>
      <c r="B548" s="10" t="inlineStr">
        <is>
          <t>宁波厨房用品供应链0544有限公司（演示）</t>
        </is>
      </c>
      <c r="C548" s="10" t="inlineStr">
        <is>
          <t>厨房用品</t>
        </is>
      </c>
      <c r="D548" s="10" t="inlineStr">
        <is>
          <t>硅胶保鲜盒</t>
        </is>
      </c>
      <c r="E548" s="10" t="inlineStr">
        <is>
          <t>浙江宁波</t>
        </is>
      </c>
      <c r="F548" s="10" t="inlineStr">
        <is>
          <t>1688</t>
        </is>
      </c>
      <c r="G548" s="10" t="inlineStr">
        <is>
          <t>张经理</t>
        </is>
      </c>
      <c r="H548" s="10" t="inlineStr">
        <is>
          <t>000-0000-0544</t>
        </is>
      </c>
      <c r="I548" s="10" t="inlineStr">
        <is>
          <t>DEMO_GYS_0544</t>
        </is>
      </c>
      <c r="J548" s="11" t="n">
        <v>7.6</v>
      </c>
      <c r="K548" s="11" t="n">
        <v>16</v>
      </c>
      <c r="L548" s="12" t="n">
        <v>100</v>
      </c>
      <c r="M548" s="10" t="inlineStr">
        <is>
          <t>否</t>
        </is>
      </c>
      <c r="N548" s="10" t="inlineStr">
        <is>
          <t>是</t>
        </is>
      </c>
      <c r="O548" s="10" t="inlineStr">
        <is>
          <t>supplier0544@example.com</t>
        </is>
      </c>
      <c r="P548" s="10" t="inlineStr">
        <is>
          <t>https://example.com/supplier/0544</t>
        </is>
      </c>
      <c r="Q548" s="10">
        <f>IF(R548&gt;=85,"A",IF(R548&gt;=70,"B","C"))</f>
        <v/>
      </c>
      <c r="R548" s="13">
        <f>MIN(100,50+IF(M548="是",10,0)+IF(N548="是",10,0)+IF(L548&lt;=100,10,IF(L548&lt;=300,5,0))+IF(J548&lt;=20,10,IF(J548&lt;=50,5,0))+IF(K548-J548&lt;=20,5,0)+IF(F548="企业官网",5,0))</f>
        <v/>
      </c>
      <c r="S548" s="10">
        <f>IF(Q548="A","价格与起订量有优势，建议优先询盘",IF(Q548="B","条件较均衡，可作为备选","起订量或价格需要进一步确认"))</f>
        <v/>
      </c>
      <c r="T548" s="10" t="inlineStr">
        <is>
          <t>未联系</t>
        </is>
      </c>
      <c r="U548" s="10" t="inlineStr">
        <is>
          <t>虚构演示数据</t>
        </is>
      </c>
    </row>
    <row r="549" ht="21" customHeight="1">
      <c r="A549" s="10" t="inlineStr">
        <is>
          <t>GYS-0545</t>
        </is>
      </c>
      <c r="B549" s="10" t="inlineStr">
        <is>
          <t>深圳数码配件供应链0545有限公司（演示）</t>
        </is>
      </c>
      <c r="C549" s="10" t="inlineStr">
        <is>
          <t>数码配件</t>
        </is>
      </c>
      <c r="D549" s="10" t="inlineStr">
        <is>
          <t>磁吸手机支架</t>
        </is>
      </c>
      <c r="E549" s="10" t="inlineStr">
        <is>
          <t>广东深圳</t>
        </is>
      </c>
      <c r="F549" s="10" t="inlineStr">
        <is>
          <t>中国制造网</t>
        </is>
      </c>
      <c r="G549" s="10" t="inlineStr">
        <is>
          <t>刘经理</t>
        </is>
      </c>
      <c r="H549" s="10" t="inlineStr">
        <is>
          <t>000-0000-0545</t>
        </is>
      </c>
      <c r="I549" s="10" t="inlineStr">
        <is>
          <t>DEMO_GYS_0545</t>
        </is>
      </c>
      <c r="J549" s="11" t="n">
        <v>9.300000000000001</v>
      </c>
      <c r="K549" s="11" t="n">
        <v>18.8</v>
      </c>
      <c r="L549" s="12" t="n">
        <v>50</v>
      </c>
      <c r="M549" s="10" t="inlineStr">
        <is>
          <t>是</t>
        </is>
      </c>
      <c r="N549" s="10" t="inlineStr">
        <is>
          <t>是</t>
        </is>
      </c>
      <c r="O549" s="10" t="inlineStr">
        <is>
          <t>supplier0545@example.com</t>
        </is>
      </c>
      <c r="P549" s="10" t="inlineStr">
        <is>
          <t>https://example.com/supplier/0545</t>
        </is>
      </c>
      <c r="Q549" s="10">
        <f>IF(R549&gt;=85,"A",IF(R549&gt;=70,"B","C"))</f>
        <v/>
      </c>
      <c r="R549" s="13">
        <f>MIN(100,50+IF(M549="是",10,0)+IF(N549="是",10,0)+IF(L549&lt;=100,10,IF(L549&lt;=300,5,0))+IF(J549&lt;=20,10,IF(J549&lt;=50,5,0))+IF(K549-J549&lt;=20,5,0)+IF(F549="企业官网",5,0))</f>
        <v/>
      </c>
      <c r="S549" s="10">
        <f>IF(Q549="A","价格与起订量有优势，建议优先询盘",IF(Q549="B","条件较均衡，可作为备选","起订量或价格需要进一步确认"))</f>
        <v/>
      </c>
      <c r="T549" s="10" t="inlineStr">
        <is>
          <t>未联系</t>
        </is>
      </c>
      <c r="U549" s="10" t="inlineStr">
        <is>
          <t>虚构演示数据</t>
        </is>
      </c>
    </row>
    <row r="550" ht="21" customHeight="1">
      <c r="A550" s="10" t="inlineStr">
        <is>
          <t>GYS-0546</t>
        </is>
      </c>
      <c r="B550" s="10" t="inlineStr">
        <is>
          <t>佛山宠物用品供应链0546有限公司（演示）</t>
        </is>
      </c>
      <c r="C550" s="10" t="inlineStr">
        <is>
          <t>宠物用品</t>
        </is>
      </c>
      <c r="D550" s="10" t="inlineStr">
        <is>
          <t>宠物清洁手套</t>
        </is>
      </c>
      <c r="E550" s="10" t="inlineStr">
        <is>
          <t>广东佛山</t>
        </is>
      </c>
      <c r="F550" s="10" t="inlineStr">
        <is>
          <t>企业官网</t>
        </is>
      </c>
      <c r="G550" s="10" t="inlineStr">
        <is>
          <t>黄经理</t>
        </is>
      </c>
      <c r="H550" s="10" t="inlineStr">
        <is>
          <t>000-0000-0546</t>
        </is>
      </c>
      <c r="I550" s="10" t="inlineStr">
        <is>
          <t>DEMO_GYS_0546</t>
        </is>
      </c>
      <c r="J550" s="11" t="n">
        <v>11</v>
      </c>
      <c r="K550" s="11" t="n">
        <v>21.6</v>
      </c>
      <c r="L550" s="12" t="n">
        <v>20</v>
      </c>
      <c r="M550" s="10" t="inlineStr">
        <is>
          <t>是</t>
        </is>
      </c>
      <c r="N550" s="10" t="inlineStr">
        <is>
          <t>否</t>
        </is>
      </c>
      <c r="O550" s="10" t="inlineStr">
        <is>
          <t>supplier0546@example.com</t>
        </is>
      </c>
      <c r="P550" s="10" t="inlineStr">
        <is>
          <t>https://example.com/supplier/0546</t>
        </is>
      </c>
      <c r="Q550" s="10">
        <f>IF(R550&gt;=85,"A",IF(R550&gt;=70,"B","C"))</f>
        <v/>
      </c>
      <c r="R550" s="13">
        <f>MIN(100,50+IF(M550="是",10,0)+IF(N550="是",10,0)+IF(L550&lt;=100,10,IF(L550&lt;=300,5,0))+IF(J550&lt;=20,10,IF(J550&lt;=50,5,0))+IF(K550-J550&lt;=20,5,0)+IF(F550="企业官网",5,0))</f>
        <v/>
      </c>
      <c r="S550" s="10">
        <f>IF(Q550="A","价格与起订量有优势，建议优先询盘",IF(Q550="B","条件较均衡，可作为备选","起订量或价格需要进一步确认"))</f>
        <v/>
      </c>
      <c r="T550" s="10" t="inlineStr">
        <is>
          <t>未联系</t>
        </is>
      </c>
      <c r="U550" s="10" t="inlineStr">
        <is>
          <t>虚构演示数据</t>
        </is>
      </c>
    </row>
    <row r="551" ht="21" customHeight="1">
      <c r="A551" s="10" t="inlineStr">
        <is>
          <t>GYS-0547</t>
        </is>
      </c>
      <c r="B551" s="10" t="inlineStr">
        <is>
          <t>苏州母婴用品供应链0547有限公司（演示）</t>
        </is>
      </c>
      <c r="C551" s="10" t="inlineStr">
        <is>
          <t>母婴用品</t>
        </is>
      </c>
      <c r="D551" s="10" t="inlineStr">
        <is>
          <t>婴儿防撞条</t>
        </is>
      </c>
      <c r="E551" s="10" t="inlineStr">
        <is>
          <t>江苏苏州</t>
        </is>
      </c>
      <c r="F551" s="10" t="inlineStr">
        <is>
          <t>义乌购</t>
        </is>
      </c>
      <c r="G551" s="10" t="inlineStr">
        <is>
          <t>赵经理</t>
        </is>
      </c>
      <c r="H551" s="10" t="inlineStr">
        <is>
          <t>000-0000-0547</t>
        </is>
      </c>
      <c r="I551" s="10" t="inlineStr">
        <is>
          <t>DEMO_GYS_0547</t>
        </is>
      </c>
      <c r="J551" s="11" t="n">
        <v>12.7</v>
      </c>
      <c r="K551" s="11" t="n">
        <v>24.4</v>
      </c>
      <c r="L551" s="12" t="n">
        <v>500</v>
      </c>
      <c r="M551" s="10" t="inlineStr">
        <is>
          <t>是</t>
        </is>
      </c>
      <c r="N551" s="10" t="inlineStr">
        <is>
          <t>是</t>
        </is>
      </c>
      <c r="O551" s="10" t="inlineStr">
        <is>
          <t>supplier0547@example.com</t>
        </is>
      </c>
      <c r="P551" s="10" t="inlineStr">
        <is>
          <t>https://example.com/supplier/0547</t>
        </is>
      </c>
      <c r="Q551" s="10">
        <f>IF(R551&gt;=85,"A",IF(R551&gt;=70,"B","C"))</f>
        <v/>
      </c>
      <c r="R551" s="13">
        <f>MIN(100,50+IF(M551="是",10,0)+IF(N551="是",10,0)+IF(L551&lt;=100,10,IF(L551&lt;=300,5,0))+IF(J551&lt;=20,10,IF(J551&lt;=50,5,0))+IF(K551-J551&lt;=20,5,0)+IF(F551="企业官网",5,0))</f>
        <v/>
      </c>
      <c r="S551" s="10">
        <f>IF(Q551="A","价格与起订量有优势，建议优先询盘",IF(Q551="B","条件较均衡，可作为备选","起订量或价格需要进一步确认"))</f>
        <v/>
      </c>
      <c r="T551" s="10" t="inlineStr">
        <is>
          <t>未联系</t>
        </is>
      </c>
      <c r="U551" s="10" t="inlineStr">
        <is>
          <t>虚构演示数据</t>
        </is>
      </c>
    </row>
    <row r="552" ht="21" customHeight="1">
      <c r="A552" s="10" t="inlineStr">
        <is>
          <t>GYS-0548</t>
        </is>
      </c>
      <c r="B552" s="10" t="inlineStr">
        <is>
          <t>白沟运动户外供应链0548有限公司（演示）</t>
        </is>
      </c>
      <c r="C552" s="10" t="inlineStr">
        <is>
          <t>运动户外</t>
        </is>
      </c>
      <c r="D552" s="10" t="inlineStr">
        <is>
          <t>弹力训练带</t>
        </is>
      </c>
      <c r="E552" s="10" t="inlineStr">
        <is>
          <t>河北白沟</t>
        </is>
      </c>
      <c r="F552" s="10" t="inlineStr">
        <is>
          <t>慧聪网</t>
        </is>
      </c>
      <c r="G552" s="10" t="inlineStr">
        <is>
          <t>周经理</t>
        </is>
      </c>
      <c r="H552" s="10" t="inlineStr">
        <is>
          <t>000-0000-0548</t>
        </is>
      </c>
      <c r="I552" s="10" t="inlineStr">
        <is>
          <t>DEMO_GYS_0548</t>
        </is>
      </c>
      <c r="J552" s="11" t="n">
        <v>14.4</v>
      </c>
      <c r="K552" s="11" t="n">
        <v>27.2</v>
      </c>
      <c r="L552" s="12" t="n">
        <v>300</v>
      </c>
      <c r="M552" s="10" t="inlineStr">
        <is>
          <t>否</t>
        </is>
      </c>
      <c r="N552" s="10" t="inlineStr">
        <is>
          <t>是</t>
        </is>
      </c>
      <c r="O552" s="10" t="inlineStr">
        <is>
          <t>supplier0548@example.com</t>
        </is>
      </c>
      <c r="P552" s="10" t="inlineStr">
        <is>
          <t>https://example.com/supplier/0548</t>
        </is>
      </c>
      <c r="Q552" s="10">
        <f>IF(R552&gt;=85,"A",IF(R552&gt;=70,"B","C"))</f>
        <v/>
      </c>
      <c r="R552" s="13">
        <f>MIN(100,50+IF(M552="是",10,0)+IF(N552="是",10,0)+IF(L552&lt;=100,10,IF(L552&lt;=300,5,0))+IF(J552&lt;=20,10,IF(J552&lt;=50,5,0))+IF(K552-J552&lt;=20,5,0)+IF(F552="企业官网",5,0))</f>
        <v/>
      </c>
      <c r="S552" s="10">
        <f>IF(Q552="A","价格与起订量有优势，建议优先询盘",IF(Q552="B","条件较均衡，可作为备选","起订量或价格需要进一步确认"))</f>
        <v/>
      </c>
      <c r="T552" s="10" t="inlineStr">
        <is>
          <t>未联系</t>
        </is>
      </c>
      <c r="U552" s="10" t="inlineStr">
        <is>
          <t>虚构演示数据</t>
        </is>
      </c>
    </row>
    <row r="553" ht="21" customHeight="1">
      <c r="A553" s="10" t="inlineStr">
        <is>
          <t>GYS-0549</t>
        </is>
      </c>
      <c r="B553" s="10" t="inlineStr">
        <is>
          <t>义乌办公文具供应链0549有限公司（演示）</t>
        </is>
      </c>
      <c r="C553" s="10" t="inlineStr">
        <is>
          <t>办公文具</t>
        </is>
      </c>
      <c r="D553" s="10" t="inlineStr">
        <is>
          <t>桌面收纳架</t>
        </is>
      </c>
      <c r="E553" s="10" t="inlineStr">
        <is>
          <t>浙江义乌</t>
        </is>
      </c>
      <c r="F553" s="10" t="inlineStr">
        <is>
          <t>1688</t>
        </is>
      </c>
      <c r="G553" s="10" t="inlineStr">
        <is>
          <t>吴经理</t>
        </is>
      </c>
      <c r="H553" s="10" t="inlineStr">
        <is>
          <t>000-0000-0549</t>
        </is>
      </c>
      <c r="I553" s="10" t="inlineStr">
        <is>
          <t>DEMO_GYS_0549</t>
        </is>
      </c>
      <c r="J553" s="11" t="n">
        <v>16.1</v>
      </c>
      <c r="K553" s="11" t="n">
        <v>30</v>
      </c>
      <c r="L553" s="12" t="n">
        <v>200</v>
      </c>
      <c r="M553" s="10" t="inlineStr">
        <is>
          <t>是</t>
        </is>
      </c>
      <c r="N553" s="10" t="inlineStr">
        <is>
          <t>否</t>
        </is>
      </c>
      <c r="O553" s="10" t="inlineStr">
        <is>
          <t>supplier0549@example.com</t>
        </is>
      </c>
      <c r="P553" s="10" t="inlineStr">
        <is>
          <t>https://example.com/supplier/0549</t>
        </is>
      </c>
      <c r="Q553" s="10">
        <f>IF(R553&gt;=85,"A",IF(R553&gt;=70,"B","C"))</f>
        <v/>
      </c>
      <c r="R553" s="13">
        <f>MIN(100,50+IF(M553="是",10,0)+IF(N553="是",10,0)+IF(L553&lt;=100,10,IF(L553&lt;=300,5,0))+IF(J553&lt;=20,10,IF(J553&lt;=50,5,0))+IF(K553-J553&lt;=20,5,0)+IF(F553="企业官网",5,0))</f>
        <v/>
      </c>
      <c r="S553" s="10">
        <f>IF(Q553="A","价格与起订量有优势，建议优先询盘",IF(Q553="B","条件较均衡，可作为备选","起订量或价格需要进一步确认"))</f>
        <v/>
      </c>
      <c r="T553" s="10" t="inlineStr">
        <is>
          <t>未联系</t>
        </is>
      </c>
      <c r="U553" s="10" t="inlineStr">
        <is>
          <t>虚构演示数据</t>
        </is>
      </c>
    </row>
    <row r="554" ht="21" customHeight="1">
      <c r="A554" s="10" t="inlineStr">
        <is>
          <t>GYS-0550</t>
        </is>
      </c>
      <c r="B554" s="10" t="inlineStr">
        <is>
          <t>台州汽车用品供应链0550有限公司（演示）</t>
        </is>
      </c>
      <c r="C554" s="10" t="inlineStr">
        <is>
          <t>汽车用品</t>
        </is>
      </c>
      <c r="D554" s="10" t="inlineStr">
        <is>
          <t>车载香薰</t>
        </is>
      </c>
      <c r="E554" s="10" t="inlineStr">
        <is>
          <t>浙江台州</t>
        </is>
      </c>
      <c r="F554" s="10" t="inlineStr">
        <is>
          <t>中国制造网</t>
        </is>
      </c>
      <c r="G554" s="10" t="inlineStr">
        <is>
          <t>陈经理</t>
        </is>
      </c>
      <c r="H554" s="10" t="inlineStr">
        <is>
          <t>000-0000-0550</t>
        </is>
      </c>
      <c r="I554" s="10" t="inlineStr">
        <is>
          <t>DEMO_GYS_0550</t>
        </is>
      </c>
      <c r="J554" s="11" t="n">
        <v>17.8</v>
      </c>
      <c r="K554" s="11" t="n">
        <v>32.8</v>
      </c>
      <c r="L554" s="12" t="n">
        <v>100</v>
      </c>
      <c r="M554" s="10" t="inlineStr">
        <is>
          <t>是</t>
        </is>
      </c>
      <c r="N554" s="10" t="inlineStr">
        <is>
          <t>是</t>
        </is>
      </c>
      <c r="O554" s="10" t="inlineStr">
        <is>
          <t>supplier0550@example.com</t>
        </is>
      </c>
      <c r="P554" s="10" t="inlineStr">
        <is>
          <t>https://example.com/supplier/0550</t>
        </is>
      </c>
      <c r="Q554" s="10">
        <f>IF(R554&gt;=85,"A",IF(R554&gt;=70,"B","C"))</f>
        <v/>
      </c>
      <c r="R554" s="13">
        <f>MIN(100,50+IF(M554="是",10,0)+IF(N554="是",10,0)+IF(L554&lt;=100,10,IF(L554&lt;=300,5,0))+IF(J554&lt;=20,10,IF(J554&lt;=50,5,0))+IF(K554-J554&lt;=20,5,0)+IF(F554="企业官网",5,0))</f>
        <v/>
      </c>
      <c r="S554" s="10">
        <f>IF(Q554="A","价格与起订量有优势，建议优先询盘",IF(Q554="B","条件较均衡，可作为备选","起订量或价格需要进一步确认"))</f>
        <v/>
      </c>
      <c r="T554" s="10" t="inlineStr">
        <is>
          <t>未联系</t>
        </is>
      </c>
      <c r="U554" s="10" t="inlineStr">
        <is>
          <t>虚构演示数据</t>
        </is>
      </c>
    </row>
    <row r="555" ht="21" customHeight="1">
      <c r="A555" s="10" t="inlineStr">
        <is>
          <t>GYS-0551</t>
        </is>
      </c>
      <c r="B555" s="10" t="inlineStr">
        <is>
          <t>东莞美容工具供应链0551有限公司（演示）</t>
        </is>
      </c>
      <c r="C555" s="10" t="inlineStr">
        <is>
          <t>美容工具</t>
        </is>
      </c>
      <c r="D555" s="10" t="inlineStr">
        <is>
          <t>便携化妆镜</t>
        </is>
      </c>
      <c r="E555" s="10" t="inlineStr">
        <is>
          <t>广东东莞</t>
        </is>
      </c>
      <c r="F555" s="10" t="inlineStr">
        <is>
          <t>企业官网</t>
        </is>
      </c>
      <c r="G555" s="10" t="inlineStr">
        <is>
          <t>林经理</t>
        </is>
      </c>
      <c r="H555" s="10" t="inlineStr">
        <is>
          <t>000-0000-0551</t>
        </is>
      </c>
      <c r="I555" s="10" t="inlineStr">
        <is>
          <t>DEMO_GYS_0551</t>
        </is>
      </c>
      <c r="J555" s="11" t="n">
        <v>19.5</v>
      </c>
      <c r="K555" s="11" t="n">
        <v>35.6</v>
      </c>
      <c r="L555" s="12" t="n">
        <v>50</v>
      </c>
      <c r="M555" s="10" t="inlineStr">
        <is>
          <t>是</t>
        </is>
      </c>
      <c r="N555" s="10" t="inlineStr">
        <is>
          <t>是</t>
        </is>
      </c>
      <c r="O555" s="10" t="inlineStr">
        <is>
          <t>supplier0551@example.com</t>
        </is>
      </c>
      <c r="P555" s="10" t="inlineStr">
        <is>
          <t>https://example.com/supplier/0551</t>
        </is>
      </c>
      <c r="Q555" s="10">
        <f>IF(R555&gt;=85,"A",IF(R555&gt;=70,"B","C"))</f>
        <v/>
      </c>
      <c r="R555" s="13">
        <f>MIN(100,50+IF(M555="是",10,0)+IF(N555="是",10,0)+IF(L555&lt;=100,10,IF(L555&lt;=300,5,0))+IF(J555&lt;=20,10,IF(J555&lt;=50,5,0))+IF(K555-J555&lt;=20,5,0)+IF(F555="企业官网",5,0))</f>
        <v/>
      </c>
      <c r="S555" s="10">
        <f>IF(Q555="A","价格与起订量有优势，建议优先询盘",IF(Q555="B","条件较均衡，可作为备选","起订量或价格需要进一步确认"))</f>
        <v/>
      </c>
      <c r="T555" s="10" t="inlineStr">
        <is>
          <t>未联系</t>
        </is>
      </c>
      <c r="U555" s="10" t="inlineStr">
        <is>
          <t>虚构演示数据</t>
        </is>
      </c>
    </row>
    <row r="556" ht="21" customHeight="1">
      <c r="A556" s="10" t="inlineStr">
        <is>
          <t>GYS-0552</t>
        </is>
      </c>
      <c r="B556" s="10" t="inlineStr">
        <is>
          <t>厦门旅行用品供应链0552有限公司（演示）</t>
        </is>
      </c>
      <c r="C556" s="10" t="inlineStr">
        <is>
          <t>旅行用品</t>
        </is>
      </c>
      <c r="D556" s="10" t="inlineStr">
        <is>
          <t>压缩收纳袋</t>
        </is>
      </c>
      <c r="E556" s="10" t="inlineStr">
        <is>
          <t>福建厦门</t>
        </is>
      </c>
      <c r="F556" s="10" t="inlineStr">
        <is>
          <t>义乌购</t>
        </is>
      </c>
      <c r="G556" s="10" t="inlineStr">
        <is>
          <t>王经理</t>
        </is>
      </c>
      <c r="H556" s="10" t="inlineStr">
        <is>
          <t>000-0000-0552</t>
        </is>
      </c>
      <c r="I556" s="10" t="inlineStr">
        <is>
          <t>DEMO_GYS_0552</t>
        </is>
      </c>
      <c r="J556" s="11" t="n">
        <v>21.2</v>
      </c>
      <c r="K556" s="11" t="n">
        <v>38.4</v>
      </c>
      <c r="L556" s="12" t="n">
        <v>20</v>
      </c>
      <c r="M556" s="10" t="inlineStr">
        <is>
          <t>否</t>
        </is>
      </c>
      <c r="N556" s="10" t="inlineStr">
        <is>
          <t>否</t>
        </is>
      </c>
      <c r="O556" s="10" t="inlineStr">
        <is>
          <t>supplier0552@example.com</t>
        </is>
      </c>
      <c r="P556" s="10" t="inlineStr">
        <is>
          <t>https://example.com/supplier/0552</t>
        </is>
      </c>
      <c r="Q556" s="10">
        <f>IF(R556&gt;=85,"A",IF(R556&gt;=70,"B","C"))</f>
        <v/>
      </c>
      <c r="R556" s="13">
        <f>MIN(100,50+IF(M556="是",10,0)+IF(N556="是",10,0)+IF(L556&lt;=100,10,IF(L556&lt;=300,5,0))+IF(J556&lt;=20,10,IF(J556&lt;=50,5,0))+IF(K556-J556&lt;=20,5,0)+IF(F556="企业官网",5,0))</f>
        <v/>
      </c>
      <c r="S556" s="10">
        <f>IF(Q556="A","价格与起订量有优势，建议优先询盘",IF(Q556="B","条件较均衡，可作为备选","起订量或价格需要进一步确认"))</f>
        <v/>
      </c>
      <c r="T556" s="10" t="inlineStr">
        <is>
          <t>未联系</t>
        </is>
      </c>
      <c r="U556" s="10" t="inlineStr">
        <is>
          <t>虚构演示数据</t>
        </is>
      </c>
    </row>
    <row r="557" ht="21" customHeight="1">
      <c r="A557" s="10" t="inlineStr">
        <is>
          <t>GYS-0553</t>
        </is>
      </c>
      <c r="B557" s="10" t="inlineStr">
        <is>
          <t>临沂清洁工具供应链0553有限公司（演示）</t>
        </is>
      </c>
      <c r="C557" s="10" t="inlineStr">
        <is>
          <t>清洁工具</t>
        </is>
      </c>
      <c r="D557" s="10" t="inlineStr">
        <is>
          <t>免手洗拖把</t>
        </is>
      </c>
      <c r="E557" s="10" t="inlineStr">
        <is>
          <t>山东临沂</t>
        </is>
      </c>
      <c r="F557" s="10" t="inlineStr">
        <is>
          <t>慧聪网</t>
        </is>
      </c>
      <c r="G557" s="10" t="inlineStr">
        <is>
          <t>李经理</t>
        </is>
      </c>
      <c r="H557" s="10" t="inlineStr">
        <is>
          <t>000-0000-0553</t>
        </is>
      </c>
      <c r="I557" s="10" t="inlineStr">
        <is>
          <t>DEMO_GYS_0553</t>
        </is>
      </c>
      <c r="J557" s="11" t="n">
        <v>22.9</v>
      </c>
      <c r="K557" s="11" t="n">
        <v>41.2</v>
      </c>
      <c r="L557" s="12" t="n">
        <v>500</v>
      </c>
      <c r="M557" s="10" t="inlineStr">
        <is>
          <t>是</t>
        </is>
      </c>
      <c r="N557" s="10" t="inlineStr">
        <is>
          <t>是</t>
        </is>
      </c>
      <c r="O557" s="10" t="inlineStr">
        <is>
          <t>supplier0553@example.com</t>
        </is>
      </c>
      <c r="P557" s="10" t="inlineStr">
        <is>
          <t>https://example.com/supplier/0553</t>
        </is>
      </c>
      <c r="Q557" s="10">
        <f>IF(R557&gt;=85,"A",IF(R557&gt;=70,"B","C"))</f>
        <v/>
      </c>
      <c r="R557" s="13">
        <f>MIN(100,50+IF(M557="是",10,0)+IF(N557="是",10,0)+IF(L557&lt;=100,10,IF(L557&lt;=300,5,0))+IF(J557&lt;=20,10,IF(J557&lt;=50,5,0))+IF(K557-J557&lt;=20,5,0)+IF(F557="企业官网",5,0))</f>
        <v/>
      </c>
      <c r="S557" s="10">
        <f>IF(Q557="A","价格与起订量有优势，建议优先询盘",IF(Q557="B","条件较均衡，可作为备选","起订量或价格需要进一步确认"))</f>
        <v/>
      </c>
      <c r="T557" s="10" t="inlineStr">
        <is>
          <t>未联系</t>
        </is>
      </c>
      <c r="U557" s="10" t="inlineStr">
        <is>
          <t>虚构演示数据</t>
        </is>
      </c>
    </row>
    <row r="558" ht="21" customHeight="1">
      <c r="A558" s="10" t="inlineStr">
        <is>
          <t>GYS-0554</t>
        </is>
      </c>
      <c r="B558" s="10" t="inlineStr">
        <is>
          <t>南昌小家电供应链0554有限公司（演示）</t>
        </is>
      </c>
      <c r="C558" s="10" t="inlineStr">
        <is>
          <t>小家电</t>
        </is>
      </c>
      <c r="D558" s="10" t="inlineStr">
        <is>
          <t>迷你加湿器</t>
        </is>
      </c>
      <c r="E558" s="10" t="inlineStr">
        <is>
          <t>江西南昌</t>
        </is>
      </c>
      <c r="F558" s="10" t="inlineStr">
        <is>
          <t>1688</t>
        </is>
      </c>
      <c r="G558" s="10" t="inlineStr">
        <is>
          <t>张经理</t>
        </is>
      </c>
      <c r="H558" s="10" t="inlineStr">
        <is>
          <t>000-0000-0554</t>
        </is>
      </c>
      <c r="I558" s="10" t="inlineStr">
        <is>
          <t>DEMO_GYS_0554</t>
        </is>
      </c>
      <c r="J558" s="11" t="n">
        <v>24.6</v>
      </c>
      <c r="K558" s="11" t="n">
        <v>44</v>
      </c>
      <c r="L558" s="12" t="n">
        <v>300</v>
      </c>
      <c r="M558" s="10" t="inlineStr">
        <is>
          <t>是</t>
        </is>
      </c>
      <c r="N558" s="10" t="inlineStr">
        <is>
          <t>是</t>
        </is>
      </c>
      <c r="O558" s="10" t="inlineStr">
        <is>
          <t>supplier0554@example.com</t>
        </is>
      </c>
      <c r="P558" s="10" t="inlineStr">
        <is>
          <t>https://example.com/supplier/0554</t>
        </is>
      </c>
      <c r="Q558" s="10">
        <f>IF(R558&gt;=85,"A",IF(R558&gt;=70,"B","C"))</f>
        <v/>
      </c>
      <c r="R558" s="13">
        <f>MIN(100,50+IF(M558="是",10,0)+IF(N558="是",10,0)+IF(L558&lt;=100,10,IF(L558&lt;=300,5,0))+IF(J558&lt;=20,10,IF(J558&lt;=50,5,0))+IF(K558-J558&lt;=20,5,0)+IF(F558="企业官网",5,0))</f>
        <v/>
      </c>
      <c r="S558" s="10">
        <f>IF(Q558="A","价格与起订量有优势，建议优先询盘",IF(Q558="B","条件较均衡，可作为备选","起订量或价格需要进一步确认"))</f>
        <v/>
      </c>
      <c r="T558" s="10" t="inlineStr">
        <is>
          <t>未联系</t>
        </is>
      </c>
      <c r="U558" s="10" t="inlineStr">
        <is>
          <t>虚构演示数据</t>
        </is>
      </c>
    </row>
    <row r="559" ht="21" customHeight="1">
      <c r="A559" s="10" t="inlineStr">
        <is>
          <t>GYS-0555</t>
        </is>
      </c>
      <c r="B559" s="10" t="inlineStr">
        <is>
          <t>温州礼品包装供应链0555有限公司（演示）</t>
        </is>
      </c>
      <c r="C559" s="10" t="inlineStr">
        <is>
          <t>礼品包装</t>
        </is>
      </c>
      <c r="D559" s="10" t="inlineStr">
        <is>
          <t>节日礼盒</t>
        </is>
      </c>
      <c r="E559" s="10" t="inlineStr">
        <is>
          <t>浙江温州</t>
        </is>
      </c>
      <c r="F559" s="10" t="inlineStr">
        <is>
          <t>中国制造网</t>
        </is>
      </c>
      <c r="G559" s="10" t="inlineStr">
        <is>
          <t>刘经理</t>
        </is>
      </c>
      <c r="H559" s="10" t="inlineStr">
        <is>
          <t>000-0000-0555</t>
        </is>
      </c>
      <c r="I559" s="10" t="inlineStr">
        <is>
          <t>DEMO_GYS_0555</t>
        </is>
      </c>
      <c r="J559" s="11" t="n">
        <v>26.3</v>
      </c>
      <c r="K559" s="11" t="n">
        <v>46.8</v>
      </c>
      <c r="L559" s="12" t="n">
        <v>200</v>
      </c>
      <c r="M559" s="10" t="inlineStr">
        <is>
          <t>是</t>
        </is>
      </c>
      <c r="N559" s="10" t="inlineStr">
        <is>
          <t>否</t>
        </is>
      </c>
      <c r="O559" s="10" t="inlineStr">
        <is>
          <t>supplier0555@example.com</t>
        </is>
      </c>
      <c r="P559" s="10" t="inlineStr">
        <is>
          <t>https://example.com/supplier/0555</t>
        </is>
      </c>
      <c r="Q559" s="10">
        <f>IF(R559&gt;=85,"A",IF(R559&gt;=70,"B","C"))</f>
        <v/>
      </c>
      <c r="R559" s="13">
        <f>MIN(100,50+IF(M559="是",10,0)+IF(N559="是",10,0)+IF(L559&lt;=100,10,IF(L559&lt;=300,5,0))+IF(J559&lt;=20,10,IF(J559&lt;=50,5,0))+IF(K559-J559&lt;=20,5,0)+IF(F559="企业官网",5,0))</f>
        <v/>
      </c>
      <c r="S559" s="10">
        <f>IF(Q559="A","价格与起订量有优势，建议优先询盘",IF(Q559="B","条件较均衡，可作为备选","起订量或价格需要进一步确认"))</f>
        <v/>
      </c>
      <c r="T559" s="10" t="inlineStr">
        <is>
          <t>未联系</t>
        </is>
      </c>
      <c r="U559" s="10" t="inlineStr">
        <is>
          <t>虚构演示数据</t>
        </is>
      </c>
    </row>
    <row r="560" ht="21" customHeight="1">
      <c r="A560" s="10" t="inlineStr">
        <is>
          <t>GYS-0556</t>
        </is>
      </c>
      <c r="B560" s="10" t="inlineStr">
        <is>
          <t>广州五金工具供应链0556有限公司（演示）</t>
        </is>
      </c>
      <c r="C560" s="10" t="inlineStr">
        <is>
          <t>五金工具</t>
        </is>
      </c>
      <c r="D560" s="10" t="inlineStr">
        <is>
          <t>多功能螺丝刀</t>
        </is>
      </c>
      <c r="E560" s="10" t="inlineStr">
        <is>
          <t>广东广州</t>
        </is>
      </c>
      <c r="F560" s="10" t="inlineStr">
        <is>
          <t>企业官网</t>
        </is>
      </c>
      <c r="G560" s="10" t="inlineStr">
        <is>
          <t>黄经理</t>
        </is>
      </c>
      <c r="H560" s="10" t="inlineStr">
        <is>
          <t>000-0000-0556</t>
        </is>
      </c>
      <c r="I560" s="10" t="inlineStr">
        <is>
          <t>DEMO_GYS_0556</t>
        </is>
      </c>
      <c r="J560" s="11" t="n">
        <v>28</v>
      </c>
      <c r="K560" s="11" t="n">
        <v>49.6</v>
      </c>
      <c r="L560" s="12" t="n">
        <v>100</v>
      </c>
      <c r="M560" s="10" t="inlineStr">
        <is>
          <t>否</t>
        </is>
      </c>
      <c r="N560" s="10" t="inlineStr">
        <is>
          <t>是</t>
        </is>
      </c>
      <c r="O560" s="10" t="inlineStr">
        <is>
          <t>supplier0556@example.com</t>
        </is>
      </c>
      <c r="P560" s="10" t="inlineStr">
        <is>
          <t>https://example.com/supplier/0556</t>
        </is>
      </c>
      <c r="Q560" s="10">
        <f>IF(R560&gt;=85,"A",IF(R560&gt;=70,"B","C"))</f>
        <v/>
      </c>
      <c r="R560" s="13">
        <f>MIN(100,50+IF(M560="是",10,0)+IF(N560="是",10,0)+IF(L560&lt;=100,10,IF(L560&lt;=300,5,0))+IF(J560&lt;=20,10,IF(J560&lt;=50,5,0))+IF(K560-J560&lt;=20,5,0)+IF(F560="企业官网",5,0))</f>
        <v/>
      </c>
      <c r="S560" s="10">
        <f>IF(Q560="A","价格与起订量有优势，建议优先询盘",IF(Q560="B","条件较均衡，可作为备选","起订量或价格需要进一步确认"))</f>
        <v/>
      </c>
      <c r="T560" s="10" t="inlineStr">
        <is>
          <t>未联系</t>
        </is>
      </c>
      <c r="U560" s="10" t="inlineStr">
        <is>
          <t>虚构演示数据</t>
        </is>
      </c>
    </row>
    <row r="561" ht="21" customHeight="1">
      <c r="A561" s="10" t="inlineStr">
        <is>
          <t>GYS-0557</t>
        </is>
      </c>
      <c r="B561" s="10" t="inlineStr">
        <is>
          <t>泉州鞋靴配件供应链0557有限公司（演示）</t>
        </is>
      </c>
      <c r="C561" s="10" t="inlineStr">
        <is>
          <t>鞋靴配件</t>
        </is>
      </c>
      <c r="D561" s="10" t="inlineStr">
        <is>
          <t>防磨脚贴</t>
        </is>
      </c>
      <c r="E561" s="10" t="inlineStr">
        <is>
          <t>福建泉州</t>
        </is>
      </c>
      <c r="F561" s="10" t="inlineStr">
        <is>
          <t>义乌购</t>
        </is>
      </c>
      <c r="G561" s="10" t="inlineStr">
        <is>
          <t>赵经理</t>
        </is>
      </c>
      <c r="H561" s="10" t="inlineStr">
        <is>
          <t>000-0000-0557</t>
        </is>
      </c>
      <c r="I561" s="10" t="inlineStr">
        <is>
          <t>DEMO_GYS_0557</t>
        </is>
      </c>
      <c r="J561" s="11" t="n">
        <v>29.7</v>
      </c>
      <c r="K561" s="11" t="n">
        <v>34.4</v>
      </c>
      <c r="L561" s="12" t="n">
        <v>50</v>
      </c>
      <c r="M561" s="10" t="inlineStr">
        <is>
          <t>是</t>
        </is>
      </c>
      <c r="N561" s="10" t="inlineStr">
        <is>
          <t>是</t>
        </is>
      </c>
      <c r="O561" s="10" t="inlineStr">
        <is>
          <t>supplier0557@example.com</t>
        </is>
      </c>
      <c r="P561" s="10" t="inlineStr">
        <is>
          <t>https://example.com/supplier/0557</t>
        </is>
      </c>
      <c r="Q561" s="10">
        <f>IF(R561&gt;=85,"A",IF(R561&gt;=70,"B","C"))</f>
        <v/>
      </c>
      <c r="R561" s="13">
        <f>MIN(100,50+IF(M561="是",10,0)+IF(N561="是",10,0)+IF(L561&lt;=100,10,IF(L561&lt;=300,5,0))+IF(J561&lt;=20,10,IF(J561&lt;=50,5,0))+IF(K561-J561&lt;=20,5,0)+IF(F561="企业官网",5,0))</f>
        <v/>
      </c>
      <c r="S561" s="10">
        <f>IF(Q561="A","价格与起订量有优势，建议优先询盘",IF(Q561="B","条件较均衡，可作为备选","起订量或价格需要进一步确认"))</f>
        <v/>
      </c>
      <c r="T561" s="10" t="inlineStr">
        <is>
          <t>未联系</t>
        </is>
      </c>
      <c r="U561" s="10" t="inlineStr">
        <is>
          <t>虚构演示数据</t>
        </is>
      </c>
    </row>
    <row r="562" ht="21" customHeight="1">
      <c r="A562" s="10" t="inlineStr">
        <is>
          <t>GYS-0558</t>
        </is>
      </c>
      <c r="B562" s="10" t="inlineStr">
        <is>
          <t>南通食品包装供应链0558有限公司（演示）</t>
        </is>
      </c>
      <c r="C562" s="10" t="inlineStr">
        <is>
          <t>食品包装</t>
        </is>
      </c>
      <c r="D562" s="10" t="inlineStr">
        <is>
          <t>密封包装袋</t>
        </is>
      </c>
      <c r="E562" s="10" t="inlineStr">
        <is>
          <t>江苏南通</t>
        </is>
      </c>
      <c r="F562" s="10" t="inlineStr">
        <is>
          <t>慧聪网</t>
        </is>
      </c>
      <c r="G562" s="10" t="inlineStr">
        <is>
          <t>周经理</t>
        </is>
      </c>
      <c r="H562" s="10" t="inlineStr">
        <is>
          <t>000-0000-0558</t>
        </is>
      </c>
      <c r="I562" s="10" t="inlineStr">
        <is>
          <t>DEMO_GYS_0558</t>
        </is>
      </c>
      <c r="J562" s="11" t="n">
        <v>31.4</v>
      </c>
      <c r="K562" s="11" t="n">
        <v>37.2</v>
      </c>
      <c r="L562" s="12" t="n">
        <v>20</v>
      </c>
      <c r="M562" s="10" t="inlineStr">
        <is>
          <t>是</t>
        </is>
      </c>
      <c r="N562" s="10" t="inlineStr">
        <is>
          <t>否</t>
        </is>
      </c>
      <c r="O562" s="10" t="inlineStr">
        <is>
          <t>supplier0558@example.com</t>
        </is>
      </c>
      <c r="P562" s="10" t="inlineStr">
        <is>
          <t>https://example.com/supplier/0558</t>
        </is>
      </c>
      <c r="Q562" s="10">
        <f>IF(R562&gt;=85,"A",IF(R562&gt;=70,"B","C"))</f>
        <v/>
      </c>
      <c r="R562" s="13">
        <f>MIN(100,50+IF(M562="是",10,0)+IF(N562="是",10,0)+IF(L562&lt;=100,10,IF(L562&lt;=300,5,0))+IF(J562&lt;=20,10,IF(J562&lt;=50,5,0))+IF(K562-J562&lt;=20,5,0)+IF(F562="企业官网",5,0))</f>
        <v/>
      </c>
      <c r="S562" s="10">
        <f>IF(Q562="A","价格与起订量有优势，建议优先询盘",IF(Q562="B","条件较均衡，可作为备选","起订量或价格需要进一步确认"))</f>
        <v/>
      </c>
      <c r="T562" s="10" t="inlineStr">
        <is>
          <t>未联系</t>
        </is>
      </c>
      <c r="U562" s="10" t="inlineStr">
        <is>
          <t>虚构演示数据</t>
        </is>
      </c>
    </row>
    <row r="563" ht="21" customHeight="1">
      <c r="A563" s="10" t="inlineStr">
        <is>
          <t>GYS-0559</t>
        </is>
      </c>
      <c r="B563" s="10" t="inlineStr">
        <is>
          <t>郑州户外照明供应链0559有限公司（演示）</t>
        </is>
      </c>
      <c r="C563" s="10" t="inlineStr">
        <is>
          <t>户外照明</t>
        </is>
      </c>
      <c r="D563" s="10" t="inlineStr">
        <is>
          <t>便携露营灯</t>
        </is>
      </c>
      <c r="E563" s="10" t="inlineStr">
        <is>
          <t>河南郑州</t>
        </is>
      </c>
      <c r="F563" s="10" t="inlineStr">
        <is>
          <t>1688</t>
        </is>
      </c>
      <c r="G563" s="10" t="inlineStr">
        <is>
          <t>吴经理</t>
        </is>
      </c>
      <c r="H563" s="10" t="inlineStr">
        <is>
          <t>000-0000-0559</t>
        </is>
      </c>
      <c r="I563" s="10" t="inlineStr">
        <is>
          <t>DEMO_GYS_0559</t>
        </is>
      </c>
      <c r="J563" s="11" t="n">
        <v>33.1</v>
      </c>
      <c r="K563" s="11" t="n">
        <v>40</v>
      </c>
      <c r="L563" s="12" t="n">
        <v>500</v>
      </c>
      <c r="M563" s="10" t="inlineStr">
        <is>
          <t>是</t>
        </is>
      </c>
      <c r="N563" s="10" t="inlineStr">
        <is>
          <t>是</t>
        </is>
      </c>
      <c r="O563" s="10" t="inlineStr">
        <is>
          <t>supplier0559@example.com</t>
        </is>
      </c>
      <c r="P563" s="10" t="inlineStr">
        <is>
          <t>https://example.com/supplier/0559</t>
        </is>
      </c>
      <c r="Q563" s="10">
        <f>IF(R563&gt;=85,"A",IF(R563&gt;=70,"B","C"))</f>
        <v/>
      </c>
      <c r="R563" s="13">
        <f>MIN(100,50+IF(M563="是",10,0)+IF(N563="是",10,0)+IF(L563&lt;=100,10,IF(L563&lt;=300,5,0))+IF(J563&lt;=20,10,IF(J563&lt;=50,5,0))+IF(K563-J563&lt;=20,5,0)+IF(F563="企业官网",5,0))</f>
        <v/>
      </c>
      <c r="S563" s="10">
        <f>IF(Q563="A","价格与起订量有优势，建议优先询盘",IF(Q563="B","条件较均衡，可作为备选","起订量或价格需要进一步确认"))</f>
        <v/>
      </c>
      <c r="T563" s="10" t="inlineStr">
        <is>
          <t>未联系</t>
        </is>
      </c>
      <c r="U563" s="10" t="inlineStr">
        <is>
          <t>虚构演示数据</t>
        </is>
      </c>
    </row>
    <row r="564" ht="21" customHeight="1">
      <c r="A564" s="10" t="inlineStr">
        <is>
          <t>GYS-0560</t>
        </is>
      </c>
      <c r="B564" s="10" t="inlineStr">
        <is>
          <t>宁波健康用品供应链0560有限公司（演示）</t>
        </is>
      </c>
      <c r="C564" s="10" t="inlineStr">
        <is>
          <t>健康用品</t>
        </is>
      </c>
      <c r="D564" s="10" t="inlineStr">
        <is>
          <t>热敷眼罩</t>
        </is>
      </c>
      <c r="E564" s="10" t="inlineStr">
        <is>
          <t>浙江宁波</t>
        </is>
      </c>
      <c r="F564" s="10" t="inlineStr">
        <is>
          <t>中国制造网</t>
        </is>
      </c>
      <c r="G564" s="10" t="inlineStr">
        <is>
          <t>陈经理</t>
        </is>
      </c>
      <c r="H564" s="10" t="inlineStr">
        <is>
          <t>000-0000-0560</t>
        </is>
      </c>
      <c r="I564" s="10" t="inlineStr">
        <is>
          <t>DEMO_GYS_0560</t>
        </is>
      </c>
      <c r="J564" s="11" t="n">
        <v>34.8</v>
      </c>
      <c r="K564" s="11" t="n">
        <v>42.8</v>
      </c>
      <c r="L564" s="12" t="n">
        <v>300</v>
      </c>
      <c r="M564" s="10" t="inlineStr">
        <is>
          <t>否</t>
        </is>
      </c>
      <c r="N564" s="10" t="inlineStr">
        <is>
          <t>是</t>
        </is>
      </c>
      <c r="O564" s="10" t="inlineStr">
        <is>
          <t>supplier0560@example.com</t>
        </is>
      </c>
      <c r="P564" s="10" t="inlineStr">
        <is>
          <t>https://example.com/supplier/0560</t>
        </is>
      </c>
      <c r="Q564" s="10">
        <f>IF(R564&gt;=85,"A",IF(R564&gt;=70,"B","C"))</f>
        <v/>
      </c>
      <c r="R564" s="13">
        <f>MIN(100,50+IF(M564="是",10,0)+IF(N564="是",10,0)+IF(L564&lt;=100,10,IF(L564&lt;=300,5,0))+IF(J564&lt;=20,10,IF(J564&lt;=50,5,0))+IF(K564-J564&lt;=20,5,0)+IF(F564="企业官网",5,0))</f>
        <v/>
      </c>
      <c r="S564" s="10">
        <f>IF(Q564="A","价格与起订量有优势，建议优先询盘",IF(Q564="B","条件较均衡，可作为备选","起订量或价格需要进一步确认"))</f>
        <v/>
      </c>
      <c r="T564" s="10" t="inlineStr">
        <is>
          <t>未联系</t>
        </is>
      </c>
      <c r="U564" s="10" t="inlineStr">
        <is>
          <t>虚构演示数据</t>
        </is>
      </c>
    </row>
    <row r="565" ht="21" customHeight="1">
      <c r="A565" s="10" t="inlineStr">
        <is>
          <t>GYS-0561</t>
        </is>
      </c>
      <c r="B565" s="10" t="inlineStr">
        <is>
          <t>深圳服饰内衣供应链0561有限公司（演示）</t>
        </is>
      </c>
      <c r="C565" s="10" t="inlineStr">
        <is>
          <t>服饰内衣</t>
        </is>
      </c>
      <c r="D565" s="10" t="inlineStr">
        <is>
          <t>防滑袜</t>
        </is>
      </c>
      <c r="E565" s="10" t="inlineStr">
        <is>
          <t>广东深圳</t>
        </is>
      </c>
      <c r="F565" s="10" t="inlineStr">
        <is>
          <t>企业官网</t>
        </is>
      </c>
      <c r="G565" s="10" t="inlineStr">
        <is>
          <t>林经理</t>
        </is>
      </c>
      <c r="H565" s="10" t="inlineStr">
        <is>
          <t>000-0000-0561</t>
        </is>
      </c>
      <c r="I565" s="10" t="inlineStr">
        <is>
          <t>DEMO_GYS_0561</t>
        </is>
      </c>
      <c r="J565" s="11" t="n">
        <v>36.5</v>
      </c>
      <c r="K565" s="11" t="n">
        <v>45.6</v>
      </c>
      <c r="L565" s="12" t="n">
        <v>200</v>
      </c>
      <c r="M565" s="10" t="inlineStr">
        <is>
          <t>是</t>
        </is>
      </c>
      <c r="N565" s="10" t="inlineStr">
        <is>
          <t>否</t>
        </is>
      </c>
      <c r="O565" s="10" t="inlineStr">
        <is>
          <t>supplier0561@example.com</t>
        </is>
      </c>
      <c r="P565" s="10" t="inlineStr">
        <is>
          <t>https://example.com/supplier/0561</t>
        </is>
      </c>
      <c r="Q565" s="10">
        <f>IF(R565&gt;=85,"A",IF(R565&gt;=70,"B","C"))</f>
        <v/>
      </c>
      <c r="R565" s="13">
        <f>MIN(100,50+IF(M565="是",10,0)+IF(N565="是",10,0)+IF(L565&lt;=100,10,IF(L565&lt;=300,5,0))+IF(J565&lt;=20,10,IF(J565&lt;=50,5,0))+IF(K565-J565&lt;=20,5,0)+IF(F565="企业官网",5,0))</f>
        <v/>
      </c>
      <c r="S565" s="10">
        <f>IF(Q565="A","价格与起订量有优势，建议优先询盘",IF(Q565="B","条件较均衡，可作为备选","起订量或价格需要进一步确认"))</f>
        <v/>
      </c>
      <c r="T565" s="10" t="inlineStr">
        <is>
          <t>未联系</t>
        </is>
      </c>
      <c r="U565" s="10" t="inlineStr">
        <is>
          <t>虚构演示数据</t>
        </is>
      </c>
    </row>
    <row r="566" ht="21" customHeight="1">
      <c r="A566" s="10" t="inlineStr">
        <is>
          <t>GYS-0562</t>
        </is>
      </c>
      <c r="B566" s="10" t="inlineStr">
        <is>
          <t>佛山家居日用供应链0562有限公司（演示）</t>
        </is>
      </c>
      <c r="C566" s="10" t="inlineStr">
        <is>
          <t>家居日用</t>
        </is>
      </c>
      <c r="D566" s="10" t="inlineStr">
        <is>
          <t>折叠收纳箱</t>
        </is>
      </c>
      <c r="E566" s="10" t="inlineStr">
        <is>
          <t>广东佛山</t>
        </is>
      </c>
      <c r="F566" s="10" t="inlineStr">
        <is>
          <t>义乌购</t>
        </is>
      </c>
      <c r="G566" s="10" t="inlineStr">
        <is>
          <t>王经理</t>
        </is>
      </c>
      <c r="H566" s="10" t="inlineStr">
        <is>
          <t>000-0000-0562</t>
        </is>
      </c>
      <c r="I566" s="10" t="inlineStr">
        <is>
          <t>DEMO_GYS_0562</t>
        </is>
      </c>
      <c r="J566" s="11" t="n">
        <v>38.2</v>
      </c>
      <c r="K566" s="11" t="n">
        <v>48.4</v>
      </c>
      <c r="L566" s="12" t="n">
        <v>100</v>
      </c>
      <c r="M566" s="10" t="inlineStr">
        <is>
          <t>是</t>
        </is>
      </c>
      <c r="N566" s="10" t="inlineStr">
        <is>
          <t>是</t>
        </is>
      </c>
      <c r="O566" s="10" t="inlineStr">
        <is>
          <t>supplier0562@example.com</t>
        </is>
      </c>
      <c r="P566" s="10" t="inlineStr">
        <is>
          <t>https://example.com/supplier/0562</t>
        </is>
      </c>
      <c r="Q566" s="10">
        <f>IF(R566&gt;=85,"A",IF(R566&gt;=70,"B","C"))</f>
        <v/>
      </c>
      <c r="R566" s="13">
        <f>MIN(100,50+IF(M566="是",10,0)+IF(N566="是",10,0)+IF(L566&lt;=100,10,IF(L566&lt;=300,5,0))+IF(J566&lt;=20,10,IF(J566&lt;=50,5,0))+IF(K566-J566&lt;=20,5,0)+IF(F566="企业官网",5,0))</f>
        <v/>
      </c>
      <c r="S566" s="10">
        <f>IF(Q566="A","价格与起订量有优势，建议优先询盘",IF(Q566="B","条件较均衡，可作为备选","起订量或价格需要进一步确认"))</f>
        <v/>
      </c>
      <c r="T566" s="10" t="inlineStr">
        <is>
          <t>未联系</t>
        </is>
      </c>
      <c r="U566" s="10" t="inlineStr">
        <is>
          <t>虚构演示数据</t>
        </is>
      </c>
    </row>
    <row r="567" ht="21" customHeight="1">
      <c r="A567" s="10" t="inlineStr">
        <is>
          <t>GYS-0563</t>
        </is>
      </c>
      <c r="B567" s="10" t="inlineStr">
        <is>
          <t>苏州个护清洁供应链0563有限公司（演示）</t>
        </is>
      </c>
      <c r="C567" s="10" t="inlineStr">
        <is>
          <t>个护清洁</t>
        </is>
      </c>
      <c r="D567" s="10" t="inlineStr">
        <is>
          <t>便携洗脸巾</t>
        </is>
      </c>
      <c r="E567" s="10" t="inlineStr">
        <is>
          <t>江苏苏州</t>
        </is>
      </c>
      <c r="F567" s="10" t="inlineStr">
        <is>
          <t>慧聪网</t>
        </is>
      </c>
      <c r="G567" s="10" t="inlineStr">
        <is>
          <t>李经理</t>
        </is>
      </c>
      <c r="H567" s="10" t="inlineStr">
        <is>
          <t>000-0000-0563</t>
        </is>
      </c>
      <c r="I567" s="10" t="inlineStr">
        <is>
          <t>DEMO_GYS_0563</t>
        </is>
      </c>
      <c r="J567" s="11" t="n">
        <v>39.9</v>
      </c>
      <c r="K567" s="11" t="n">
        <v>51.2</v>
      </c>
      <c r="L567" s="12" t="n">
        <v>50</v>
      </c>
      <c r="M567" s="10" t="inlineStr">
        <is>
          <t>是</t>
        </is>
      </c>
      <c r="N567" s="10" t="inlineStr">
        <is>
          <t>是</t>
        </is>
      </c>
      <c r="O567" s="10" t="inlineStr">
        <is>
          <t>supplier0563@example.com</t>
        </is>
      </c>
      <c r="P567" s="10" t="inlineStr">
        <is>
          <t>https://example.com/supplier/0563</t>
        </is>
      </c>
      <c r="Q567" s="10">
        <f>IF(R567&gt;=85,"A",IF(R567&gt;=70,"B","C"))</f>
        <v/>
      </c>
      <c r="R567" s="13">
        <f>MIN(100,50+IF(M567="是",10,0)+IF(N567="是",10,0)+IF(L567&lt;=100,10,IF(L567&lt;=300,5,0))+IF(J567&lt;=20,10,IF(J567&lt;=50,5,0))+IF(K567-J567&lt;=20,5,0)+IF(F567="企业官网",5,0))</f>
        <v/>
      </c>
      <c r="S567" s="10">
        <f>IF(Q567="A","价格与起订量有优势，建议优先询盘",IF(Q567="B","条件较均衡，可作为备选","起订量或价格需要进一步确认"))</f>
        <v/>
      </c>
      <c r="T567" s="10" t="inlineStr">
        <is>
          <t>未联系</t>
        </is>
      </c>
      <c r="U567" s="10" t="inlineStr">
        <is>
          <t>虚构演示数据</t>
        </is>
      </c>
    </row>
    <row r="568" ht="21" customHeight="1">
      <c r="A568" s="10" t="inlineStr">
        <is>
          <t>GYS-0564</t>
        </is>
      </c>
      <c r="B568" s="10" t="inlineStr">
        <is>
          <t>白沟厨房用品供应链0564有限公司（演示）</t>
        </is>
      </c>
      <c r="C568" s="10" t="inlineStr">
        <is>
          <t>厨房用品</t>
        </is>
      </c>
      <c r="D568" s="10" t="inlineStr">
        <is>
          <t>硅胶保鲜盒</t>
        </is>
      </c>
      <c r="E568" s="10" t="inlineStr">
        <is>
          <t>河北白沟</t>
        </is>
      </c>
      <c r="F568" s="10" t="inlineStr">
        <is>
          <t>1688</t>
        </is>
      </c>
      <c r="G568" s="10" t="inlineStr">
        <is>
          <t>张经理</t>
        </is>
      </c>
      <c r="H568" s="10" t="inlineStr">
        <is>
          <t>000-0000-0564</t>
        </is>
      </c>
      <c r="I568" s="10" t="inlineStr">
        <is>
          <t>DEMO_GYS_0564</t>
        </is>
      </c>
      <c r="J568" s="11" t="n">
        <v>41.6</v>
      </c>
      <c r="K568" s="11" t="n">
        <v>54</v>
      </c>
      <c r="L568" s="12" t="n">
        <v>20</v>
      </c>
      <c r="M568" s="10" t="inlineStr">
        <is>
          <t>否</t>
        </is>
      </c>
      <c r="N568" s="10" t="inlineStr">
        <is>
          <t>否</t>
        </is>
      </c>
      <c r="O568" s="10" t="inlineStr">
        <is>
          <t>supplier0564@example.com</t>
        </is>
      </c>
      <c r="P568" s="10" t="inlineStr">
        <is>
          <t>https://example.com/supplier/0564</t>
        </is>
      </c>
      <c r="Q568" s="10">
        <f>IF(R568&gt;=85,"A",IF(R568&gt;=70,"B","C"))</f>
        <v/>
      </c>
      <c r="R568" s="13">
        <f>MIN(100,50+IF(M568="是",10,0)+IF(N568="是",10,0)+IF(L568&lt;=100,10,IF(L568&lt;=300,5,0))+IF(J568&lt;=20,10,IF(J568&lt;=50,5,0))+IF(K568-J568&lt;=20,5,0)+IF(F568="企业官网",5,0))</f>
        <v/>
      </c>
      <c r="S568" s="10">
        <f>IF(Q568="A","价格与起订量有优势，建议优先询盘",IF(Q568="B","条件较均衡，可作为备选","起订量或价格需要进一步确认"))</f>
        <v/>
      </c>
      <c r="T568" s="10" t="inlineStr">
        <is>
          <t>未联系</t>
        </is>
      </c>
      <c r="U568" s="10" t="inlineStr">
        <is>
          <t>虚构演示数据</t>
        </is>
      </c>
    </row>
    <row r="569" ht="21" customHeight="1">
      <c r="A569" s="10" t="inlineStr">
        <is>
          <t>GYS-0565</t>
        </is>
      </c>
      <c r="B569" s="10" t="inlineStr">
        <is>
          <t>义乌数码配件供应链0565有限公司（演示）</t>
        </is>
      </c>
      <c r="C569" s="10" t="inlineStr">
        <is>
          <t>数码配件</t>
        </is>
      </c>
      <c r="D569" s="10" t="inlineStr">
        <is>
          <t>磁吸手机支架</t>
        </is>
      </c>
      <c r="E569" s="10" t="inlineStr">
        <is>
          <t>浙江义乌</t>
        </is>
      </c>
      <c r="F569" s="10" t="inlineStr">
        <is>
          <t>中国制造网</t>
        </is>
      </c>
      <c r="G569" s="10" t="inlineStr">
        <is>
          <t>刘经理</t>
        </is>
      </c>
      <c r="H569" s="10" t="inlineStr">
        <is>
          <t>000-0000-0565</t>
        </is>
      </c>
      <c r="I569" s="10" t="inlineStr">
        <is>
          <t>DEMO_GYS_0565</t>
        </is>
      </c>
      <c r="J569" s="11" t="n">
        <v>43.3</v>
      </c>
      <c r="K569" s="11" t="n">
        <v>56.8</v>
      </c>
      <c r="L569" s="12" t="n">
        <v>500</v>
      </c>
      <c r="M569" s="10" t="inlineStr">
        <is>
          <t>是</t>
        </is>
      </c>
      <c r="N569" s="10" t="inlineStr">
        <is>
          <t>是</t>
        </is>
      </c>
      <c r="O569" s="10" t="inlineStr">
        <is>
          <t>supplier0565@example.com</t>
        </is>
      </c>
      <c r="P569" s="10" t="inlineStr">
        <is>
          <t>https://example.com/supplier/0565</t>
        </is>
      </c>
      <c r="Q569" s="10">
        <f>IF(R569&gt;=85,"A",IF(R569&gt;=70,"B","C"))</f>
        <v/>
      </c>
      <c r="R569" s="13">
        <f>MIN(100,50+IF(M569="是",10,0)+IF(N569="是",10,0)+IF(L569&lt;=100,10,IF(L569&lt;=300,5,0))+IF(J569&lt;=20,10,IF(J569&lt;=50,5,0))+IF(K569-J569&lt;=20,5,0)+IF(F569="企业官网",5,0))</f>
        <v/>
      </c>
      <c r="S569" s="10">
        <f>IF(Q569="A","价格与起订量有优势，建议优先询盘",IF(Q569="B","条件较均衡，可作为备选","起订量或价格需要进一步确认"))</f>
        <v/>
      </c>
      <c r="T569" s="10" t="inlineStr">
        <is>
          <t>未联系</t>
        </is>
      </c>
      <c r="U569" s="10" t="inlineStr">
        <is>
          <t>虚构演示数据</t>
        </is>
      </c>
    </row>
    <row r="570" ht="21" customHeight="1">
      <c r="A570" s="10" t="inlineStr">
        <is>
          <t>GYS-0566</t>
        </is>
      </c>
      <c r="B570" s="10" t="inlineStr">
        <is>
          <t>台州宠物用品供应链0566有限公司（演示）</t>
        </is>
      </c>
      <c r="C570" s="10" t="inlineStr">
        <is>
          <t>宠物用品</t>
        </is>
      </c>
      <c r="D570" s="10" t="inlineStr">
        <is>
          <t>宠物清洁手套</t>
        </is>
      </c>
      <c r="E570" s="10" t="inlineStr">
        <is>
          <t>浙江台州</t>
        </is>
      </c>
      <c r="F570" s="10" t="inlineStr">
        <is>
          <t>企业官网</t>
        </is>
      </c>
      <c r="G570" s="10" t="inlineStr">
        <is>
          <t>黄经理</t>
        </is>
      </c>
      <c r="H570" s="10" t="inlineStr">
        <is>
          <t>000-0000-0566</t>
        </is>
      </c>
      <c r="I570" s="10" t="inlineStr">
        <is>
          <t>DEMO_GYS_0566</t>
        </is>
      </c>
      <c r="J570" s="11" t="n">
        <v>45</v>
      </c>
      <c r="K570" s="11" t="n">
        <v>59.6</v>
      </c>
      <c r="L570" s="12" t="n">
        <v>300</v>
      </c>
      <c r="M570" s="10" t="inlineStr">
        <is>
          <t>是</t>
        </is>
      </c>
      <c r="N570" s="10" t="inlineStr">
        <is>
          <t>是</t>
        </is>
      </c>
      <c r="O570" s="10" t="inlineStr">
        <is>
          <t>supplier0566@example.com</t>
        </is>
      </c>
      <c r="P570" s="10" t="inlineStr">
        <is>
          <t>https://example.com/supplier/0566</t>
        </is>
      </c>
      <c r="Q570" s="10">
        <f>IF(R570&gt;=85,"A",IF(R570&gt;=70,"B","C"))</f>
        <v/>
      </c>
      <c r="R570" s="13">
        <f>MIN(100,50+IF(M570="是",10,0)+IF(N570="是",10,0)+IF(L570&lt;=100,10,IF(L570&lt;=300,5,0))+IF(J570&lt;=20,10,IF(J570&lt;=50,5,0))+IF(K570-J570&lt;=20,5,0)+IF(F570="企业官网",5,0))</f>
        <v/>
      </c>
      <c r="S570" s="10">
        <f>IF(Q570="A","价格与起订量有优势，建议优先询盘",IF(Q570="B","条件较均衡，可作为备选","起订量或价格需要进一步确认"))</f>
        <v/>
      </c>
      <c r="T570" s="10" t="inlineStr">
        <is>
          <t>未联系</t>
        </is>
      </c>
      <c r="U570" s="10" t="inlineStr">
        <is>
          <t>虚构演示数据</t>
        </is>
      </c>
    </row>
    <row r="571" ht="21" customHeight="1">
      <c r="A571" s="10" t="inlineStr">
        <is>
          <t>GYS-0567</t>
        </is>
      </c>
      <c r="B571" s="10" t="inlineStr">
        <is>
          <t>东莞母婴用品供应链0567有限公司（演示）</t>
        </is>
      </c>
      <c r="C571" s="10" t="inlineStr">
        <is>
          <t>母婴用品</t>
        </is>
      </c>
      <c r="D571" s="10" t="inlineStr">
        <is>
          <t>婴儿防撞条</t>
        </is>
      </c>
      <c r="E571" s="10" t="inlineStr">
        <is>
          <t>广东东莞</t>
        </is>
      </c>
      <c r="F571" s="10" t="inlineStr">
        <is>
          <t>义乌购</t>
        </is>
      </c>
      <c r="G571" s="10" t="inlineStr">
        <is>
          <t>赵经理</t>
        </is>
      </c>
      <c r="H571" s="10" t="inlineStr">
        <is>
          <t>000-0000-0567</t>
        </is>
      </c>
      <c r="I571" s="10" t="inlineStr">
        <is>
          <t>DEMO_GYS_0567</t>
        </is>
      </c>
      <c r="J571" s="11" t="n">
        <v>46.7</v>
      </c>
      <c r="K571" s="11" t="n">
        <v>62.4</v>
      </c>
      <c r="L571" s="12" t="n">
        <v>200</v>
      </c>
      <c r="M571" s="10" t="inlineStr">
        <is>
          <t>是</t>
        </is>
      </c>
      <c r="N571" s="10" t="inlineStr">
        <is>
          <t>否</t>
        </is>
      </c>
      <c r="O571" s="10" t="inlineStr">
        <is>
          <t>supplier0567@example.com</t>
        </is>
      </c>
      <c r="P571" s="10" t="inlineStr">
        <is>
          <t>https://example.com/supplier/0567</t>
        </is>
      </c>
      <c r="Q571" s="10">
        <f>IF(R571&gt;=85,"A",IF(R571&gt;=70,"B","C"))</f>
        <v/>
      </c>
      <c r="R571" s="13">
        <f>MIN(100,50+IF(M571="是",10,0)+IF(N571="是",10,0)+IF(L571&lt;=100,10,IF(L571&lt;=300,5,0))+IF(J571&lt;=20,10,IF(J571&lt;=50,5,0))+IF(K571-J571&lt;=20,5,0)+IF(F571="企业官网",5,0))</f>
        <v/>
      </c>
      <c r="S571" s="10">
        <f>IF(Q571="A","价格与起订量有优势，建议优先询盘",IF(Q571="B","条件较均衡，可作为备选","起订量或价格需要进一步确认"))</f>
        <v/>
      </c>
      <c r="T571" s="10" t="inlineStr">
        <is>
          <t>未联系</t>
        </is>
      </c>
      <c r="U571" s="10" t="inlineStr">
        <is>
          <t>虚构演示数据</t>
        </is>
      </c>
    </row>
    <row r="572" ht="21" customHeight="1">
      <c r="A572" s="10" t="inlineStr">
        <is>
          <t>GYS-0568</t>
        </is>
      </c>
      <c r="B572" s="10" t="inlineStr">
        <is>
          <t>厦门运动户外供应链0568有限公司（演示）</t>
        </is>
      </c>
      <c r="C572" s="10" t="inlineStr">
        <is>
          <t>运动户外</t>
        </is>
      </c>
      <c r="D572" s="10" t="inlineStr">
        <is>
          <t>弹力训练带</t>
        </is>
      </c>
      <c r="E572" s="10" t="inlineStr">
        <is>
          <t>福建厦门</t>
        </is>
      </c>
      <c r="F572" s="10" t="inlineStr">
        <is>
          <t>慧聪网</t>
        </is>
      </c>
      <c r="G572" s="10" t="inlineStr">
        <is>
          <t>周经理</t>
        </is>
      </c>
      <c r="H572" s="10" t="inlineStr">
        <is>
          <t>000-0000-0568</t>
        </is>
      </c>
      <c r="I572" s="10" t="inlineStr">
        <is>
          <t>DEMO_GYS_0568</t>
        </is>
      </c>
      <c r="J572" s="11" t="n">
        <v>48.4</v>
      </c>
      <c r="K572" s="11" t="n">
        <v>65.2</v>
      </c>
      <c r="L572" s="12" t="n">
        <v>100</v>
      </c>
      <c r="M572" s="10" t="inlineStr">
        <is>
          <t>否</t>
        </is>
      </c>
      <c r="N572" s="10" t="inlineStr">
        <is>
          <t>是</t>
        </is>
      </c>
      <c r="O572" s="10" t="inlineStr">
        <is>
          <t>supplier0568@example.com</t>
        </is>
      </c>
      <c r="P572" s="10" t="inlineStr">
        <is>
          <t>https://example.com/supplier/0568</t>
        </is>
      </c>
      <c r="Q572" s="10">
        <f>IF(R572&gt;=85,"A",IF(R572&gt;=70,"B","C"))</f>
        <v/>
      </c>
      <c r="R572" s="13">
        <f>MIN(100,50+IF(M572="是",10,0)+IF(N572="是",10,0)+IF(L572&lt;=100,10,IF(L572&lt;=300,5,0))+IF(J572&lt;=20,10,IF(J572&lt;=50,5,0))+IF(K572-J572&lt;=20,5,0)+IF(F572="企业官网",5,0))</f>
        <v/>
      </c>
      <c r="S572" s="10">
        <f>IF(Q572="A","价格与起订量有优势，建议优先询盘",IF(Q572="B","条件较均衡，可作为备选","起订量或价格需要进一步确认"))</f>
        <v/>
      </c>
      <c r="T572" s="10" t="inlineStr">
        <is>
          <t>未联系</t>
        </is>
      </c>
      <c r="U572" s="10" t="inlineStr">
        <is>
          <t>虚构演示数据</t>
        </is>
      </c>
    </row>
    <row r="573" ht="21" customHeight="1">
      <c r="A573" s="10" t="inlineStr">
        <is>
          <t>GYS-0569</t>
        </is>
      </c>
      <c r="B573" s="10" t="inlineStr">
        <is>
          <t>临沂办公文具供应链0569有限公司（演示）</t>
        </is>
      </c>
      <c r="C573" s="10" t="inlineStr">
        <is>
          <t>办公文具</t>
        </is>
      </c>
      <c r="D573" s="10" t="inlineStr">
        <is>
          <t>桌面收纳架</t>
        </is>
      </c>
      <c r="E573" s="10" t="inlineStr">
        <is>
          <t>山东临沂</t>
        </is>
      </c>
      <c r="F573" s="10" t="inlineStr">
        <is>
          <t>1688</t>
        </is>
      </c>
      <c r="G573" s="10" t="inlineStr">
        <is>
          <t>吴经理</t>
        </is>
      </c>
      <c r="H573" s="10" t="inlineStr">
        <is>
          <t>000-0000-0569</t>
        </is>
      </c>
      <c r="I573" s="10" t="inlineStr">
        <is>
          <t>DEMO_GYS_0569</t>
        </is>
      </c>
      <c r="J573" s="11" t="n">
        <v>4.1</v>
      </c>
      <c r="K573" s="11" t="n">
        <v>22</v>
      </c>
      <c r="L573" s="12" t="n">
        <v>50</v>
      </c>
      <c r="M573" s="10" t="inlineStr">
        <is>
          <t>是</t>
        </is>
      </c>
      <c r="N573" s="10" t="inlineStr">
        <is>
          <t>是</t>
        </is>
      </c>
      <c r="O573" s="10" t="inlineStr">
        <is>
          <t>supplier0569@example.com</t>
        </is>
      </c>
      <c r="P573" s="10" t="inlineStr">
        <is>
          <t>https://example.com/supplier/0569</t>
        </is>
      </c>
      <c r="Q573" s="10">
        <f>IF(R573&gt;=85,"A",IF(R573&gt;=70,"B","C"))</f>
        <v/>
      </c>
      <c r="R573" s="13">
        <f>MIN(100,50+IF(M573="是",10,0)+IF(N573="是",10,0)+IF(L573&lt;=100,10,IF(L573&lt;=300,5,0))+IF(J573&lt;=20,10,IF(J573&lt;=50,5,0))+IF(K573-J573&lt;=20,5,0)+IF(F573="企业官网",5,0))</f>
        <v/>
      </c>
      <c r="S573" s="10">
        <f>IF(Q573="A","价格与起订量有优势，建议优先询盘",IF(Q573="B","条件较均衡，可作为备选","起订量或价格需要进一步确认"))</f>
        <v/>
      </c>
      <c r="T573" s="10" t="inlineStr">
        <is>
          <t>未联系</t>
        </is>
      </c>
      <c r="U573" s="10" t="inlineStr">
        <is>
          <t>虚构演示数据</t>
        </is>
      </c>
    </row>
    <row r="574" ht="21" customHeight="1">
      <c r="A574" s="10" t="inlineStr">
        <is>
          <t>GYS-0570</t>
        </is>
      </c>
      <c r="B574" s="10" t="inlineStr">
        <is>
          <t>南昌汽车用品供应链0570有限公司（演示）</t>
        </is>
      </c>
      <c r="C574" s="10" t="inlineStr">
        <is>
          <t>汽车用品</t>
        </is>
      </c>
      <c r="D574" s="10" t="inlineStr">
        <is>
          <t>车载香薰</t>
        </is>
      </c>
      <c r="E574" s="10" t="inlineStr">
        <is>
          <t>江西南昌</t>
        </is>
      </c>
      <c r="F574" s="10" t="inlineStr">
        <is>
          <t>中国制造网</t>
        </is>
      </c>
      <c r="G574" s="10" t="inlineStr">
        <is>
          <t>陈经理</t>
        </is>
      </c>
      <c r="H574" s="10" t="inlineStr">
        <is>
          <t>000-0000-0570</t>
        </is>
      </c>
      <c r="I574" s="10" t="inlineStr">
        <is>
          <t>DEMO_GYS_0570</t>
        </is>
      </c>
      <c r="J574" s="11" t="n">
        <v>5.8</v>
      </c>
      <c r="K574" s="11" t="n">
        <v>24.8</v>
      </c>
      <c r="L574" s="12" t="n">
        <v>20</v>
      </c>
      <c r="M574" s="10" t="inlineStr">
        <is>
          <t>是</t>
        </is>
      </c>
      <c r="N574" s="10" t="inlineStr">
        <is>
          <t>否</t>
        </is>
      </c>
      <c r="O574" s="10" t="inlineStr">
        <is>
          <t>supplier0570@example.com</t>
        </is>
      </c>
      <c r="P574" s="10" t="inlineStr">
        <is>
          <t>https://example.com/supplier/0570</t>
        </is>
      </c>
      <c r="Q574" s="10">
        <f>IF(R574&gt;=85,"A",IF(R574&gt;=70,"B","C"))</f>
        <v/>
      </c>
      <c r="R574" s="13">
        <f>MIN(100,50+IF(M574="是",10,0)+IF(N574="是",10,0)+IF(L574&lt;=100,10,IF(L574&lt;=300,5,0))+IF(J574&lt;=20,10,IF(J574&lt;=50,5,0))+IF(K574-J574&lt;=20,5,0)+IF(F574="企业官网",5,0))</f>
        <v/>
      </c>
      <c r="S574" s="10">
        <f>IF(Q574="A","价格与起订量有优势，建议优先询盘",IF(Q574="B","条件较均衡，可作为备选","起订量或价格需要进一步确认"))</f>
        <v/>
      </c>
      <c r="T574" s="10" t="inlineStr">
        <is>
          <t>未联系</t>
        </is>
      </c>
      <c r="U574" s="10" t="inlineStr">
        <is>
          <t>虚构演示数据</t>
        </is>
      </c>
    </row>
    <row r="575" ht="21" customHeight="1">
      <c r="A575" s="10" t="inlineStr">
        <is>
          <t>GYS-0571</t>
        </is>
      </c>
      <c r="B575" s="10" t="inlineStr">
        <is>
          <t>温州美容工具供应链0571有限公司（演示）</t>
        </is>
      </c>
      <c r="C575" s="10" t="inlineStr">
        <is>
          <t>美容工具</t>
        </is>
      </c>
      <c r="D575" s="10" t="inlineStr">
        <is>
          <t>便携化妆镜</t>
        </is>
      </c>
      <c r="E575" s="10" t="inlineStr">
        <is>
          <t>浙江温州</t>
        </is>
      </c>
      <c r="F575" s="10" t="inlineStr">
        <is>
          <t>企业官网</t>
        </is>
      </c>
      <c r="G575" s="10" t="inlineStr">
        <is>
          <t>林经理</t>
        </is>
      </c>
      <c r="H575" s="10" t="inlineStr">
        <is>
          <t>000-0000-0571</t>
        </is>
      </c>
      <c r="I575" s="10" t="inlineStr">
        <is>
          <t>DEMO_GYS_0571</t>
        </is>
      </c>
      <c r="J575" s="11" t="n">
        <v>7.5</v>
      </c>
      <c r="K575" s="11" t="n">
        <v>27.6</v>
      </c>
      <c r="L575" s="12" t="n">
        <v>500</v>
      </c>
      <c r="M575" s="10" t="inlineStr">
        <is>
          <t>是</t>
        </is>
      </c>
      <c r="N575" s="10" t="inlineStr">
        <is>
          <t>是</t>
        </is>
      </c>
      <c r="O575" s="10" t="inlineStr">
        <is>
          <t>supplier0571@example.com</t>
        </is>
      </c>
      <c r="P575" s="10" t="inlineStr">
        <is>
          <t>https://example.com/supplier/0571</t>
        </is>
      </c>
      <c r="Q575" s="10">
        <f>IF(R575&gt;=85,"A",IF(R575&gt;=70,"B","C"))</f>
        <v/>
      </c>
      <c r="R575" s="13">
        <f>MIN(100,50+IF(M575="是",10,0)+IF(N575="是",10,0)+IF(L575&lt;=100,10,IF(L575&lt;=300,5,0))+IF(J575&lt;=20,10,IF(J575&lt;=50,5,0))+IF(K575-J575&lt;=20,5,0)+IF(F575="企业官网",5,0))</f>
        <v/>
      </c>
      <c r="S575" s="10">
        <f>IF(Q575="A","价格与起订量有优势，建议优先询盘",IF(Q575="B","条件较均衡，可作为备选","起订量或价格需要进一步确认"))</f>
        <v/>
      </c>
      <c r="T575" s="10" t="inlineStr">
        <is>
          <t>未联系</t>
        </is>
      </c>
      <c r="U575" s="10" t="inlineStr">
        <is>
          <t>虚构演示数据</t>
        </is>
      </c>
    </row>
    <row r="576" ht="21" customHeight="1">
      <c r="A576" s="10" t="inlineStr">
        <is>
          <t>GYS-0572</t>
        </is>
      </c>
      <c r="B576" s="10" t="inlineStr">
        <is>
          <t>广州旅行用品供应链0572有限公司（演示）</t>
        </is>
      </c>
      <c r="C576" s="10" t="inlineStr">
        <is>
          <t>旅行用品</t>
        </is>
      </c>
      <c r="D576" s="10" t="inlineStr">
        <is>
          <t>压缩收纳袋</t>
        </is>
      </c>
      <c r="E576" s="10" t="inlineStr">
        <is>
          <t>广东广州</t>
        </is>
      </c>
      <c r="F576" s="10" t="inlineStr">
        <is>
          <t>义乌购</t>
        </is>
      </c>
      <c r="G576" s="10" t="inlineStr">
        <is>
          <t>王经理</t>
        </is>
      </c>
      <c r="H576" s="10" t="inlineStr">
        <is>
          <t>000-0000-0572</t>
        </is>
      </c>
      <c r="I576" s="10" t="inlineStr">
        <is>
          <t>DEMO_GYS_0572</t>
        </is>
      </c>
      <c r="J576" s="11" t="n">
        <v>9.199999999999999</v>
      </c>
      <c r="K576" s="11" t="n">
        <v>30.4</v>
      </c>
      <c r="L576" s="12" t="n">
        <v>300</v>
      </c>
      <c r="M576" s="10" t="inlineStr">
        <is>
          <t>否</t>
        </is>
      </c>
      <c r="N576" s="10" t="inlineStr">
        <is>
          <t>是</t>
        </is>
      </c>
      <c r="O576" s="10" t="inlineStr">
        <is>
          <t>supplier0572@example.com</t>
        </is>
      </c>
      <c r="P576" s="10" t="inlineStr">
        <is>
          <t>https://example.com/supplier/0572</t>
        </is>
      </c>
      <c r="Q576" s="10">
        <f>IF(R576&gt;=85,"A",IF(R576&gt;=70,"B","C"))</f>
        <v/>
      </c>
      <c r="R576" s="13">
        <f>MIN(100,50+IF(M576="是",10,0)+IF(N576="是",10,0)+IF(L576&lt;=100,10,IF(L576&lt;=300,5,0))+IF(J576&lt;=20,10,IF(J576&lt;=50,5,0))+IF(K576-J576&lt;=20,5,0)+IF(F576="企业官网",5,0))</f>
        <v/>
      </c>
      <c r="S576" s="10">
        <f>IF(Q576="A","价格与起订量有优势，建议优先询盘",IF(Q576="B","条件较均衡，可作为备选","起订量或价格需要进一步确认"))</f>
        <v/>
      </c>
      <c r="T576" s="10" t="inlineStr">
        <is>
          <t>未联系</t>
        </is>
      </c>
      <c r="U576" s="10" t="inlineStr">
        <is>
          <t>虚构演示数据</t>
        </is>
      </c>
    </row>
    <row r="577" ht="21" customHeight="1">
      <c r="A577" s="10" t="inlineStr">
        <is>
          <t>GYS-0573</t>
        </is>
      </c>
      <c r="B577" s="10" t="inlineStr">
        <is>
          <t>泉州清洁工具供应链0573有限公司（演示）</t>
        </is>
      </c>
      <c r="C577" s="10" t="inlineStr">
        <is>
          <t>清洁工具</t>
        </is>
      </c>
      <c r="D577" s="10" t="inlineStr">
        <is>
          <t>免手洗拖把</t>
        </is>
      </c>
      <c r="E577" s="10" t="inlineStr">
        <is>
          <t>福建泉州</t>
        </is>
      </c>
      <c r="F577" s="10" t="inlineStr">
        <is>
          <t>慧聪网</t>
        </is>
      </c>
      <c r="G577" s="10" t="inlineStr">
        <is>
          <t>李经理</t>
        </is>
      </c>
      <c r="H577" s="10" t="inlineStr">
        <is>
          <t>000-0000-0573</t>
        </is>
      </c>
      <c r="I577" s="10" t="inlineStr">
        <is>
          <t>DEMO_GYS_0573</t>
        </is>
      </c>
      <c r="J577" s="11" t="n">
        <v>10.9</v>
      </c>
      <c r="K577" s="11" t="n">
        <v>15.2</v>
      </c>
      <c r="L577" s="12" t="n">
        <v>200</v>
      </c>
      <c r="M577" s="10" t="inlineStr">
        <is>
          <t>是</t>
        </is>
      </c>
      <c r="N577" s="10" t="inlineStr">
        <is>
          <t>否</t>
        </is>
      </c>
      <c r="O577" s="10" t="inlineStr">
        <is>
          <t>supplier0573@example.com</t>
        </is>
      </c>
      <c r="P577" s="10" t="inlineStr">
        <is>
          <t>https://example.com/supplier/0573</t>
        </is>
      </c>
      <c r="Q577" s="10">
        <f>IF(R577&gt;=85,"A",IF(R577&gt;=70,"B","C"))</f>
        <v/>
      </c>
      <c r="R577" s="13">
        <f>MIN(100,50+IF(M577="是",10,0)+IF(N577="是",10,0)+IF(L577&lt;=100,10,IF(L577&lt;=300,5,0))+IF(J577&lt;=20,10,IF(J577&lt;=50,5,0))+IF(K577-J577&lt;=20,5,0)+IF(F577="企业官网",5,0))</f>
        <v/>
      </c>
      <c r="S577" s="10">
        <f>IF(Q577="A","价格与起订量有优势，建议优先询盘",IF(Q577="B","条件较均衡，可作为备选","起订量或价格需要进一步确认"))</f>
        <v/>
      </c>
      <c r="T577" s="10" t="inlineStr">
        <is>
          <t>未联系</t>
        </is>
      </c>
      <c r="U577" s="10" t="inlineStr">
        <is>
          <t>虚构演示数据</t>
        </is>
      </c>
    </row>
    <row r="578" ht="21" customHeight="1">
      <c r="A578" s="10" t="inlineStr">
        <is>
          <t>GYS-0574</t>
        </is>
      </c>
      <c r="B578" s="10" t="inlineStr">
        <is>
          <t>南通小家电供应链0574有限公司（演示）</t>
        </is>
      </c>
      <c r="C578" s="10" t="inlineStr">
        <is>
          <t>小家电</t>
        </is>
      </c>
      <c r="D578" s="10" t="inlineStr">
        <is>
          <t>迷你加湿器</t>
        </is>
      </c>
      <c r="E578" s="10" t="inlineStr">
        <is>
          <t>江苏南通</t>
        </is>
      </c>
      <c r="F578" s="10" t="inlineStr">
        <is>
          <t>1688</t>
        </is>
      </c>
      <c r="G578" s="10" t="inlineStr">
        <is>
          <t>张经理</t>
        </is>
      </c>
      <c r="H578" s="10" t="inlineStr">
        <is>
          <t>000-0000-0574</t>
        </is>
      </c>
      <c r="I578" s="10" t="inlineStr">
        <is>
          <t>DEMO_GYS_0574</t>
        </is>
      </c>
      <c r="J578" s="11" t="n">
        <v>12.6</v>
      </c>
      <c r="K578" s="11" t="n">
        <v>18</v>
      </c>
      <c r="L578" s="12" t="n">
        <v>100</v>
      </c>
      <c r="M578" s="10" t="inlineStr">
        <is>
          <t>是</t>
        </is>
      </c>
      <c r="N578" s="10" t="inlineStr">
        <is>
          <t>是</t>
        </is>
      </c>
      <c r="O578" s="10" t="inlineStr">
        <is>
          <t>supplier0574@example.com</t>
        </is>
      </c>
      <c r="P578" s="10" t="inlineStr">
        <is>
          <t>https://example.com/supplier/0574</t>
        </is>
      </c>
      <c r="Q578" s="10">
        <f>IF(R578&gt;=85,"A",IF(R578&gt;=70,"B","C"))</f>
        <v/>
      </c>
      <c r="R578" s="13">
        <f>MIN(100,50+IF(M578="是",10,0)+IF(N578="是",10,0)+IF(L578&lt;=100,10,IF(L578&lt;=300,5,0))+IF(J578&lt;=20,10,IF(J578&lt;=50,5,0))+IF(K578-J578&lt;=20,5,0)+IF(F578="企业官网",5,0))</f>
        <v/>
      </c>
      <c r="S578" s="10">
        <f>IF(Q578="A","价格与起订量有优势，建议优先询盘",IF(Q578="B","条件较均衡，可作为备选","起订量或价格需要进一步确认"))</f>
        <v/>
      </c>
      <c r="T578" s="10" t="inlineStr">
        <is>
          <t>未联系</t>
        </is>
      </c>
      <c r="U578" s="10" t="inlineStr">
        <is>
          <t>虚构演示数据</t>
        </is>
      </c>
    </row>
    <row r="579" ht="21" customHeight="1">
      <c r="A579" s="10" t="inlineStr">
        <is>
          <t>GYS-0575</t>
        </is>
      </c>
      <c r="B579" s="10" t="inlineStr">
        <is>
          <t>郑州礼品包装供应链0575有限公司（演示）</t>
        </is>
      </c>
      <c r="C579" s="10" t="inlineStr">
        <is>
          <t>礼品包装</t>
        </is>
      </c>
      <c r="D579" s="10" t="inlineStr">
        <is>
          <t>节日礼盒</t>
        </is>
      </c>
      <c r="E579" s="10" t="inlineStr">
        <is>
          <t>河南郑州</t>
        </is>
      </c>
      <c r="F579" s="10" t="inlineStr">
        <is>
          <t>中国制造网</t>
        </is>
      </c>
      <c r="G579" s="10" t="inlineStr">
        <is>
          <t>刘经理</t>
        </is>
      </c>
      <c r="H579" s="10" t="inlineStr">
        <is>
          <t>000-0000-0575</t>
        </is>
      </c>
      <c r="I579" s="10" t="inlineStr">
        <is>
          <t>DEMO_GYS_0575</t>
        </is>
      </c>
      <c r="J579" s="11" t="n">
        <v>14.3</v>
      </c>
      <c r="K579" s="11" t="n">
        <v>20.8</v>
      </c>
      <c r="L579" s="12" t="n">
        <v>50</v>
      </c>
      <c r="M579" s="10" t="inlineStr">
        <is>
          <t>是</t>
        </is>
      </c>
      <c r="N579" s="10" t="inlineStr">
        <is>
          <t>是</t>
        </is>
      </c>
      <c r="O579" s="10" t="inlineStr">
        <is>
          <t>supplier0575@example.com</t>
        </is>
      </c>
      <c r="P579" s="10" t="inlineStr">
        <is>
          <t>https://example.com/supplier/0575</t>
        </is>
      </c>
      <c r="Q579" s="10">
        <f>IF(R579&gt;=85,"A",IF(R579&gt;=70,"B","C"))</f>
        <v/>
      </c>
      <c r="R579" s="13">
        <f>MIN(100,50+IF(M579="是",10,0)+IF(N579="是",10,0)+IF(L579&lt;=100,10,IF(L579&lt;=300,5,0))+IF(J579&lt;=20,10,IF(J579&lt;=50,5,0))+IF(K579-J579&lt;=20,5,0)+IF(F579="企业官网",5,0))</f>
        <v/>
      </c>
      <c r="S579" s="10">
        <f>IF(Q579="A","价格与起订量有优势，建议优先询盘",IF(Q579="B","条件较均衡，可作为备选","起订量或价格需要进一步确认"))</f>
        <v/>
      </c>
      <c r="T579" s="10" t="inlineStr">
        <is>
          <t>未联系</t>
        </is>
      </c>
      <c r="U579" s="10" t="inlineStr">
        <is>
          <t>虚构演示数据</t>
        </is>
      </c>
    </row>
    <row r="580" ht="21" customHeight="1">
      <c r="A580" s="10" t="inlineStr">
        <is>
          <t>GYS-0576</t>
        </is>
      </c>
      <c r="B580" s="10" t="inlineStr">
        <is>
          <t>宁波五金工具供应链0576有限公司（演示）</t>
        </is>
      </c>
      <c r="C580" s="10" t="inlineStr">
        <is>
          <t>五金工具</t>
        </is>
      </c>
      <c r="D580" s="10" t="inlineStr">
        <is>
          <t>多功能螺丝刀</t>
        </is>
      </c>
      <c r="E580" s="10" t="inlineStr">
        <is>
          <t>浙江宁波</t>
        </is>
      </c>
      <c r="F580" s="10" t="inlineStr">
        <is>
          <t>企业官网</t>
        </is>
      </c>
      <c r="G580" s="10" t="inlineStr">
        <is>
          <t>黄经理</t>
        </is>
      </c>
      <c r="H580" s="10" t="inlineStr">
        <is>
          <t>000-0000-0576</t>
        </is>
      </c>
      <c r="I580" s="10" t="inlineStr">
        <is>
          <t>DEMO_GYS_0576</t>
        </is>
      </c>
      <c r="J580" s="11" t="n">
        <v>16</v>
      </c>
      <c r="K580" s="11" t="n">
        <v>23.6</v>
      </c>
      <c r="L580" s="12" t="n">
        <v>20</v>
      </c>
      <c r="M580" s="10" t="inlineStr">
        <is>
          <t>否</t>
        </is>
      </c>
      <c r="N580" s="10" t="inlineStr">
        <is>
          <t>否</t>
        </is>
      </c>
      <c r="O580" s="10" t="inlineStr">
        <is>
          <t>supplier0576@example.com</t>
        </is>
      </c>
      <c r="P580" s="10" t="inlineStr">
        <is>
          <t>https://example.com/supplier/0576</t>
        </is>
      </c>
      <c r="Q580" s="10">
        <f>IF(R580&gt;=85,"A",IF(R580&gt;=70,"B","C"))</f>
        <v/>
      </c>
      <c r="R580" s="13">
        <f>MIN(100,50+IF(M580="是",10,0)+IF(N580="是",10,0)+IF(L580&lt;=100,10,IF(L580&lt;=300,5,0))+IF(J580&lt;=20,10,IF(J580&lt;=50,5,0))+IF(K580-J580&lt;=20,5,0)+IF(F580="企业官网",5,0))</f>
        <v/>
      </c>
      <c r="S580" s="10">
        <f>IF(Q580="A","价格与起订量有优势，建议优先询盘",IF(Q580="B","条件较均衡，可作为备选","起订量或价格需要进一步确认"))</f>
        <v/>
      </c>
      <c r="T580" s="10" t="inlineStr">
        <is>
          <t>未联系</t>
        </is>
      </c>
      <c r="U580" s="10" t="inlineStr">
        <is>
          <t>虚构演示数据</t>
        </is>
      </c>
    </row>
    <row r="581" ht="21" customHeight="1">
      <c r="A581" s="10" t="inlineStr">
        <is>
          <t>GYS-0577</t>
        </is>
      </c>
      <c r="B581" s="10" t="inlineStr">
        <is>
          <t>深圳鞋靴配件供应链0577有限公司（演示）</t>
        </is>
      </c>
      <c r="C581" s="10" t="inlineStr">
        <is>
          <t>鞋靴配件</t>
        </is>
      </c>
      <c r="D581" s="10" t="inlineStr">
        <is>
          <t>防磨脚贴</t>
        </is>
      </c>
      <c r="E581" s="10" t="inlineStr">
        <is>
          <t>广东深圳</t>
        </is>
      </c>
      <c r="F581" s="10" t="inlineStr">
        <is>
          <t>义乌购</t>
        </is>
      </c>
      <c r="G581" s="10" t="inlineStr">
        <is>
          <t>赵经理</t>
        </is>
      </c>
      <c r="H581" s="10" t="inlineStr">
        <is>
          <t>000-0000-0577</t>
        </is>
      </c>
      <c r="I581" s="10" t="inlineStr">
        <is>
          <t>DEMO_GYS_0577</t>
        </is>
      </c>
      <c r="J581" s="11" t="n">
        <v>17.7</v>
      </c>
      <c r="K581" s="11" t="n">
        <v>26.4</v>
      </c>
      <c r="L581" s="12" t="n">
        <v>500</v>
      </c>
      <c r="M581" s="10" t="inlineStr">
        <is>
          <t>是</t>
        </is>
      </c>
      <c r="N581" s="10" t="inlineStr">
        <is>
          <t>是</t>
        </is>
      </c>
      <c r="O581" s="10" t="inlineStr">
        <is>
          <t>supplier0577@example.com</t>
        </is>
      </c>
      <c r="P581" s="10" t="inlineStr">
        <is>
          <t>https://example.com/supplier/0577</t>
        </is>
      </c>
      <c r="Q581" s="10">
        <f>IF(R581&gt;=85,"A",IF(R581&gt;=70,"B","C"))</f>
        <v/>
      </c>
      <c r="R581" s="13">
        <f>MIN(100,50+IF(M581="是",10,0)+IF(N581="是",10,0)+IF(L581&lt;=100,10,IF(L581&lt;=300,5,0))+IF(J581&lt;=20,10,IF(J581&lt;=50,5,0))+IF(K581-J581&lt;=20,5,0)+IF(F581="企业官网",5,0))</f>
        <v/>
      </c>
      <c r="S581" s="10">
        <f>IF(Q581="A","价格与起订量有优势，建议优先询盘",IF(Q581="B","条件较均衡，可作为备选","起订量或价格需要进一步确认"))</f>
        <v/>
      </c>
      <c r="T581" s="10" t="inlineStr">
        <is>
          <t>未联系</t>
        </is>
      </c>
      <c r="U581" s="10" t="inlineStr">
        <is>
          <t>虚构演示数据</t>
        </is>
      </c>
    </row>
    <row r="582" ht="21" customHeight="1">
      <c r="A582" s="10" t="inlineStr">
        <is>
          <t>GYS-0578</t>
        </is>
      </c>
      <c r="B582" s="10" t="inlineStr">
        <is>
          <t>佛山食品包装供应链0578有限公司（演示）</t>
        </is>
      </c>
      <c r="C582" s="10" t="inlineStr">
        <is>
          <t>食品包装</t>
        </is>
      </c>
      <c r="D582" s="10" t="inlineStr">
        <is>
          <t>密封包装袋</t>
        </is>
      </c>
      <c r="E582" s="10" t="inlineStr">
        <is>
          <t>广东佛山</t>
        </is>
      </c>
      <c r="F582" s="10" t="inlineStr">
        <is>
          <t>慧聪网</t>
        </is>
      </c>
      <c r="G582" s="10" t="inlineStr">
        <is>
          <t>周经理</t>
        </is>
      </c>
      <c r="H582" s="10" t="inlineStr">
        <is>
          <t>000-0000-0578</t>
        </is>
      </c>
      <c r="I582" s="10" t="inlineStr">
        <is>
          <t>DEMO_GYS_0578</t>
        </is>
      </c>
      <c r="J582" s="11" t="n">
        <v>19.4</v>
      </c>
      <c r="K582" s="11" t="n">
        <v>29.2</v>
      </c>
      <c r="L582" s="12" t="n">
        <v>300</v>
      </c>
      <c r="M582" s="10" t="inlineStr">
        <is>
          <t>是</t>
        </is>
      </c>
      <c r="N582" s="10" t="inlineStr">
        <is>
          <t>是</t>
        </is>
      </c>
      <c r="O582" s="10" t="inlineStr">
        <is>
          <t>supplier0578@example.com</t>
        </is>
      </c>
      <c r="P582" s="10" t="inlineStr">
        <is>
          <t>https://example.com/supplier/0578</t>
        </is>
      </c>
      <c r="Q582" s="10">
        <f>IF(R582&gt;=85,"A",IF(R582&gt;=70,"B","C"))</f>
        <v/>
      </c>
      <c r="R582" s="13">
        <f>MIN(100,50+IF(M582="是",10,0)+IF(N582="是",10,0)+IF(L582&lt;=100,10,IF(L582&lt;=300,5,0))+IF(J582&lt;=20,10,IF(J582&lt;=50,5,0))+IF(K582-J582&lt;=20,5,0)+IF(F582="企业官网",5,0))</f>
        <v/>
      </c>
      <c r="S582" s="10">
        <f>IF(Q582="A","价格与起订量有优势，建议优先询盘",IF(Q582="B","条件较均衡，可作为备选","起订量或价格需要进一步确认"))</f>
        <v/>
      </c>
      <c r="T582" s="10" t="inlineStr">
        <is>
          <t>未联系</t>
        </is>
      </c>
      <c r="U582" s="10" t="inlineStr">
        <is>
          <t>虚构演示数据</t>
        </is>
      </c>
    </row>
    <row r="583" ht="21" customHeight="1">
      <c r="A583" s="10" t="inlineStr">
        <is>
          <t>GYS-0579</t>
        </is>
      </c>
      <c r="B583" s="10" t="inlineStr">
        <is>
          <t>苏州户外照明供应链0579有限公司（演示）</t>
        </is>
      </c>
      <c r="C583" s="10" t="inlineStr">
        <is>
          <t>户外照明</t>
        </is>
      </c>
      <c r="D583" s="10" t="inlineStr">
        <is>
          <t>便携露营灯</t>
        </is>
      </c>
      <c r="E583" s="10" t="inlineStr">
        <is>
          <t>江苏苏州</t>
        </is>
      </c>
      <c r="F583" s="10" t="inlineStr">
        <is>
          <t>1688</t>
        </is>
      </c>
      <c r="G583" s="10" t="inlineStr">
        <is>
          <t>吴经理</t>
        </is>
      </c>
      <c r="H583" s="10" t="inlineStr">
        <is>
          <t>000-0000-0579</t>
        </is>
      </c>
      <c r="I583" s="10" t="inlineStr">
        <is>
          <t>DEMO_GYS_0579</t>
        </is>
      </c>
      <c r="J583" s="11" t="n">
        <v>21.1</v>
      </c>
      <c r="K583" s="11" t="n">
        <v>32</v>
      </c>
      <c r="L583" s="12" t="n">
        <v>200</v>
      </c>
      <c r="M583" s="10" t="inlineStr">
        <is>
          <t>是</t>
        </is>
      </c>
      <c r="N583" s="10" t="inlineStr">
        <is>
          <t>否</t>
        </is>
      </c>
      <c r="O583" s="10" t="inlineStr">
        <is>
          <t>supplier0579@example.com</t>
        </is>
      </c>
      <c r="P583" s="10" t="inlineStr">
        <is>
          <t>https://example.com/supplier/0579</t>
        </is>
      </c>
      <c r="Q583" s="10">
        <f>IF(R583&gt;=85,"A",IF(R583&gt;=70,"B","C"))</f>
        <v/>
      </c>
      <c r="R583" s="13">
        <f>MIN(100,50+IF(M583="是",10,0)+IF(N583="是",10,0)+IF(L583&lt;=100,10,IF(L583&lt;=300,5,0))+IF(J583&lt;=20,10,IF(J583&lt;=50,5,0))+IF(K583-J583&lt;=20,5,0)+IF(F583="企业官网",5,0))</f>
        <v/>
      </c>
      <c r="S583" s="10">
        <f>IF(Q583="A","价格与起订量有优势，建议优先询盘",IF(Q583="B","条件较均衡，可作为备选","起订量或价格需要进一步确认"))</f>
        <v/>
      </c>
      <c r="T583" s="10" t="inlineStr">
        <is>
          <t>未联系</t>
        </is>
      </c>
      <c r="U583" s="10" t="inlineStr">
        <is>
          <t>虚构演示数据</t>
        </is>
      </c>
    </row>
    <row r="584" ht="21" customHeight="1">
      <c r="A584" s="10" t="inlineStr">
        <is>
          <t>GYS-0580</t>
        </is>
      </c>
      <c r="B584" s="10" t="inlineStr">
        <is>
          <t>白沟健康用品供应链0580有限公司（演示）</t>
        </is>
      </c>
      <c r="C584" s="10" t="inlineStr">
        <is>
          <t>健康用品</t>
        </is>
      </c>
      <c r="D584" s="10" t="inlineStr">
        <is>
          <t>热敷眼罩</t>
        </is>
      </c>
      <c r="E584" s="10" t="inlineStr">
        <is>
          <t>河北白沟</t>
        </is>
      </c>
      <c r="F584" s="10" t="inlineStr">
        <is>
          <t>中国制造网</t>
        </is>
      </c>
      <c r="G584" s="10" t="inlineStr">
        <is>
          <t>陈经理</t>
        </is>
      </c>
      <c r="H584" s="10" t="inlineStr">
        <is>
          <t>000-0000-0580</t>
        </is>
      </c>
      <c r="I584" s="10" t="inlineStr">
        <is>
          <t>DEMO_GYS_0580</t>
        </is>
      </c>
      <c r="J584" s="11" t="n">
        <v>22.8</v>
      </c>
      <c r="K584" s="11" t="n">
        <v>34.8</v>
      </c>
      <c r="L584" s="12" t="n">
        <v>100</v>
      </c>
      <c r="M584" s="10" t="inlineStr">
        <is>
          <t>否</t>
        </is>
      </c>
      <c r="N584" s="10" t="inlineStr">
        <is>
          <t>是</t>
        </is>
      </c>
      <c r="O584" s="10" t="inlineStr">
        <is>
          <t>supplier0580@example.com</t>
        </is>
      </c>
      <c r="P584" s="10" t="inlineStr">
        <is>
          <t>https://example.com/supplier/0580</t>
        </is>
      </c>
      <c r="Q584" s="10">
        <f>IF(R584&gt;=85,"A",IF(R584&gt;=70,"B","C"))</f>
        <v/>
      </c>
      <c r="R584" s="13">
        <f>MIN(100,50+IF(M584="是",10,0)+IF(N584="是",10,0)+IF(L584&lt;=100,10,IF(L584&lt;=300,5,0))+IF(J584&lt;=20,10,IF(J584&lt;=50,5,0))+IF(K584-J584&lt;=20,5,0)+IF(F584="企业官网",5,0))</f>
        <v/>
      </c>
      <c r="S584" s="10">
        <f>IF(Q584="A","价格与起订量有优势，建议优先询盘",IF(Q584="B","条件较均衡，可作为备选","起订量或价格需要进一步确认"))</f>
        <v/>
      </c>
      <c r="T584" s="10" t="inlineStr">
        <is>
          <t>未联系</t>
        </is>
      </c>
      <c r="U584" s="10" t="inlineStr">
        <is>
          <t>虚构演示数据</t>
        </is>
      </c>
    </row>
    <row r="585" ht="21" customHeight="1">
      <c r="A585" s="10" t="inlineStr">
        <is>
          <t>GYS-0581</t>
        </is>
      </c>
      <c r="B585" s="10" t="inlineStr">
        <is>
          <t>义乌服饰内衣供应链0581有限公司（演示）</t>
        </is>
      </c>
      <c r="C585" s="10" t="inlineStr">
        <is>
          <t>服饰内衣</t>
        </is>
      </c>
      <c r="D585" s="10" t="inlineStr">
        <is>
          <t>防滑袜</t>
        </is>
      </c>
      <c r="E585" s="10" t="inlineStr">
        <is>
          <t>浙江义乌</t>
        </is>
      </c>
      <c r="F585" s="10" t="inlineStr">
        <is>
          <t>企业官网</t>
        </is>
      </c>
      <c r="G585" s="10" t="inlineStr">
        <is>
          <t>林经理</t>
        </is>
      </c>
      <c r="H585" s="10" t="inlineStr">
        <is>
          <t>000-0000-0581</t>
        </is>
      </c>
      <c r="I585" s="10" t="inlineStr">
        <is>
          <t>DEMO_GYS_0581</t>
        </is>
      </c>
      <c r="J585" s="11" t="n">
        <v>24.5</v>
      </c>
      <c r="K585" s="11" t="n">
        <v>37.6</v>
      </c>
      <c r="L585" s="12" t="n">
        <v>50</v>
      </c>
      <c r="M585" s="10" t="inlineStr">
        <is>
          <t>是</t>
        </is>
      </c>
      <c r="N585" s="10" t="inlineStr">
        <is>
          <t>是</t>
        </is>
      </c>
      <c r="O585" s="10" t="inlineStr">
        <is>
          <t>supplier0581@example.com</t>
        </is>
      </c>
      <c r="P585" s="10" t="inlineStr">
        <is>
          <t>https://example.com/supplier/0581</t>
        </is>
      </c>
      <c r="Q585" s="10">
        <f>IF(R585&gt;=85,"A",IF(R585&gt;=70,"B","C"))</f>
        <v/>
      </c>
      <c r="R585" s="13">
        <f>MIN(100,50+IF(M585="是",10,0)+IF(N585="是",10,0)+IF(L585&lt;=100,10,IF(L585&lt;=300,5,0))+IF(J585&lt;=20,10,IF(J585&lt;=50,5,0))+IF(K585-J585&lt;=20,5,0)+IF(F585="企业官网",5,0))</f>
        <v/>
      </c>
      <c r="S585" s="10">
        <f>IF(Q585="A","价格与起订量有优势，建议优先询盘",IF(Q585="B","条件较均衡，可作为备选","起订量或价格需要进一步确认"))</f>
        <v/>
      </c>
      <c r="T585" s="10" t="inlineStr">
        <is>
          <t>未联系</t>
        </is>
      </c>
      <c r="U585" s="10" t="inlineStr">
        <is>
          <t>虚构演示数据</t>
        </is>
      </c>
    </row>
    <row r="586" ht="21" customHeight="1">
      <c r="A586" s="10" t="inlineStr">
        <is>
          <t>GYS-0582</t>
        </is>
      </c>
      <c r="B586" s="10" t="inlineStr">
        <is>
          <t>台州家居日用供应链0582有限公司（演示）</t>
        </is>
      </c>
      <c r="C586" s="10" t="inlineStr">
        <is>
          <t>家居日用</t>
        </is>
      </c>
      <c r="D586" s="10" t="inlineStr">
        <is>
          <t>折叠收纳箱</t>
        </is>
      </c>
      <c r="E586" s="10" t="inlineStr">
        <is>
          <t>浙江台州</t>
        </is>
      </c>
      <c r="F586" s="10" t="inlineStr">
        <is>
          <t>义乌购</t>
        </is>
      </c>
      <c r="G586" s="10" t="inlineStr">
        <is>
          <t>王经理</t>
        </is>
      </c>
      <c r="H586" s="10" t="inlineStr">
        <is>
          <t>000-0000-0582</t>
        </is>
      </c>
      <c r="I586" s="10" t="inlineStr">
        <is>
          <t>DEMO_GYS_0582</t>
        </is>
      </c>
      <c r="J586" s="11" t="n">
        <v>26.2</v>
      </c>
      <c r="K586" s="11" t="n">
        <v>40.4</v>
      </c>
      <c r="L586" s="12" t="n">
        <v>20</v>
      </c>
      <c r="M586" s="10" t="inlineStr">
        <is>
          <t>是</t>
        </is>
      </c>
      <c r="N586" s="10" t="inlineStr">
        <is>
          <t>否</t>
        </is>
      </c>
      <c r="O586" s="10" t="inlineStr">
        <is>
          <t>supplier0582@example.com</t>
        </is>
      </c>
      <c r="P586" s="10" t="inlineStr">
        <is>
          <t>https://example.com/supplier/0582</t>
        </is>
      </c>
      <c r="Q586" s="10">
        <f>IF(R586&gt;=85,"A",IF(R586&gt;=70,"B","C"))</f>
        <v/>
      </c>
      <c r="R586" s="13">
        <f>MIN(100,50+IF(M586="是",10,0)+IF(N586="是",10,0)+IF(L586&lt;=100,10,IF(L586&lt;=300,5,0))+IF(J586&lt;=20,10,IF(J586&lt;=50,5,0))+IF(K586-J586&lt;=20,5,0)+IF(F586="企业官网",5,0))</f>
        <v/>
      </c>
      <c r="S586" s="10">
        <f>IF(Q586="A","价格与起订量有优势，建议优先询盘",IF(Q586="B","条件较均衡，可作为备选","起订量或价格需要进一步确认"))</f>
        <v/>
      </c>
      <c r="T586" s="10" t="inlineStr">
        <is>
          <t>未联系</t>
        </is>
      </c>
      <c r="U586" s="10" t="inlineStr">
        <is>
          <t>虚构演示数据</t>
        </is>
      </c>
    </row>
    <row r="587" ht="21" customHeight="1">
      <c r="A587" s="10" t="inlineStr">
        <is>
          <t>GYS-0583</t>
        </is>
      </c>
      <c r="B587" s="10" t="inlineStr">
        <is>
          <t>东莞个护清洁供应链0583有限公司（演示）</t>
        </is>
      </c>
      <c r="C587" s="10" t="inlineStr">
        <is>
          <t>个护清洁</t>
        </is>
      </c>
      <c r="D587" s="10" t="inlineStr">
        <is>
          <t>便携洗脸巾</t>
        </is>
      </c>
      <c r="E587" s="10" t="inlineStr">
        <is>
          <t>广东东莞</t>
        </is>
      </c>
      <c r="F587" s="10" t="inlineStr">
        <is>
          <t>慧聪网</t>
        </is>
      </c>
      <c r="G587" s="10" t="inlineStr">
        <is>
          <t>李经理</t>
        </is>
      </c>
      <c r="H587" s="10" t="inlineStr">
        <is>
          <t>000-0000-0583</t>
        </is>
      </c>
      <c r="I587" s="10" t="inlineStr">
        <is>
          <t>DEMO_GYS_0583</t>
        </is>
      </c>
      <c r="J587" s="11" t="n">
        <v>27.9</v>
      </c>
      <c r="K587" s="11" t="n">
        <v>43.2</v>
      </c>
      <c r="L587" s="12" t="n">
        <v>500</v>
      </c>
      <c r="M587" s="10" t="inlineStr">
        <is>
          <t>是</t>
        </is>
      </c>
      <c r="N587" s="10" t="inlineStr">
        <is>
          <t>是</t>
        </is>
      </c>
      <c r="O587" s="10" t="inlineStr">
        <is>
          <t>supplier0583@example.com</t>
        </is>
      </c>
      <c r="P587" s="10" t="inlineStr">
        <is>
          <t>https://example.com/supplier/0583</t>
        </is>
      </c>
      <c r="Q587" s="10">
        <f>IF(R587&gt;=85,"A",IF(R587&gt;=70,"B","C"))</f>
        <v/>
      </c>
      <c r="R587" s="13">
        <f>MIN(100,50+IF(M587="是",10,0)+IF(N587="是",10,0)+IF(L587&lt;=100,10,IF(L587&lt;=300,5,0))+IF(J587&lt;=20,10,IF(J587&lt;=50,5,0))+IF(K587-J587&lt;=20,5,0)+IF(F587="企业官网",5,0))</f>
        <v/>
      </c>
      <c r="S587" s="10">
        <f>IF(Q587="A","价格与起订量有优势，建议优先询盘",IF(Q587="B","条件较均衡，可作为备选","起订量或价格需要进一步确认"))</f>
        <v/>
      </c>
      <c r="T587" s="10" t="inlineStr">
        <is>
          <t>未联系</t>
        </is>
      </c>
      <c r="U587" s="10" t="inlineStr">
        <is>
          <t>虚构演示数据</t>
        </is>
      </c>
    </row>
    <row r="588" ht="21" customHeight="1">
      <c r="A588" s="10" t="inlineStr">
        <is>
          <t>GYS-0584</t>
        </is>
      </c>
      <c r="B588" s="10" t="inlineStr">
        <is>
          <t>厦门厨房用品供应链0584有限公司（演示）</t>
        </is>
      </c>
      <c r="C588" s="10" t="inlineStr">
        <is>
          <t>厨房用品</t>
        </is>
      </c>
      <c r="D588" s="10" t="inlineStr">
        <is>
          <t>硅胶保鲜盒</t>
        </is>
      </c>
      <c r="E588" s="10" t="inlineStr">
        <is>
          <t>福建厦门</t>
        </is>
      </c>
      <c r="F588" s="10" t="inlineStr">
        <is>
          <t>1688</t>
        </is>
      </c>
      <c r="G588" s="10" t="inlineStr">
        <is>
          <t>张经理</t>
        </is>
      </c>
      <c r="H588" s="10" t="inlineStr">
        <is>
          <t>000-0000-0584</t>
        </is>
      </c>
      <c r="I588" s="10" t="inlineStr">
        <is>
          <t>DEMO_GYS_0584</t>
        </is>
      </c>
      <c r="J588" s="11" t="n">
        <v>29.6</v>
      </c>
      <c r="K588" s="11" t="n">
        <v>46</v>
      </c>
      <c r="L588" s="12" t="n">
        <v>300</v>
      </c>
      <c r="M588" s="10" t="inlineStr">
        <is>
          <t>否</t>
        </is>
      </c>
      <c r="N588" s="10" t="inlineStr">
        <is>
          <t>是</t>
        </is>
      </c>
      <c r="O588" s="10" t="inlineStr">
        <is>
          <t>supplier0584@example.com</t>
        </is>
      </c>
      <c r="P588" s="10" t="inlineStr">
        <is>
          <t>https://example.com/supplier/0584</t>
        </is>
      </c>
      <c r="Q588" s="10">
        <f>IF(R588&gt;=85,"A",IF(R588&gt;=70,"B","C"))</f>
        <v/>
      </c>
      <c r="R588" s="13">
        <f>MIN(100,50+IF(M588="是",10,0)+IF(N588="是",10,0)+IF(L588&lt;=100,10,IF(L588&lt;=300,5,0))+IF(J588&lt;=20,10,IF(J588&lt;=50,5,0))+IF(K588-J588&lt;=20,5,0)+IF(F588="企业官网",5,0))</f>
        <v/>
      </c>
      <c r="S588" s="10">
        <f>IF(Q588="A","价格与起订量有优势，建议优先询盘",IF(Q588="B","条件较均衡，可作为备选","起订量或价格需要进一步确认"))</f>
        <v/>
      </c>
      <c r="T588" s="10" t="inlineStr">
        <is>
          <t>未联系</t>
        </is>
      </c>
      <c r="U588" s="10" t="inlineStr">
        <is>
          <t>虚构演示数据</t>
        </is>
      </c>
    </row>
    <row r="589" ht="21" customHeight="1">
      <c r="A589" s="10" t="inlineStr">
        <is>
          <t>GYS-0585</t>
        </is>
      </c>
      <c r="B589" s="10" t="inlineStr">
        <is>
          <t>临沂数码配件供应链0585有限公司（演示）</t>
        </is>
      </c>
      <c r="C589" s="10" t="inlineStr">
        <is>
          <t>数码配件</t>
        </is>
      </c>
      <c r="D589" s="10" t="inlineStr">
        <is>
          <t>磁吸手机支架</t>
        </is>
      </c>
      <c r="E589" s="10" t="inlineStr">
        <is>
          <t>山东临沂</t>
        </is>
      </c>
      <c r="F589" s="10" t="inlineStr">
        <is>
          <t>中国制造网</t>
        </is>
      </c>
      <c r="G589" s="10" t="inlineStr">
        <is>
          <t>刘经理</t>
        </is>
      </c>
      <c r="H589" s="10" t="inlineStr">
        <is>
          <t>000-0000-0585</t>
        </is>
      </c>
      <c r="I589" s="10" t="inlineStr">
        <is>
          <t>DEMO_GYS_0585</t>
        </is>
      </c>
      <c r="J589" s="11" t="n">
        <v>31.3</v>
      </c>
      <c r="K589" s="11" t="n">
        <v>48.8</v>
      </c>
      <c r="L589" s="12" t="n">
        <v>200</v>
      </c>
      <c r="M589" s="10" t="inlineStr">
        <is>
          <t>是</t>
        </is>
      </c>
      <c r="N589" s="10" t="inlineStr">
        <is>
          <t>否</t>
        </is>
      </c>
      <c r="O589" s="10" t="inlineStr">
        <is>
          <t>supplier0585@example.com</t>
        </is>
      </c>
      <c r="P589" s="10" t="inlineStr">
        <is>
          <t>https://example.com/supplier/0585</t>
        </is>
      </c>
      <c r="Q589" s="10">
        <f>IF(R589&gt;=85,"A",IF(R589&gt;=70,"B","C"))</f>
        <v/>
      </c>
      <c r="R589" s="13">
        <f>MIN(100,50+IF(M589="是",10,0)+IF(N589="是",10,0)+IF(L589&lt;=100,10,IF(L589&lt;=300,5,0))+IF(J589&lt;=20,10,IF(J589&lt;=50,5,0))+IF(K589-J589&lt;=20,5,0)+IF(F589="企业官网",5,0))</f>
        <v/>
      </c>
      <c r="S589" s="10">
        <f>IF(Q589="A","价格与起订量有优势，建议优先询盘",IF(Q589="B","条件较均衡，可作为备选","起订量或价格需要进一步确认"))</f>
        <v/>
      </c>
      <c r="T589" s="10" t="inlineStr">
        <is>
          <t>未联系</t>
        </is>
      </c>
      <c r="U589" s="10" t="inlineStr">
        <is>
          <t>虚构演示数据</t>
        </is>
      </c>
    </row>
    <row r="590" ht="21" customHeight="1">
      <c r="A590" s="10" t="inlineStr">
        <is>
          <t>GYS-0586</t>
        </is>
      </c>
      <c r="B590" s="10" t="inlineStr">
        <is>
          <t>南昌宠物用品供应链0586有限公司（演示）</t>
        </is>
      </c>
      <c r="C590" s="10" t="inlineStr">
        <is>
          <t>宠物用品</t>
        </is>
      </c>
      <c r="D590" s="10" t="inlineStr">
        <is>
          <t>宠物清洁手套</t>
        </is>
      </c>
      <c r="E590" s="10" t="inlineStr">
        <is>
          <t>江西南昌</t>
        </is>
      </c>
      <c r="F590" s="10" t="inlineStr">
        <is>
          <t>企业官网</t>
        </is>
      </c>
      <c r="G590" s="10" t="inlineStr">
        <is>
          <t>黄经理</t>
        </is>
      </c>
      <c r="H590" s="10" t="inlineStr">
        <is>
          <t>000-0000-0586</t>
        </is>
      </c>
      <c r="I590" s="10" t="inlineStr">
        <is>
          <t>DEMO_GYS_0586</t>
        </is>
      </c>
      <c r="J590" s="11" t="n">
        <v>33</v>
      </c>
      <c r="K590" s="11" t="n">
        <v>51.6</v>
      </c>
      <c r="L590" s="12" t="n">
        <v>100</v>
      </c>
      <c r="M590" s="10" t="inlineStr">
        <is>
          <t>是</t>
        </is>
      </c>
      <c r="N590" s="10" t="inlineStr">
        <is>
          <t>是</t>
        </is>
      </c>
      <c r="O590" s="10" t="inlineStr">
        <is>
          <t>supplier0586@example.com</t>
        </is>
      </c>
      <c r="P590" s="10" t="inlineStr">
        <is>
          <t>https://example.com/supplier/0586</t>
        </is>
      </c>
      <c r="Q590" s="10">
        <f>IF(R590&gt;=85,"A",IF(R590&gt;=70,"B","C"))</f>
        <v/>
      </c>
      <c r="R590" s="13">
        <f>MIN(100,50+IF(M590="是",10,0)+IF(N590="是",10,0)+IF(L590&lt;=100,10,IF(L590&lt;=300,5,0))+IF(J590&lt;=20,10,IF(J590&lt;=50,5,0))+IF(K590-J590&lt;=20,5,0)+IF(F590="企业官网",5,0))</f>
        <v/>
      </c>
      <c r="S590" s="10">
        <f>IF(Q590="A","价格与起订量有优势，建议优先询盘",IF(Q590="B","条件较均衡，可作为备选","起订量或价格需要进一步确认"))</f>
        <v/>
      </c>
      <c r="T590" s="10" t="inlineStr">
        <is>
          <t>未联系</t>
        </is>
      </c>
      <c r="U590" s="10" t="inlineStr">
        <is>
          <t>虚构演示数据</t>
        </is>
      </c>
    </row>
    <row r="591" ht="21" customHeight="1">
      <c r="A591" s="10" t="inlineStr">
        <is>
          <t>GYS-0587</t>
        </is>
      </c>
      <c r="B591" s="10" t="inlineStr">
        <is>
          <t>温州母婴用品供应链0587有限公司（演示）</t>
        </is>
      </c>
      <c r="C591" s="10" t="inlineStr">
        <is>
          <t>母婴用品</t>
        </is>
      </c>
      <c r="D591" s="10" t="inlineStr">
        <is>
          <t>婴儿防撞条</t>
        </is>
      </c>
      <c r="E591" s="10" t="inlineStr">
        <is>
          <t>浙江温州</t>
        </is>
      </c>
      <c r="F591" s="10" t="inlineStr">
        <is>
          <t>义乌购</t>
        </is>
      </c>
      <c r="G591" s="10" t="inlineStr">
        <is>
          <t>赵经理</t>
        </is>
      </c>
      <c r="H591" s="10" t="inlineStr">
        <is>
          <t>000-0000-0587</t>
        </is>
      </c>
      <c r="I591" s="10" t="inlineStr">
        <is>
          <t>DEMO_GYS_0587</t>
        </is>
      </c>
      <c r="J591" s="11" t="n">
        <v>34.7</v>
      </c>
      <c r="K591" s="11" t="n">
        <v>54.4</v>
      </c>
      <c r="L591" s="12" t="n">
        <v>50</v>
      </c>
      <c r="M591" s="10" t="inlineStr">
        <is>
          <t>是</t>
        </is>
      </c>
      <c r="N591" s="10" t="inlineStr">
        <is>
          <t>是</t>
        </is>
      </c>
      <c r="O591" s="10" t="inlineStr">
        <is>
          <t>supplier0587@example.com</t>
        </is>
      </c>
      <c r="P591" s="10" t="inlineStr">
        <is>
          <t>https://example.com/supplier/0587</t>
        </is>
      </c>
      <c r="Q591" s="10">
        <f>IF(R591&gt;=85,"A",IF(R591&gt;=70,"B","C"))</f>
        <v/>
      </c>
      <c r="R591" s="13">
        <f>MIN(100,50+IF(M591="是",10,0)+IF(N591="是",10,0)+IF(L591&lt;=100,10,IF(L591&lt;=300,5,0))+IF(J591&lt;=20,10,IF(J591&lt;=50,5,0))+IF(K591-J591&lt;=20,5,0)+IF(F591="企业官网",5,0))</f>
        <v/>
      </c>
      <c r="S591" s="10">
        <f>IF(Q591="A","价格与起订量有优势，建议优先询盘",IF(Q591="B","条件较均衡，可作为备选","起订量或价格需要进一步确认"))</f>
        <v/>
      </c>
      <c r="T591" s="10" t="inlineStr">
        <is>
          <t>未联系</t>
        </is>
      </c>
      <c r="U591" s="10" t="inlineStr">
        <is>
          <t>虚构演示数据</t>
        </is>
      </c>
    </row>
    <row r="592" ht="21" customHeight="1">
      <c r="A592" s="10" t="inlineStr">
        <is>
          <t>GYS-0588</t>
        </is>
      </c>
      <c r="B592" s="10" t="inlineStr">
        <is>
          <t>广州运动户外供应链0588有限公司（演示）</t>
        </is>
      </c>
      <c r="C592" s="10" t="inlineStr">
        <is>
          <t>运动户外</t>
        </is>
      </c>
      <c r="D592" s="10" t="inlineStr">
        <is>
          <t>弹力训练带</t>
        </is>
      </c>
      <c r="E592" s="10" t="inlineStr">
        <is>
          <t>广东广州</t>
        </is>
      </c>
      <c r="F592" s="10" t="inlineStr">
        <is>
          <t>慧聪网</t>
        </is>
      </c>
      <c r="G592" s="10" t="inlineStr">
        <is>
          <t>周经理</t>
        </is>
      </c>
      <c r="H592" s="10" t="inlineStr">
        <is>
          <t>000-0000-0588</t>
        </is>
      </c>
      <c r="I592" s="10" t="inlineStr">
        <is>
          <t>DEMO_GYS_0588</t>
        </is>
      </c>
      <c r="J592" s="11" t="n">
        <v>36.4</v>
      </c>
      <c r="K592" s="11" t="n">
        <v>57.2</v>
      </c>
      <c r="L592" s="12" t="n">
        <v>20</v>
      </c>
      <c r="M592" s="10" t="inlineStr">
        <is>
          <t>否</t>
        </is>
      </c>
      <c r="N592" s="10" t="inlineStr">
        <is>
          <t>否</t>
        </is>
      </c>
      <c r="O592" s="10" t="inlineStr">
        <is>
          <t>supplier0588@example.com</t>
        </is>
      </c>
      <c r="P592" s="10" t="inlineStr">
        <is>
          <t>https://example.com/supplier/0588</t>
        </is>
      </c>
      <c r="Q592" s="10">
        <f>IF(R592&gt;=85,"A",IF(R592&gt;=70,"B","C"))</f>
        <v/>
      </c>
      <c r="R592" s="13">
        <f>MIN(100,50+IF(M592="是",10,0)+IF(N592="是",10,0)+IF(L592&lt;=100,10,IF(L592&lt;=300,5,0))+IF(J592&lt;=20,10,IF(J592&lt;=50,5,0))+IF(K592-J592&lt;=20,5,0)+IF(F592="企业官网",5,0))</f>
        <v/>
      </c>
      <c r="S592" s="10">
        <f>IF(Q592="A","价格与起订量有优势，建议优先询盘",IF(Q592="B","条件较均衡，可作为备选","起订量或价格需要进一步确认"))</f>
        <v/>
      </c>
      <c r="T592" s="10" t="inlineStr">
        <is>
          <t>未联系</t>
        </is>
      </c>
      <c r="U592" s="10" t="inlineStr">
        <is>
          <t>虚构演示数据</t>
        </is>
      </c>
    </row>
    <row r="593" ht="21" customHeight="1">
      <c r="A593" s="10" t="inlineStr">
        <is>
          <t>GYS-0589</t>
        </is>
      </c>
      <c r="B593" s="10" t="inlineStr">
        <is>
          <t>泉州办公文具供应链0589有限公司（演示）</t>
        </is>
      </c>
      <c r="C593" s="10" t="inlineStr">
        <is>
          <t>办公文具</t>
        </is>
      </c>
      <c r="D593" s="10" t="inlineStr">
        <is>
          <t>桌面收纳架</t>
        </is>
      </c>
      <c r="E593" s="10" t="inlineStr">
        <is>
          <t>福建泉州</t>
        </is>
      </c>
      <c r="F593" s="10" t="inlineStr">
        <is>
          <t>1688</t>
        </is>
      </c>
      <c r="G593" s="10" t="inlineStr">
        <is>
          <t>吴经理</t>
        </is>
      </c>
      <c r="H593" s="10" t="inlineStr">
        <is>
          <t>000-0000-0589</t>
        </is>
      </c>
      <c r="I593" s="10" t="inlineStr">
        <is>
          <t>DEMO_GYS_0589</t>
        </is>
      </c>
      <c r="J593" s="11" t="n">
        <v>38.1</v>
      </c>
      <c r="K593" s="11" t="n">
        <v>60</v>
      </c>
      <c r="L593" s="12" t="n">
        <v>500</v>
      </c>
      <c r="M593" s="10" t="inlineStr">
        <is>
          <t>是</t>
        </is>
      </c>
      <c r="N593" s="10" t="inlineStr">
        <is>
          <t>是</t>
        </is>
      </c>
      <c r="O593" s="10" t="inlineStr">
        <is>
          <t>supplier0589@example.com</t>
        </is>
      </c>
      <c r="P593" s="10" t="inlineStr">
        <is>
          <t>https://example.com/supplier/0589</t>
        </is>
      </c>
      <c r="Q593" s="10">
        <f>IF(R593&gt;=85,"A",IF(R593&gt;=70,"B","C"))</f>
        <v/>
      </c>
      <c r="R593" s="13">
        <f>MIN(100,50+IF(M593="是",10,0)+IF(N593="是",10,0)+IF(L593&lt;=100,10,IF(L593&lt;=300,5,0))+IF(J593&lt;=20,10,IF(J593&lt;=50,5,0))+IF(K593-J593&lt;=20,5,0)+IF(F593="企业官网",5,0))</f>
        <v/>
      </c>
      <c r="S593" s="10">
        <f>IF(Q593="A","价格与起订量有优势，建议优先询盘",IF(Q593="B","条件较均衡，可作为备选","起订量或价格需要进一步确认"))</f>
        <v/>
      </c>
      <c r="T593" s="10" t="inlineStr">
        <is>
          <t>未联系</t>
        </is>
      </c>
      <c r="U593" s="10" t="inlineStr">
        <is>
          <t>虚构演示数据</t>
        </is>
      </c>
    </row>
    <row r="594" ht="21" customHeight="1">
      <c r="A594" s="10" t="inlineStr">
        <is>
          <t>GYS-0590</t>
        </is>
      </c>
      <c r="B594" s="10" t="inlineStr">
        <is>
          <t>南通汽车用品供应链0590有限公司（演示）</t>
        </is>
      </c>
      <c r="C594" s="10" t="inlineStr">
        <is>
          <t>汽车用品</t>
        </is>
      </c>
      <c r="D594" s="10" t="inlineStr">
        <is>
          <t>车载香薰</t>
        </is>
      </c>
      <c r="E594" s="10" t="inlineStr">
        <is>
          <t>江苏南通</t>
        </is>
      </c>
      <c r="F594" s="10" t="inlineStr">
        <is>
          <t>中国制造网</t>
        </is>
      </c>
      <c r="G594" s="10" t="inlineStr">
        <is>
          <t>陈经理</t>
        </is>
      </c>
      <c r="H594" s="10" t="inlineStr">
        <is>
          <t>000-0000-0590</t>
        </is>
      </c>
      <c r="I594" s="10" t="inlineStr">
        <is>
          <t>DEMO_GYS_0590</t>
        </is>
      </c>
      <c r="J594" s="11" t="n">
        <v>39.8</v>
      </c>
      <c r="K594" s="11" t="n">
        <v>44.8</v>
      </c>
      <c r="L594" s="12" t="n">
        <v>300</v>
      </c>
      <c r="M594" s="10" t="inlineStr">
        <is>
          <t>是</t>
        </is>
      </c>
      <c r="N594" s="10" t="inlineStr">
        <is>
          <t>是</t>
        </is>
      </c>
      <c r="O594" s="10" t="inlineStr">
        <is>
          <t>supplier0590@example.com</t>
        </is>
      </c>
      <c r="P594" s="10" t="inlineStr">
        <is>
          <t>https://example.com/supplier/0590</t>
        </is>
      </c>
      <c r="Q594" s="10">
        <f>IF(R594&gt;=85,"A",IF(R594&gt;=70,"B","C"))</f>
        <v/>
      </c>
      <c r="R594" s="13">
        <f>MIN(100,50+IF(M594="是",10,0)+IF(N594="是",10,0)+IF(L594&lt;=100,10,IF(L594&lt;=300,5,0))+IF(J594&lt;=20,10,IF(J594&lt;=50,5,0))+IF(K594-J594&lt;=20,5,0)+IF(F594="企业官网",5,0))</f>
        <v/>
      </c>
      <c r="S594" s="10">
        <f>IF(Q594="A","价格与起订量有优势，建议优先询盘",IF(Q594="B","条件较均衡，可作为备选","起订量或价格需要进一步确认"))</f>
        <v/>
      </c>
      <c r="T594" s="10" t="inlineStr">
        <is>
          <t>未联系</t>
        </is>
      </c>
      <c r="U594" s="10" t="inlineStr">
        <is>
          <t>虚构演示数据</t>
        </is>
      </c>
    </row>
    <row r="595" ht="21" customHeight="1">
      <c r="A595" s="10" t="inlineStr">
        <is>
          <t>GYS-0591</t>
        </is>
      </c>
      <c r="B595" s="10" t="inlineStr">
        <is>
          <t>郑州美容工具供应链0591有限公司（演示）</t>
        </is>
      </c>
      <c r="C595" s="10" t="inlineStr">
        <is>
          <t>美容工具</t>
        </is>
      </c>
      <c r="D595" s="10" t="inlineStr">
        <is>
          <t>便携化妆镜</t>
        </is>
      </c>
      <c r="E595" s="10" t="inlineStr">
        <is>
          <t>河南郑州</t>
        </is>
      </c>
      <c r="F595" s="10" t="inlineStr">
        <is>
          <t>企业官网</t>
        </is>
      </c>
      <c r="G595" s="10" t="inlineStr">
        <is>
          <t>林经理</t>
        </is>
      </c>
      <c r="H595" s="10" t="inlineStr">
        <is>
          <t>000-0000-0591</t>
        </is>
      </c>
      <c r="I595" s="10" t="inlineStr">
        <is>
          <t>DEMO_GYS_0591</t>
        </is>
      </c>
      <c r="J595" s="11" t="n">
        <v>41.5</v>
      </c>
      <c r="K595" s="11" t="n">
        <v>47.6</v>
      </c>
      <c r="L595" s="12" t="n">
        <v>200</v>
      </c>
      <c r="M595" s="10" t="inlineStr">
        <is>
          <t>是</t>
        </is>
      </c>
      <c r="N595" s="10" t="inlineStr">
        <is>
          <t>否</t>
        </is>
      </c>
      <c r="O595" s="10" t="inlineStr">
        <is>
          <t>supplier0591@example.com</t>
        </is>
      </c>
      <c r="P595" s="10" t="inlineStr">
        <is>
          <t>https://example.com/supplier/0591</t>
        </is>
      </c>
      <c r="Q595" s="10">
        <f>IF(R595&gt;=85,"A",IF(R595&gt;=70,"B","C"))</f>
        <v/>
      </c>
      <c r="R595" s="13">
        <f>MIN(100,50+IF(M595="是",10,0)+IF(N595="是",10,0)+IF(L595&lt;=100,10,IF(L595&lt;=300,5,0))+IF(J595&lt;=20,10,IF(J595&lt;=50,5,0))+IF(K595-J595&lt;=20,5,0)+IF(F595="企业官网",5,0))</f>
        <v/>
      </c>
      <c r="S595" s="10">
        <f>IF(Q595="A","价格与起订量有优势，建议优先询盘",IF(Q595="B","条件较均衡，可作为备选","起订量或价格需要进一步确认"))</f>
        <v/>
      </c>
      <c r="T595" s="10" t="inlineStr">
        <is>
          <t>未联系</t>
        </is>
      </c>
      <c r="U595" s="10" t="inlineStr">
        <is>
          <t>虚构演示数据</t>
        </is>
      </c>
    </row>
    <row r="596" ht="21" customHeight="1">
      <c r="A596" s="10" t="inlineStr">
        <is>
          <t>GYS-0592</t>
        </is>
      </c>
      <c r="B596" s="10" t="inlineStr">
        <is>
          <t>宁波旅行用品供应链0592有限公司（演示）</t>
        </is>
      </c>
      <c r="C596" s="10" t="inlineStr">
        <is>
          <t>旅行用品</t>
        </is>
      </c>
      <c r="D596" s="10" t="inlineStr">
        <is>
          <t>压缩收纳袋</t>
        </is>
      </c>
      <c r="E596" s="10" t="inlineStr">
        <is>
          <t>浙江宁波</t>
        </is>
      </c>
      <c r="F596" s="10" t="inlineStr">
        <is>
          <t>义乌购</t>
        </is>
      </c>
      <c r="G596" s="10" t="inlineStr">
        <is>
          <t>王经理</t>
        </is>
      </c>
      <c r="H596" s="10" t="inlineStr">
        <is>
          <t>000-0000-0592</t>
        </is>
      </c>
      <c r="I596" s="10" t="inlineStr">
        <is>
          <t>DEMO_GYS_0592</t>
        </is>
      </c>
      <c r="J596" s="11" t="n">
        <v>43.2</v>
      </c>
      <c r="K596" s="11" t="n">
        <v>50.4</v>
      </c>
      <c r="L596" s="12" t="n">
        <v>100</v>
      </c>
      <c r="M596" s="10" t="inlineStr">
        <is>
          <t>否</t>
        </is>
      </c>
      <c r="N596" s="10" t="inlineStr">
        <is>
          <t>是</t>
        </is>
      </c>
      <c r="O596" s="10" t="inlineStr">
        <is>
          <t>supplier0592@example.com</t>
        </is>
      </c>
      <c r="P596" s="10" t="inlineStr">
        <is>
          <t>https://example.com/supplier/0592</t>
        </is>
      </c>
      <c r="Q596" s="10">
        <f>IF(R596&gt;=85,"A",IF(R596&gt;=70,"B","C"))</f>
        <v/>
      </c>
      <c r="R596" s="13">
        <f>MIN(100,50+IF(M596="是",10,0)+IF(N596="是",10,0)+IF(L596&lt;=100,10,IF(L596&lt;=300,5,0))+IF(J596&lt;=20,10,IF(J596&lt;=50,5,0))+IF(K596-J596&lt;=20,5,0)+IF(F596="企业官网",5,0))</f>
        <v/>
      </c>
      <c r="S596" s="10">
        <f>IF(Q596="A","价格与起订量有优势，建议优先询盘",IF(Q596="B","条件较均衡，可作为备选","起订量或价格需要进一步确认"))</f>
        <v/>
      </c>
      <c r="T596" s="10" t="inlineStr">
        <is>
          <t>未联系</t>
        </is>
      </c>
      <c r="U596" s="10" t="inlineStr">
        <is>
          <t>虚构演示数据</t>
        </is>
      </c>
    </row>
    <row r="597" ht="21" customHeight="1">
      <c r="A597" s="10" t="inlineStr">
        <is>
          <t>GYS-0593</t>
        </is>
      </c>
      <c r="B597" s="10" t="inlineStr">
        <is>
          <t>深圳清洁工具供应链0593有限公司（演示）</t>
        </is>
      </c>
      <c r="C597" s="10" t="inlineStr">
        <is>
          <t>清洁工具</t>
        </is>
      </c>
      <c r="D597" s="10" t="inlineStr">
        <is>
          <t>免手洗拖把</t>
        </is>
      </c>
      <c r="E597" s="10" t="inlineStr">
        <is>
          <t>广东深圳</t>
        </is>
      </c>
      <c r="F597" s="10" t="inlineStr">
        <is>
          <t>慧聪网</t>
        </is>
      </c>
      <c r="G597" s="10" t="inlineStr">
        <is>
          <t>李经理</t>
        </is>
      </c>
      <c r="H597" s="10" t="inlineStr">
        <is>
          <t>000-0000-0593</t>
        </is>
      </c>
      <c r="I597" s="10" t="inlineStr">
        <is>
          <t>DEMO_GYS_0593</t>
        </is>
      </c>
      <c r="J597" s="11" t="n">
        <v>44.9</v>
      </c>
      <c r="K597" s="11" t="n">
        <v>53.2</v>
      </c>
      <c r="L597" s="12" t="n">
        <v>50</v>
      </c>
      <c r="M597" s="10" t="inlineStr">
        <is>
          <t>是</t>
        </is>
      </c>
      <c r="N597" s="10" t="inlineStr">
        <is>
          <t>是</t>
        </is>
      </c>
      <c r="O597" s="10" t="inlineStr">
        <is>
          <t>supplier0593@example.com</t>
        </is>
      </c>
      <c r="P597" s="10" t="inlineStr">
        <is>
          <t>https://example.com/supplier/0593</t>
        </is>
      </c>
      <c r="Q597" s="10">
        <f>IF(R597&gt;=85,"A",IF(R597&gt;=70,"B","C"))</f>
        <v/>
      </c>
      <c r="R597" s="13">
        <f>MIN(100,50+IF(M597="是",10,0)+IF(N597="是",10,0)+IF(L597&lt;=100,10,IF(L597&lt;=300,5,0))+IF(J597&lt;=20,10,IF(J597&lt;=50,5,0))+IF(K597-J597&lt;=20,5,0)+IF(F597="企业官网",5,0))</f>
        <v/>
      </c>
      <c r="S597" s="10">
        <f>IF(Q597="A","价格与起订量有优势，建议优先询盘",IF(Q597="B","条件较均衡，可作为备选","起订量或价格需要进一步确认"))</f>
        <v/>
      </c>
      <c r="T597" s="10" t="inlineStr">
        <is>
          <t>未联系</t>
        </is>
      </c>
      <c r="U597" s="10" t="inlineStr">
        <is>
          <t>虚构演示数据</t>
        </is>
      </c>
    </row>
    <row r="598" ht="21" customHeight="1">
      <c r="A598" s="10" t="inlineStr">
        <is>
          <t>GYS-0594</t>
        </is>
      </c>
      <c r="B598" s="10" t="inlineStr">
        <is>
          <t>佛山小家电供应链0594有限公司（演示）</t>
        </is>
      </c>
      <c r="C598" s="10" t="inlineStr">
        <is>
          <t>小家电</t>
        </is>
      </c>
      <c r="D598" s="10" t="inlineStr">
        <is>
          <t>迷你加湿器</t>
        </is>
      </c>
      <c r="E598" s="10" t="inlineStr">
        <is>
          <t>广东佛山</t>
        </is>
      </c>
      <c r="F598" s="10" t="inlineStr">
        <is>
          <t>1688</t>
        </is>
      </c>
      <c r="G598" s="10" t="inlineStr">
        <is>
          <t>张经理</t>
        </is>
      </c>
      <c r="H598" s="10" t="inlineStr">
        <is>
          <t>000-0000-0594</t>
        </is>
      </c>
      <c r="I598" s="10" t="inlineStr">
        <is>
          <t>DEMO_GYS_0594</t>
        </is>
      </c>
      <c r="J598" s="11" t="n">
        <v>46.6</v>
      </c>
      <c r="K598" s="11" t="n">
        <v>56</v>
      </c>
      <c r="L598" s="12" t="n">
        <v>20</v>
      </c>
      <c r="M598" s="10" t="inlineStr">
        <is>
          <t>是</t>
        </is>
      </c>
      <c r="N598" s="10" t="inlineStr">
        <is>
          <t>否</t>
        </is>
      </c>
      <c r="O598" s="10" t="inlineStr">
        <is>
          <t>supplier0594@example.com</t>
        </is>
      </c>
      <c r="P598" s="10" t="inlineStr">
        <is>
          <t>https://example.com/supplier/0594</t>
        </is>
      </c>
      <c r="Q598" s="10">
        <f>IF(R598&gt;=85,"A",IF(R598&gt;=70,"B","C"))</f>
        <v/>
      </c>
      <c r="R598" s="13">
        <f>MIN(100,50+IF(M598="是",10,0)+IF(N598="是",10,0)+IF(L598&lt;=100,10,IF(L598&lt;=300,5,0))+IF(J598&lt;=20,10,IF(J598&lt;=50,5,0))+IF(K598-J598&lt;=20,5,0)+IF(F598="企业官网",5,0))</f>
        <v/>
      </c>
      <c r="S598" s="10">
        <f>IF(Q598="A","价格与起订量有优势，建议优先询盘",IF(Q598="B","条件较均衡，可作为备选","起订量或价格需要进一步确认"))</f>
        <v/>
      </c>
      <c r="T598" s="10" t="inlineStr">
        <is>
          <t>未联系</t>
        </is>
      </c>
      <c r="U598" s="10" t="inlineStr">
        <is>
          <t>虚构演示数据</t>
        </is>
      </c>
    </row>
    <row r="599" ht="21" customHeight="1">
      <c r="A599" s="10" t="inlineStr">
        <is>
          <t>GYS-0595</t>
        </is>
      </c>
      <c r="B599" s="10" t="inlineStr">
        <is>
          <t>苏州礼品包装供应链0595有限公司（演示）</t>
        </is>
      </c>
      <c r="C599" s="10" t="inlineStr">
        <is>
          <t>礼品包装</t>
        </is>
      </c>
      <c r="D599" s="10" t="inlineStr">
        <is>
          <t>节日礼盒</t>
        </is>
      </c>
      <c r="E599" s="10" t="inlineStr">
        <is>
          <t>江苏苏州</t>
        </is>
      </c>
      <c r="F599" s="10" t="inlineStr">
        <is>
          <t>中国制造网</t>
        </is>
      </c>
      <c r="G599" s="10" t="inlineStr">
        <is>
          <t>刘经理</t>
        </is>
      </c>
      <c r="H599" s="10" t="inlineStr">
        <is>
          <t>000-0000-0595</t>
        </is>
      </c>
      <c r="I599" s="10" t="inlineStr">
        <is>
          <t>DEMO_GYS_0595</t>
        </is>
      </c>
      <c r="J599" s="11" t="n">
        <v>48.3</v>
      </c>
      <c r="K599" s="11" t="n">
        <v>58.8</v>
      </c>
      <c r="L599" s="12" t="n">
        <v>500</v>
      </c>
      <c r="M599" s="10" t="inlineStr">
        <is>
          <t>是</t>
        </is>
      </c>
      <c r="N599" s="10" t="inlineStr">
        <is>
          <t>是</t>
        </is>
      </c>
      <c r="O599" s="10" t="inlineStr">
        <is>
          <t>supplier0595@example.com</t>
        </is>
      </c>
      <c r="P599" s="10" t="inlineStr">
        <is>
          <t>https://example.com/supplier/0595</t>
        </is>
      </c>
      <c r="Q599" s="10">
        <f>IF(R599&gt;=85,"A",IF(R599&gt;=70,"B","C"))</f>
        <v/>
      </c>
      <c r="R599" s="13">
        <f>MIN(100,50+IF(M599="是",10,0)+IF(N599="是",10,0)+IF(L599&lt;=100,10,IF(L599&lt;=300,5,0))+IF(J599&lt;=20,10,IF(J599&lt;=50,5,0))+IF(K599-J599&lt;=20,5,0)+IF(F599="企业官网",5,0))</f>
        <v/>
      </c>
      <c r="S599" s="10">
        <f>IF(Q599="A","价格与起订量有优势，建议优先询盘",IF(Q599="B","条件较均衡，可作为备选","起订量或价格需要进一步确认"))</f>
        <v/>
      </c>
      <c r="T599" s="10" t="inlineStr">
        <is>
          <t>未联系</t>
        </is>
      </c>
      <c r="U599" s="10" t="inlineStr">
        <is>
          <t>虚构演示数据</t>
        </is>
      </c>
    </row>
    <row r="600" ht="21" customHeight="1">
      <c r="A600" s="10" t="inlineStr">
        <is>
          <t>GYS-0596</t>
        </is>
      </c>
      <c r="B600" s="10" t="inlineStr">
        <is>
          <t>白沟五金工具供应链0596有限公司（演示）</t>
        </is>
      </c>
      <c r="C600" s="10" t="inlineStr">
        <is>
          <t>五金工具</t>
        </is>
      </c>
      <c r="D600" s="10" t="inlineStr">
        <is>
          <t>多功能螺丝刀</t>
        </is>
      </c>
      <c r="E600" s="10" t="inlineStr">
        <is>
          <t>河北白沟</t>
        </is>
      </c>
      <c r="F600" s="10" t="inlineStr">
        <is>
          <t>企业官网</t>
        </is>
      </c>
      <c r="G600" s="10" t="inlineStr">
        <is>
          <t>黄经理</t>
        </is>
      </c>
      <c r="H600" s="10" t="inlineStr">
        <is>
          <t>000-0000-0596</t>
        </is>
      </c>
      <c r="I600" s="10" t="inlineStr">
        <is>
          <t>DEMO_GYS_0596</t>
        </is>
      </c>
      <c r="J600" s="11" t="n">
        <v>4</v>
      </c>
      <c r="K600" s="11" t="n">
        <v>15.6</v>
      </c>
      <c r="L600" s="12" t="n">
        <v>300</v>
      </c>
      <c r="M600" s="10" t="inlineStr">
        <is>
          <t>否</t>
        </is>
      </c>
      <c r="N600" s="10" t="inlineStr">
        <is>
          <t>是</t>
        </is>
      </c>
      <c r="O600" s="10" t="inlineStr">
        <is>
          <t>supplier0596@example.com</t>
        </is>
      </c>
      <c r="P600" s="10" t="inlineStr">
        <is>
          <t>https://example.com/supplier/0596</t>
        </is>
      </c>
      <c r="Q600" s="10">
        <f>IF(R600&gt;=85,"A",IF(R600&gt;=70,"B","C"))</f>
        <v/>
      </c>
      <c r="R600" s="13">
        <f>MIN(100,50+IF(M600="是",10,0)+IF(N600="是",10,0)+IF(L600&lt;=100,10,IF(L600&lt;=300,5,0))+IF(J600&lt;=20,10,IF(J600&lt;=50,5,0))+IF(K600-J600&lt;=20,5,0)+IF(F600="企业官网",5,0))</f>
        <v/>
      </c>
      <c r="S600" s="10">
        <f>IF(Q600="A","价格与起订量有优势，建议优先询盘",IF(Q600="B","条件较均衡，可作为备选","起订量或价格需要进一步确认"))</f>
        <v/>
      </c>
      <c r="T600" s="10" t="inlineStr">
        <is>
          <t>未联系</t>
        </is>
      </c>
      <c r="U600" s="10" t="inlineStr">
        <is>
          <t>虚构演示数据</t>
        </is>
      </c>
    </row>
    <row r="601" ht="21" customHeight="1">
      <c r="A601" s="10" t="inlineStr">
        <is>
          <t>GYS-0597</t>
        </is>
      </c>
      <c r="B601" s="10" t="inlineStr">
        <is>
          <t>义乌鞋靴配件供应链0597有限公司（演示）</t>
        </is>
      </c>
      <c r="C601" s="10" t="inlineStr">
        <is>
          <t>鞋靴配件</t>
        </is>
      </c>
      <c r="D601" s="10" t="inlineStr">
        <is>
          <t>防磨脚贴</t>
        </is>
      </c>
      <c r="E601" s="10" t="inlineStr">
        <is>
          <t>浙江义乌</t>
        </is>
      </c>
      <c r="F601" s="10" t="inlineStr">
        <is>
          <t>义乌购</t>
        </is>
      </c>
      <c r="G601" s="10" t="inlineStr">
        <is>
          <t>赵经理</t>
        </is>
      </c>
      <c r="H601" s="10" t="inlineStr">
        <is>
          <t>000-0000-0597</t>
        </is>
      </c>
      <c r="I601" s="10" t="inlineStr">
        <is>
          <t>DEMO_GYS_0597</t>
        </is>
      </c>
      <c r="J601" s="11" t="n">
        <v>5.7</v>
      </c>
      <c r="K601" s="11" t="n">
        <v>18.4</v>
      </c>
      <c r="L601" s="12" t="n">
        <v>200</v>
      </c>
      <c r="M601" s="10" t="inlineStr">
        <is>
          <t>是</t>
        </is>
      </c>
      <c r="N601" s="10" t="inlineStr">
        <is>
          <t>否</t>
        </is>
      </c>
      <c r="O601" s="10" t="inlineStr">
        <is>
          <t>supplier0597@example.com</t>
        </is>
      </c>
      <c r="P601" s="10" t="inlineStr">
        <is>
          <t>https://example.com/supplier/0597</t>
        </is>
      </c>
      <c r="Q601" s="10">
        <f>IF(R601&gt;=85,"A",IF(R601&gt;=70,"B","C"))</f>
        <v/>
      </c>
      <c r="R601" s="13">
        <f>MIN(100,50+IF(M601="是",10,0)+IF(N601="是",10,0)+IF(L601&lt;=100,10,IF(L601&lt;=300,5,0))+IF(J601&lt;=20,10,IF(J601&lt;=50,5,0))+IF(K601-J601&lt;=20,5,0)+IF(F601="企业官网",5,0))</f>
        <v/>
      </c>
      <c r="S601" s="10">
        <f>IF(Q601="A","价格与起订量有优势，建议优先询盘",IF(Q601="B","条件较均衡，可作为备选","起订量或价格需要进一步确认"))</f>
        <v/>
      </c>
      <c r="T601" s="10" t="inlineStr">
        <is>
          <t>未联系</t>
        </is>
      </c>
      <c r="U601" s="10" t="inlineStr">
        <is>
          <t>虚构演示数据</t>
        </is>
      </c>
    </row>
    <row r="602" ht="21" customHeight="1">
      <c r="A602" s="10" t="inlineStr">
        <is>
          <t>GYS-0598</t>
        </is>
      </c>
      <c r="B602" s="10" t="inlineStr">
        <is>
          <t>台州食品包装供应链0598有限公司（演示）</t>
        </is>
      </c>
      <c r="C602" s="10" t="inlineStr">
        <is>
          <t>食品包装</t>
        </is>
      </c>
      <c r="D602" s="10" t="inlineStr">
        <is>
          <t>密封包装袋</t>
        </is>
      </c>
      <c r="E602" s="10" t="inlineStr">
        <is>
          <t>浙江台州</t>
        </is>
      </c>
      <c r="F602" s="10" t="inlineStr">
        <is>
          <t>慧聪网</t>
        </is>
      </c>
      <c r="G602" s="10" t="inlineStr">
        <is>
          <t>周经理</t>
        </is>
      </c>
      <c r="H602" s="10" t="inlineStr">
        <is>
          <t>000-0000-0598</t>
        </is>
      </c>
      <c r="I602" s="10" t="inlineStr">
        <is>
          <t>DEMO_GYS_0598</t>
        </is>
      </c>
      <c r="J602" s="11" t="n">
        <v>7.4</v>
      </c>
      <c r="K602" s="11" t="n">
        <v>21.2</v>
      </c>
      <c r="L602" s="12" t="n">
        <v>100</v>
      </c>
      <c r="M602" s="10" t="inlineStr">
        <is>
          <t>是</t>
        </is>
      </c>
      <c r="N602" s="10" t="inlineStr">
        <is>
          <t>是</t>
        </is>
      </c>
      <c r="O602" s="10" t="inlineStr">
        <is>
          <t>supplier0598@example.com</t>
        </is>
      </c>
      <c r="P602" s="10" t="inlineStr">
        <is>
          <t>https://example.com/supplier/0598</t>
        </is>
      </c>
      <c r="Q602" s="10">
        <f>IF(R602&gt;=85,"A",IF(R602&gt;=70,"B","C"))</f>
        <v/>
      </c>
      <c r="R602" s="13">
        <f>MIN(100,50+IF(M602="是",10,0)+IF(N602="是",10,0)+IF(L602&lt;=100,10,IF(L602&lt;=300,5,0))+IF(J602&lt;=20,10,IF(J602&lt;=50,5,0))+IF(K602-J602&lt;=20,5,0)+IF(F602="企业官网",5,0))</f>
        <v/>
      </c>
      <c r="S602" s="10">
        <f>IF(Q602="A","价格与起订量有优势，建议优先询盘",IF(Q602="B","条件较均衡，可作为备选","起订量或价格需要进一步确认"))</f>
        <v/>
      </c>
      <c r="T602" s="10" t="inlineStr">
        <is>
          <t>未联系</t>
        </is>
      </c>
      <c r="U602" s="10" t="inlineStr">
        <is>
          <t>虚构演示数据</t>
        </is>
      </c>
    </row>
    <row r="603" ht="21" customHeight="1">
      <c r="A603" s="10" t="inlineStr">
        <is>
          <t>GYS-0599</t>
        </is>
      </c>
      <c r="B603" s="10" t="inlineStr">
        <is>
          <t>东莞户外照明供应链0599有限公司（演示）</t>
        </is>
      </c>
      <c r="C603" s="10" t="inlineStr">
        <is>
          <t>户外照明</t>
        </is>
      </c>
      <c r="D603" s="10" t="inlineStr">
        <is>
          <t>便携露营灯</t>
        </is>
      </c>
      <c r="E603" s="10" t="inlineStr">
        <is>
          <t>广东东莞</t>
        </is>
      </c>
      <c r="F603" s="10" t="inlineStr">
        <is>
          <t>1688</t>
        </is>
      </c>
      <c r="G603" s="10" t="inlineStr">
        <is>
          <t>吴经理</t>
        </is>
      </c>
      <c r="H603" s="10" t="inlineStr">
        <is>
          <t>000-0000-0599</t>
        </is>
      </c>
      <c r="I603" s="10" t="inlineStr">
        <is>
          <t>DEMO_GYS_0599</t>
        </is>
      </c>
      <c r="J603" s="11" t="n">
        <v>9.1</v>
      </c>
      <c r="K603" s="11" t="n">
        <v>24</v>
      </c>
      <c r="L603" s="12" t="n">
        <v>50</v>
      </c>
      <c r="M603" s="10" t="inlineStr">
        <is>
          <t>是</t>
        </is>
      </c>
      <c r="N603" s="10" t="inlineStr">
        <is>
          <t>是</t>
        </is>
      </c>
      <c r="O603" s="10" t="inlineStr">
        <is>
          <t>supplier0599@example.com</t>
        </is>
      </c>
      <c r="P603" s="10" t="inlineStr">
        <is>
          <t>https://example.com/supplier/0599</t>
        </is>
      </c>
      <c r="Q603" s="10">
        <f>IF(R603&gt;=85,"A",IF(R603&gt;=70,"B","C"))</f>
        <v/>
      </c>
      <c r="R603" s="13">
        <f>MIN(100,50+IF(M603="是",10,0)+IF(N603="是",10,0)+IF(L603&lt;=100,10,IF(L603&lt;=300,5,0))+IF(J603&lt;=20,10,IF(J603&lt;=50,5,0))+IF(K603-J603&lt;=20,5,0)+IF(F603="企业官网",5,0))</f>
        <v/>
      </c>
      <c r="S603" s="10">
        <f>IF(Q603="A","价格与起订量有优势，建议优先询盘",IF(Q603="B","条件较均衡，可作为备选","起订量或价格需要进一步确认"))</f>
        <v/>
      </c>
      <c r="T603" s="10" t="inlineStr">
        <is>
          <t>未联系</t>
        </is>
      </c>
      <c r="U603" s="10" t="inlineStr">
        <is>
          <t>虚构演示数据</t>
        </is>
      </c>
    </row>
    <row r="604" ht="21" customHeight="1">
      <c r="A604" s="10" t="inlineStr">
        <is>
          <t>GYS-0600</t>
        </is>
      </c>
      <c r="B604" s="10" t="inlineStr">
        <is>
          <t>厦门健康用品供应链0600有限公司（演示）</t>
        </is>
      </c>
      <c r="C604" s="10" t="inlineStr">
        <is>
          <t>健康用品</t>
        </is>
      </c>
      <c r="D604" s="10" t="inlineStr">
        <is>
          <t>热敷眼罩</t>
        </is>
      </c>
      <c r="E604" s="10" t="inlineStr">
        <is>
          <t>福建厦门</t>
        </is>
      </c>
      <c r="F604" s="10" t="inlineStr">
        <is>
          <t>中国制造网</t>
        </is>
      </c>
      <c r="G604" s="10" t="inlineStr">
        <is>
          <t>陈经理</t>
        </is>
      </c>
      <c r="H604" s="10" t="inlineStr">
        <is>
          <t>000-0000-0600</t>
        </is>
      </c>
      <c r="I604" s="10" t="inlineStr">
        <is>
          <t>DEMO_GYS_0600</t>
        </is>
      </c>
      <c r="J604" s="11" t="n">
        <v>10.8</v>
      </c>
      <c r="K604" s="11" t="n">
        <v>26.8</v>
      </c>
      <c r="L604" s="12" t="n">
        <v>20</v>
      </c>
      <c r="M604" s="10" t="inlineStr">
        <is>
          <t>否</t>
        </is>
      </c>
      <c r="N604" s="10" t="inlineStr">
        <is>
          <t>否</t>
        </is>
      </c>
      <c r="O604" s="10" t="inlineStr">
        <is>
          <t>supplier0600@example.com</t>
        </is>
      </c>
      <c r="P604" s="10" t="inlineStr">
        <is>
          <t>https://example.com/supplier/0600</t>
        </is>
      </c>
      <c r="Q604" s="10">
        <f>IF(R604&gt;=85,"A",IF(R604&gt;=70,"B","C"))</f>
        <v/>
      </c>
      <c r="R604" s="13">
        <f>MIN(100,50+IF(M604="是",10,0)+IF(N604="是",10,0)+IF(L604&lt;=100,10,IF(L604&lt;=300,5,0))+IF(J604&lt;=20,10,IF(J604&lt;=50,5,0))+IF(K604-J604&lt;=20,5,0)+IF(F604="企业官网",5,0))</f>
        <v/>
      </c>
      <c r="S604" s="10">
        <f>IF(Q604="A","价格与起订量有优势，建议优先询盘",IF(Q604="B","条件较均衡，可作为备选","起订量或价格需要进一步确认"))</f>
        <v/>
      </c>
      <c r="T604" s="10" t="inlineStr">
        <is>
          <t>未联系</t>
        </is>
      </c>
      <c r="U604" s="10" t="inlineStr">
        <is>
          <t>虚构演示数据</t>
        </is>
      </c>
    </row>
    <row r="605" ht="21" customHeight="1">
      <c r="A605" s="10" t="inlineStr">
        <is>
          <t>GYS-0601</t>
        </is>
      </c>
      <c r="B605" s="10" t="inlineStr">
        <is>
          <t>临沂服饰内衣供应链0601有限公司（演示）</t>
        </is>
      </c>
      <c r="C605" s="10" t="inlineStr">
        <is>
          <t>服饰内衣</t>
        </is>
      </c>
      <c r="D605" s="10" t="inlineStr">
        <is>
          <t>防滑袜</t>
        </is>
      </c>
      <c r="E605" s="10" t="inlineStr">
        <is>
          <t>山东临沂</t>
        </is>
      </c>
      <c r="F605" s="10" t="inlineStr">
        <is>
          <t>企业官网</t>
        </is>
      </c>
      <c r="G605" s="10" t="inlineStr">
        <is>
          <t>林经理</t>
        </is>
      </c>
      <c r="H605" s="10" t="inlineStr">
        <is>
          <t>000-0000-0601</t>
        </is>
      </c>
      <c r="I605" s="10" t="inlineStr">
        <is>
          <t>DEMO_GYS_0601</t>
        </is>
      </c>
      <c r="J605" s="11" t="n">
        <v>12.5</v>
      </c>
      <c r="K605" s="11" t="n">
        <v>29.6</v>
      </c>
      <c r="L605" s="12" t="n">
        <v>500</v>
      </c>
      <c r="M605" s="10" t="inlineStr">
        <is>
          <t>是</t>
        </is>
      </c>
      <c r="N605" s="10" t="inlineStr">
        <is>
          <t>是</t>
        </is>
      </c>
      <c r="O605" s="10" t="inlineStr">
        <is>
          <t>supplier0601@example.com</t>
        </is>
      </c>
      <c r="P605" s="10" t="inlineStr">
        <is>
          <t>https://example.com/supplier/0601</t>
        </is>
      </c>
      <c r="Q605" s="10">
        <f>IF(R605&gt;=85,"A",IF(R605&gt;=70,"B","C"))</f>
        <v/>
      </c>
      <c r="R605" s="13">
        <f>MIN(100,50+IF(M605="是",10,0)+IF(N605="是",10,0)+IF(L605&lt;=100,10,IF(L605&lt;=300,5,0))+IF(J605&lt;=20,10,IF(J605&lt;=50,5,0))+IF(K605-J605&lt;=20,5,0)+IF(F605="企业官网",5,0))</f>
        <v/>
      </c>
      <c r="S605" s="10">
        <f>IF(Q605="A","价格与起订量有优势，建议优先询盘",IF(Q605="B","条件较均衡，可作为备选","起订量或价格需要进一步确认"))</f>
        <v/>
      </c>
      <c r="T605" s="10" t="inlineStr">
        <is>
          <t>未联系</t>
        </is>
      </c>
      <c r="U605" s="10" t="inlineStr">
        <is>
          <t>虚构演示数据</t>
        </is>
      </c>
    </row>
    <row r="606" ht="21" customHeight="1">
      <c r="A606" s="10" t="inlineStr">
        <is>
          <t>GYS-0602</t>
        </is>
      </c>
      <c r="B606" s="10" t="inlineStr">
        <is>
          <t>南昌家居日用供应链0602有限公司（演示）</t>
        </is>
      </c>
      <c r="C606" s="10" t="inlineStr">
        <is>
          <t>家居日用</t>
        </is>
      </c>
      <c r="D606" s="10" t="inlineStr">
        <is>
          <t>折叠收纳箱</t>
        </is>
      </c>
      <c r="E606" s="10" t="inlineStr">
        <is>
          <t>江西南昌</t>
        </is>
      </c>
      <c r="F606" s="10" t="inlineStr">
        <is>
          <t>义乌购</t>
        </is>
      </c>
      <c r="G606" s="10" t="inlineStr">
        <is>
          <t>王经理</t>
        </is>
      </c>
      <c r="H606" s="10" t="inlineStr">
        <is>
          <t>000-0000-0602</t>
        </is>
      </c>
      <c r="I606" s="10" t="inlineStr">
        <is>
          <t>DEMO_GYS_0602</t>
        </is>
      </c>
      <c r="J606" s="11" t="n">
        <v>14.2</v>
      </c>
      <c r="K606" s="11" t="n">
        <v>32.4</v>
      </c>
      <c r="L606" s="12" t="n">
        <v>300</v>
      </c>
      <c r="M606" s="10" t="inlineStr">
        <is>
          <t>是</t>
        </is>
      </c>
      <c r="N606" s="10" t="inlineStr">
        <is>
          <t>是</t>
        </is>
      </c>
      <c r="O606" s="10" t="inlineStr">
        <is>
          <t>supplier0602@example.com</t>
        </is>
      </c>
      <c r="P606" s="10" t="inlineStr">
        <is>
          <t>https://example.com/supplier/0602</t>
        </is>
      </c>
      <c r="Q606" s="10">
        <f>IF(R606&gt;=85,"A",IF(R606&gt;=70,"B","C"))</f>
        <v/>
      </c>
      <c r="R606" s="13">
        <f>MIN(100,50+IF(M606="是",10,0)+IF(N606="是",10,0)+IF(L606&lt;=100,10,IF(L606&lt;=300,5,0))+IF(J606&lt;=20,10,IF(J606&lt;=50,5,0))+IF(K606-J606&lt;=20,5,0)+IF(F606="企业官网",5,0))</f>
        <v/>
      </c>
      <c r="S606" s="10">
        <f>IF(Q606="A","价格与起订量有优势，建议优先询盘",IF(Q606="B","条件较均衡，可作为备选","起订量或价格需要进一步确认"))</f>
        <v/>
      </c>
      <c r="T606" s="10" t="inlineStr">
        <is>
          <t>未联系</t>
        </is>
      </c>
      <c r="U606" s="10" t="inlineStr">
        <is>
          <t>虚构演示数据</t>
        </is>
      </c>
    </row>
    <row r="607" ht="21" customHeight="1">
      <c r="A607" s="10" t="inlineStr">
        <is>
          <t>GYS-0603</t>
        </is>
      </c>
      <c r="B607" s="10" t="inlineStr">
        <is>
          <t>温州个护清洁供应链0603有限公司（演示）</t>
        </is>
      </c>
      <c r="C607" s="10" t="inlineStr">
        <is>
          <t>个护清洁</t>
        </is>
      </c>
      <c r="D607" s="10" t="inlineStr">
        <is>
          <t>便携洗脸巾</t>
        </is>
      </c>
      <c r="E607" s="10" t="inlineStr">
        <is>
          <t>浙江温州</t>
        </is>
      </c>
      <c r="F607" s="10" t="inlineStr">
        <is>
          <t>慧聪网</t>
        </is>
      </c>
      <c r="G607" s="10" t="inlineStr">
        <is>
          <t>李经理</t>
        </is>
      </c>
      <c r="H607" s="10" t="inlineStr">
        <is>
          <t>000-0000-0603</t>
        </is>
      </c>
      <c r="I607" s="10" t="inlineStr">
        <is>
          <t>DEMO_GYS_0603</t>
        </is>
      </c>
      <c r="J607" s="11" t="n">
        <v>15.9</v>
      </c>
      <c r="K607" s="11" t="n">
        <v>35.2</v>
      </c>
      <c r="L607" s="12" t="n">
        <v>200</v>
      </c>
      <c r="M607" s="10" t="inlineStr">
        <is>
          <t>是</t>
        </is>
      </c>
      <c r="N607" s="10" t="inlineStr">
        <is>
          <t>否</t>
        </is>
      </c>
      <c r="O607" s="10" t="inlineStr">
        <is>
          <t>supplier0603@example.com</t>
        </is>
      </c>
      <c r="P607" s="10" t="inlineStr">
        <is>
          <t>https://example.com/supplier/0603</t>
        </is>
      </c>
      <c r="Q607" s="10">
        <f>IF(R607&gt;=85,"A",IF(R607&gt;=70,"B","C"))</f>
        <v/>
      </c>
      <c r="R607" s="13">
        <f>MIN(100,50+IF(M607="是",10,0)+IF(N607="是",10,0)+IF(L607&lt;=100,10,IF(L607&lt;=300,5,0))+IF(J607&lt;=20,10,IF(J607&lt;=50,5,0))+IF(K607-J607&lt;=20,5,0)+IF(F607="企业官网",5,0))</f>
        <v/>
      </c>
      <c r="S607" s="10">
        <f>IF(Q607="A","价格与起订量有优势，建议优先询盘",IF(Q607="B","条件较均衡，可作为备选","起订量或价格需要进一步确认"))</f>
        <v/>
      </c>
      <c r="T607" s="10" t="inlineStr">
        <is>
          <t>未联系</t>
        </is>
      </c>
      <c r="U607" s="10" t="inlineStr">
        <is>
          <t>虚构演示数据</t>
        </is>
      </c>
    </row>
    <row r="608" ht="21" customHeight="1">
      <c r="A608" s="10" t="inlineStr">
        <is>
          <t>GYS-0604</t>
        </is>
      </c>
      <c r="B608" s="10" t="inlineStr">
        <is>
          <t>广州厨房用品供应链0604有限公司（演示）</t>
        </is>
      </c>
      <c r="C608" s="10" t="inlineStr">
        <is>
          <t>厨房用品</t>
        </is>
      </c>
      <c r="D608" s="10" t="inlineStr">
        <is>
          <t>硅胶保鲜盒</t>
        </is>
      </c>
      <c r="E608" s="10" t="inlineStr">
        <is>
          <t>广东广州</t>
        </is>
      </c>
      <c r="F608" s="10" t="inlineStr">
        <is>
          <t>1688</t>
        </is>
      </c>
      <c r="G608" s="10" t="inlineStr">
        <is>
          <t>张经理</t>
        </is>
      </c>
      <c r="H608" s="10" t="inlineStr">
        <is>
          <t>000-0000-0604</t>
        </is>
      </c>
      <c r="I608" s="10" t="inlineStr">
        <is>
          <t>DEMO_GYS_0604</t>
        </is>
      </c>
      <c r="J608" s="11" t="n">
        <v>17.6</v>
      </c>
      <c r="K608" s="11" t="n">
        <v>38</v>
      </c>
      <c r="L608" s="12" t="n">
        <v>100</v>
      </c>
      <c r="M608" s="10" t="inlineStr">
        <is>
          <t>否</t>
        </is>
      </c>
      <c r="N608" s="10" t="inlineStr">
        <is>
          <t>是</t>
        </is>
      </c>
      <c r="O608" s="10" t="inlineStr">
        <is>
          <t>supplier0604@example.com</t>
        </is>
      </c>
      <c r="P608" s="10" t="inlineStr">
        <is>
          <t>https://example.com/supplier/0604</t>
        </is>
      </c>
      <c r="Q608" s="10">
        <f>IF(R608&gt;=85,"A",IF(R608&gt;=70,"B","C"))</f>
        <v/>
      </c>
      <c r="R608" s="13">
        <f>MIN(100,50+IF(M608="是",10,0)+IF(N608="是",10,0)+IF(L608&lt;=100,10,IF(L608&lt;=300,5,0))+IF(J608&lt;=20,10,IF(J608&lt;=50,5,0))+IF(K608-J608&lt;=20,5,0)+IF(F608="企业官网",5,0))</f>
        <v/>
      </c>
      <c r="S608" s="10">
        <f>IF(Q608="A","价格与起订量有优势，建议优先询盘",IF(Q608="B","条件较均衡，可作为备选","起订量或价格需要进一步确认"))</f>
        <v/>
      </c>
      <c r="T608" s="10" t="inlineStr">
        <is>
          <t>未联系</t>
        </is>
      </c>
      <c r="U608" s="10" t="inlineStr">
        <is>
          <t>虚构演示数据</t>
        </is>
      </c>
    </row>
    <row r="609" ht="21" customHeight="1">
      <c r="A609" s="10" t="inlineStr">
        <is>
          <t>GYS-0605</t>
        </is>
      </c>
      <c r="B609" s="10" t="inlineStr">
        <is>
          <t>泉州数码配件供应链0605有限公司（演示）</t>
        </is>
      </c>
      <c r="C609" s="10" t="inlineStr">
        <is>
          <t>数码配件</t>
        </is>
      </c>
      <c r="D609" s="10" t="inlineStr">
        <is>
          <t>磁吸手机支架</t>
        </is>
      </c>
      <c r="E609" s="10" t="inlineStr">
        <is>
          <t>福建泉州</t>
        </is>
      </c>
      <c r="F609" s="10" t="inlineStr">
        <is>
          <t>中国制造网</t>
        </is>
      </c>
      <c r="G609" s="10" t="inlineStr">
        <is>
          <t>刘经理</t>
        </is>
      </c>
      <c r="H609" s="10" t="inlineStr">
        <is>
          <t>000-0000-0605</t>
        </is>
      </c>
      <c r="I609" s="10" t="inlineStr">
        <is>
          <t>DEMO_GYS_0605</t>
        </is>
      </c>
      <c r="J609" s="11" t="n">
        <v>19.3</v>
      </c>
      <c r="K609" s="11" t="n">
        <v>40.8</v>
      </c>
      <c r="L609" s="12" t="n">
        <v>50</v>
      </c>
      <c r="M609" s="10" t="inlineStr">
        <is>
          <t>是</t>
        </is>
      </c>
      <c r="N609" s="10" t="inlineStr">
        <is>
          <t>是</t>
        </is>
      </c>
      <c r="O609" s="10" t="inlineStr">
        <is>
          <t>supplier0605@example.com</t>
        </is>
      </c>
      <c r="P609" s="10" t="inlineStr">
        <is>
          <t>https://example.com/supplier/0605</t>
        </is>
      </c>
      <c r="Q609" s="10">
        <f>IF(R609&gt;=85,"A",IF(R609&gt;=70,"B","C"))</f>
        <v/>
      </c>
      <c r="R609" s="13">
        <f>MIN(100,50+IF(M609="是",10,0)+IF(N609="是",10,0)+IF(L609&lt;=100,10,IF(L609&lt;=300,5,0))+IF(J609&lt;=20,10,IF(J609&lt;=50,5,0))+IF(K609-J609&lt;=20,5,0)+IF(F609="企业官网",5,0))</f>
        <v/>
      </c>
      <c r="S609" s="10">
        <f>IF(Q609="A","价格与起订量有优势，建议优先询盘",IF(Q609="B","条件较均衡，可作为备选","起订量或价格需要进一步确认"))</f>
        <v/>
      </c>
      <c r="T609" s="10" t="inlineStr">
        <is>
          <t>未联系</t>
        </is>
      </c>
      <c r="U609" s="10" t="inlineStr">
        <is>
          <t>虚构演示数据</t>
        </is>
      </c>
    </row>
    <row r="610" ht="21" customHeight="1">
      <c r="A610" s="10" t="inlineStr">
        <is>
          <t>GYS-0606</t>
        </is>
      </c>
      <c r="B610" s="10" t="inlineStr">
        <is>
          <t>南通宠物用品供应链0606有限公司（演示）</t>
        </is>
      </c>
      <c r="C610" s="10" t="inlineStr">
        <is>
          <t>宠物用品</t>
        </is>
      </c>
      <c r="D610" s="10" t="inlineStr">
        <is>
          <t>宠物清洁手套</t>
        </is>
      </c>
      <c r="E610" s="10" t="inlineStr">
        <is>
          <t>江苏南通</t>
        </is>
      </c>
      <c r="F610" s="10" t="inlineStr">
        <is>
          <t>企业官网</t>
        </is>
      </c>
      <c r="G610" s="10" t="inlineStr">
        <is>
          <t>黄经理</t>
        </is>
      </c>
      <c r="H610" s="10" t="inlineStr">
        <is>
          <t>000-0000-0606</t>
        </is>
      </c>
      <c r="I610" s="10" t="inlineStr">
        <is>
          <t>DEMO_GYS_0606</t>
        </is>
      </c>
      <c r="J610" s="11" t="n">
        <v>21</v>
      </c>
      <c r="K610" s="11" t="n">
        <v>25.6</v>
      </c>
      <c r="L610" s="12" t="n">
        <v>20</v>
      </c>
      <c r="M610" s="10" t="inlineStr">
        <is>
          <t>是</t>
        </is>
      </c>
      <c r="N610" s="10" t="inlineStr">
        <is>
          <t>否</t>
        </is>
      </c>
      <c r="O610" s="10" t="inlineStr">
        <is>
          <t>supplier0606@example.com</t>
        </is>
      </c>
      <c r="P610" s="10" t="inlineStr">
        <is>
          <t>https://example.com/supplier/0606</t>
        </is>
      </c>
      <c r="Q610" s="10">
        <f>IF(R610&gt;=85,"A",IF(R610&gt;=70,"B","C"))</f>
        <v/>
      </c>
      <c r="R610" s="13">
        <f>MIN(100,50+IF(M610="是",10,0)+IF(N610="是",10,0)+IF(L610&lt;=100,10,IF(L610&lt;=300,5,0))+IF(J610&lt;=20,10,IF(J610&lt;=50,5,0))+IF(K610-J610&lt;=20,5,0)+IF(F610="企业官网",5,0))</f>
        <v/>
      </c>
      <c r="S610" s="10">
        <f>IF(Q610="A","价格与起订量有优势，建议优先询盘",IF(Q610="B","条件较均衡，可作为备选","起订量或价格需要进一步确认"))</f>
        <v/>
      </c>
      <c r="T610" s="10" t="inlineStr">
        <is>
          <t>未联系</t>
        </is>
      </c>
      <c r="U610" s="10" t="inlineStr">
        <is>
          <t>虚构演示数据</t>
        </is>
      </c>
    </row>
    <row r="611" ht="21" customHeight="1">
      <c r="A611" s="10" t="inlineStr">
        <is>
          <t>GYS-0607</t>
        </is>
      </c>
      <c r="B611" s="10" t="inlineStr">
        <is>
          <t>郑州母婴用品供应链0607有限公司（演示）</t>
        </is>
      </c>
      <c r="C611" s="10" t="inlineStr">
        <is>
          <t>母婴用品</t>
        </is>
      </c>
      <c r="D611" s="10" t="inlineStr">
        <is>
          <t>婴儿防撞条</t>
        </is>
      </c>
      <c r="E611" s="10" t="inlineStr">
        <is>
          <t>河南郑州</t>
        </is>
      </c>
      <c r="F611" s="10" t="inlineStr">
        <is>
          <t>义乌购</t>
        </is>
      </c>
      <c r="G611" s="10" t="inlineStr">
        <is>
          <t>赵经理</t>
        </is>
      </c>
      <c r="H611" s="10" t="inlineStr">
        <is>
          <t>000-0000-0607</t>
        </is>
      </c>
      <c r="I611" s="10" t="inlineStr">
        <is>
          <t>DEMO_GYS_0607</t>
        </is>
      </c>
      <c r="J611" s="11" t="n">
        <v>22.7</v>
      </c>
      <c r="K611" s="11" t="n">
        <v>28.4</v>
      </c>
      <c r="L611" s="12" t="n">
        <v>500</v>
      </c>
      <c r="M611" s="10" t="inlineStr">
        <is>
          <t>是</t>
        </is>
      </c>
      <c r="N611" s="10" t="inlineStr">
        <is>
          <t>是</t>
        </is>
      </c>
      <c r="O611" s="10" t="inlineStr">
        <is>
          <t>supplier0607@example.com</t>
        </is>
      </c>
      <c r="P611" s="10" t="inlineStr">
        <is>
          <t>https://example.com/supplier/0607</t>
        </is>
      </c>
      <c r="Q611" s="10">
        <f>IF(R611&gt;=85,"A",IF(R611&gt;=70,"B","C"))</f>
        <v/>
      </c>
      <c r="R611" s="13">
        <f>MIN(100,50+IF(M611="是",10,0)+IF(N611="是",10,0)+IF(L611&lt;=100,10,IF(L611&lt;=300,5,0))+IF(J611&lt;=20,10,IF(J611&lt;=50,5,0))+IF(K611-J611&lt;=20,5,0)+IF(F611="企业官网",5,0))</f>
        <v/>
      </c>
      <c r="S611" s="10">
        <f>IF(Q611="A","价格与起订量有优势，建议优先询盘",IF(Q611="B","条件较均衡，可作为备选","起订量或价格需要进一步确认"))</f>
        <v/>
      </c>
      <c r="T611" s="10" t="inlineStr">
        <is>
          <t>未联系</t>
        </is>
      </c>
      <c r="U611" s="10" t="inlineStr">
        <is>
          <t>虚构演示数据</t>
        </is>
      </c>
    </row>
    <row r="612" ht="21" customHeight="1">
      <c r="A612" s="10" t="inlineStr">
        <is>
          <t>GYS-0608</t>
        </is>
      </c>
      <c r="B612" s="10" t="inlineStr">
        <is>
          <t>宁波运动户外供应链0608有限公司（演示）</t>
        </is>
      </c>
      <c r="C612" s="10" t="inlineStr">
        <is>
          <t>运动户外</t>
        </is>
      </c>
      <c r="D612" s="10" t="inlineStr">
        <is>
          <t>弹力训练带</t>
        </is>
      </c>
      <c r="E612" s="10" t="inlineStr">
        <is>
          <t>浙江宁波</t>
        </is>
      </c>
      <c r="F612" s="10" t="inlineStr">
        <is>
          <t>慧聪网</t>
        </is>
      </c>
      <c r="G612" s="10" t="inlineStr">
        <is>
          <t>周经理</t>
        </is>
      </c>
      <c r="H612" s="10" t="inlineStr">
        <is>
          <t>000-0000-0608</t>
        </is>
      </c>
      <c r="I612" s="10" t="inlineStr">
        <is>
          <t>DEMO_GYS_0608</t>
        </is>
      </c>
      <c r="J612" s="11" t="n">
        <v>24.4</v>
      </c>
      <c r="K612" s="11" t="n">
        <v>31.2</v>
      </c>
      <c r="L612" s="12" t="n">
        <v>300</v>
      </c>
      <c r="M612" s="10" t="inlineStr">
        <is>
          <t>否</t>
        </is>
      </c>
      <c r="N612" s="10" t="inlineStr">
        <is>
          <t>是</t>
        </is>
      </c>
      <c r="O612" s="10" t="inlineStr">
        <is>
          <t>supplier0608@example.com</t>
        </is>
      </c>
      <c r="P612" s="10" t="inlineStr">
        <is>
          <t>https://example.com/supplier/0608</t>
        </is>
      </c>
      <c r="Q612" s="10">
        <f>IF(R612&gt;=85,"A",IF(R612&gt;=70,"B","C"))</f>
        <v/>
      </c>
      <c r="R612" s="13">
        <f>MIN(100,50+IF(M612="是",10,0)+IF(N612="是",10,0)+IF(L612&lt;=100,10,IF(L612&lt;=300,5,0))+IF(J612&lt;=20,10,IF(J612&lt;=50,5,0))+IF(K612-J612&lt;=20,5,0)+IF(F612="企业官网",5,0))</f>
        <v/>
      </c>
      <c r="S612" s="10">
        <f>IF(Q612="A","价格与起订量有优势，建议优先询盘",IF(Q612="B","条件较均衡，可作为备选","起订量或价格需要进一步确认"))</f>
        <v/>
      </c>
      <c r="T612" s="10" t="inlineStr">
        <is>
          <t>未联系</t>
        </is>
      </c>
      <c r="U612" s="10" t="inlineStr">
        <is>
          <t>虚构演示数据</t>
        </is>
      </c>
    </row>
    <row r="613" ht="21" customHeight="1">
      <c r="A613" s="10" t="inlineStr">
        <is>
          <t>GYS-0609</t>
        </is>
      </c>
      <c r="B613" s="10" t="inlineStr">
        <is>
          <t>深圳办公文具供应链0609有限公司（演示）</t>
        </is>
      </c>
      <c r="C613" s="10" t="inlineStr">
        <is>
          <t>办公文具</t>
        </is>
      </c>
      <c r="D613" s="10" t="inlineStr">
        <is>
          <t>桌面收纳架</t>
        </is>
      </c>
      <c r="E613" s="10" t="inlineStr">
        <is>
          <t>广东深圳</t>
        </is>
      </c>
      <c r="F613" s="10" t="inlineStr">
        <is>
          <t>1688</t>
        </is>
      </c>
      <c r="G613" s="10" t="inlineStr">
        <is>
          <t>吴经理</t>
        </is>
      </c>
      <c r="H613" s="10" t="inlineStr">
        <is>
          <t>000-0000-0609</t>
        </is>
      </c>
      <c r="I613" s="10" t="inlineStr">
        <is>
          <t>DEMO_GYS_0609</t>
        </is>
      </c>
      <c r="J613" s="11" t="n">
        <v>26.1</v>
      </c>
      <c r="K613" s="11" t="n">
        <v>34</v>
      </c>
      <c r="L613" s="12" t="n">
        <v>200</v>
      </c>
      <c r="M613" s="10" t="inlineStr">
        <is>
          <t>是</t>
        </is>
      </c>
      <c r="N613" s="10" t="inlineStr">
        <is>
          <t>否</t>
        </is>
      </c>
      <c r="O613" s="10" t="inlineStr">
        <is>
          <t>supplier0609@example.com</t>
        </is>
      </c>
      <c r="P613" s="10" t="inlineStr">
        <is>
          <t>https://example.com/supplier/0609</t>
        </is>
      </c>
      <c r="Q613" s="10">
        <f>IF(R613&gt;=85,"A",IF(R613&gt;=70,"B","C"))</f>
        <v/>
      </c>
      <c r="R613" s="13">
        <f>MIN(100,50+IF(M613="是",10,0)+IF(N613="是",10,0)+IF(L613&lt;=100,10,IF(L613&lt;=300,5,0))+IF(J613&lt;=20,10,IF(J613&lt;=50,5,0))+IF(K613-J613&lt;=20,5,0)+IF(F613="企业官网",5,0))</f>
        <v/>
      </c>
      <c r="S613" s="10">
        <f>IF(Q613="A","价格与起订量有优势，建议优先询盘",IF(Q613="B","条件较均衡，可作为备选","起订量或价格需要进一步确认"))</f>
        <v/>
      </c>
      <c r="T613" s="10" t="inlineStr">
        <is>
          <t>未联系</t>
        </is>
      </c>
      <c r="U613" s="10" t="inlineStr">
        <is>
          <t>虚构演示数据</t>
        </is>
      </c>
    </row>
    <row r="614" ht="21" customHeight="1">
      <c r="A614" s="10" t="inlineStr">
        <is>
          <t>GYS-0610</t>
        </is>
      </c>
      <c r="B614" s="10" t="inlineStr">
        <is>
          <t>佛山汽车用品供应链0610有限公司（演示）</t>
        </is>
      </c>
      <c r="C614" s="10" t="inlineStr">
        <is>
          <t>汽车用品</t>
        </is>
      </c>
      <c r="D614" s="10" t="inlineStr">
        <is>
          <t>车载香薰</t>
        </is>
      </c>
      <c r="E614" s="10" t="inlineStr">
        <is>
          <t>广东佛山</t>
        </is>
      </c>
      <c r="F614" s="10" t="inlineStr">
        <is>
          <t>中国制造网</t>
        </is>
      </c>
      <c r="G614" s="10" t="inlineStr">
        <is>
          <t>陈经理</t>
        </is>
      </c>
      <c r="H614" s="10" t="inlineStr">
        <is>
          <t>000-0000-0610</t>
        </is>
      </c>
      <c r="I614" s="10" t="inlineStr">
        <is>
          <t>DEMO_GYS_0610</t>
        </is>
      </c>
      <c r="J614" s="11" t="n">
        <v>27.8</v>
      </c>
      <c r="K614" s="11" t="n">
        <v>36.8</v>
      </c>
      <c r="L614" s="12" t="n">
        <v>100</v>
      </c>
      <c r="M614" s="10" t="inlineStr">
        <is>
          <t>是</t>
        </is>
      </c>
      <c r="N614" s="10" t="inlineStr">
        <is>
          <t>是</t>
        </is>
      </c>
      <c r="O614" s="10" t="inlineStr">
        <is>
          <t>supplier0610@example.com</t>
        </is>
      </c>
      <c r="P614" s="10" t="inlineStr">
        <is>
          <t>https://example.com/supplier/0610</t>
        </is>
      </c>
      <c r="Q614" s="10">
        <f>IF(R614&gt;=85,"A",IF(R614&gt;=70,"B","C"))</f>
        <v/>
      </c>
      <c r="R614" s="13">
        <f>MIN(100,50+IF(M614="是",10,0)+IF(N614="是",10,0)+IF(L614&lt;=100,10,IF(L614&lt;=300,5,0))+IF(J614&lt;=20,10,IF(J614&lt;=50,5,0))+IF(K614-J614&lt;=20,5,0)+IF(F614="企业官网",5,0))</f>
        <v/>
      </c>
      <c r="S614" s="10">
        <f>IF(Q614="A","价格与起订量有优势，建议优先询盘",IF(Q614="B","条件较均衡，可作为备选","起订量或价格需要进一步确认"))</f>
        <v/>
      </c>
      <c r="T614" s="10" t="inlineStr">
        <is>
          <t>未联系</t>
        </is>
      </c>
      <c r="U614" s="10" t="inlineStr">
        <is>
          <t>虚构演示数据</t>
        </is>
      </c>
    </row>
    <row r="615" ht="21" customHeight="1">
      <c r="A615" s="10" t="inlineStr">
        <is>
          <t>GYS-0611</t>
        </is>
      </c>
      <c r="B615" s="10" t="inlineStr">
        <is>
          <t>苏州美容工具供应链0611有限公司（演示）</t>
        </is>
      </c>
      <c r="C615" s="10" t="inlineStr">
        <is>
          <t>美容工具</t>
        </is>
      </c>
      <c r="D615" s="10" t="inlineStr">
        <is>
          <t>便携化妆镜</t>
        </is>
      </c>
      <c r="E615" s="10" t="inlineStr">
        <is>
          <t>江苏苏州</t>
        </is>
      </c>
      <c r="F615" s="10" t="inlineStr">
        <is>
          <t>企业官网</t>
        </is>
      </c>
      <c r="G615" s="10" t="inlineStr">
        <is>
          <t>林经理</t>
        </is>
      </c>
      <c r="H615" s="10" t="inlineStr">
        <is>
          <t>000-0000-0611</t>
        </is>
      </c>
      <c r="I615" s="10" t="inlineStr">
        <is>
          <t>DEMO_GYS_0611</t>
        </is>
      </c>
      <c r="J615" s="11" t="n">
        <v>29.5</v>
      </c>
      <c r="K615" s="11" t="n">
        <v>39.6</v>
      </c>
      <c r="L615" s="12" t="n">
        <v>50</v>
      </c>
      <c r="M615" s="10" t="inlineStr">
        <is>
          <t>是</t>
        </is>
      </c>
      <c r="N615" s="10" t="inlineStr">
        <is>
          <t>是</t>
        </is>
      </c>
      <c r="O615" s="10" t="inlineStr">
        <is>
          <t>supplier0611@example.com</t>
        </is>
      </c>
      <c r="P615" s="10" t="inlineStr">
        <is>
          <t>https://example.com/supplier/0611</t>
        </is>
      </c>
      <c r="Q615" s="10">
        <f>IF(R615&gt;=85,"A",IF(R615&gt;=70,"B","C"))</f>
        <v/>
      </c>
      <c r="R615" s="13">
        <f>MIN(100,50+IF(M615="是",10,0)+IF(N615="是",10,0)+IF(L615&lt;=100,10,IF(L615&lt;=300,5,0))+IF(J615&lt;=20,10,IF(J615&lt;=50,5,0))+IF(K615-J615&lt;=20,5,0)+IF(F615="企业官网",5,0))</f>
        <v/>
      </c>
      <c r="S615" s="10">
        <f>IF(Q615="A","价格与起订量有优势，建议优先询盘",IF(Q615="B","条件较均衡，可作为备选","起订量或价格需要进一步确认"))</f>
        <v/>
      </c>
      <c r="T615" s="10" t="inlineStr">
        <is>
          <t>未联系</t>
        </is>
      </c>
      <c r="U615" s="10" t="inlineStr">
        <is>
          <t>虚构演示数据</t>
        </is>
      </c>
    </row>
    <row r="616" ht="21" customHeight="1">
      <c r="A616" s="10" t="inlineStr">
        <is>
          <t>GYS-0612</t>
        </is>
      </c>
      <c r="B616" s="10" t="inlineStr">
        <is>
          <t>白沟旅行用品供应链0612有限公司（演示）</t>
        </is>
      </c>
      <c r="C616" s="10" t="inlineStr">
        <is>
          <t>旅行用品</t>
        </is>
      </c>
      <c r="D616" s="10" t="inlineStr">
        <is>
          <t>压缩收纳袋</t>
        </is>
      </c>
      <c r="E616" s="10" t="inlineStr">
        <is>
          <t>河北白沟</t>
        </is>
      </c>
      <c r="F616" s="10" t="inlineStr">
        <is>
          <t>义乌购</t>
        </is>
      </c>
      <c r="G616" s="10" t="inlineStr">
        <is>
          <t>王经理</t>
        </is>
      </c>
      <c r="H616" s="10" t="inlineStr">
        <is>
          <t>000-0000-0612</t>
        </is>
      </c>
      <c r="I616" s="10" t="inlineStr">
        <is>
          <t>DEMO_GYS_0612</t>
        </is>
      </c>
      <c r="J616" s="11" t="n">
        <v>31.2</v>
      </c>
      <c r="K616" s="11" t="n">
        <v>42.4</v>
      </c>
      <c r="L616" s="12" t="n">
        <v>20</v>
      </c>
      <c r="M616" s="10" t="inlineStr">
        <is>
          <t>否</t>
        </is>
      </c>
      <c r="N616" s="10" t="inlineStr">
        <is>
          <t>否</t>
        </is>
      </c>
      <c r="O616" s="10" t="inlineStr">
        <is>
          <t>supplier0612@example.com</t>
        </is>
      </c>
      <c r="P616" s="10" t="inlineStr">
        <is>
          <t>https://example.com/supplier/0612</t>
        </is>
      </c>
      <c r="Q616" s="10">
        <f>IF(R616&gt;=85,"A",IF(R616&gt;=70,"B","C"))</f>
        <v/>
      </c>
      <c r="R616" s="13">
        <f>MIN(100,50+IF(M616="是",10,0)+IF(N616="是",10,0)+IF(L616&lt;=100,10,IF(L616&lt;=300,5,0))+IF(J616&lt;=20,10,IF(J616&lt;=50,5,0))+IF(K616-J616&lt;=20,5,0)+IF(F616="企业官网",5,0))</f>
        <v/>
      </c>
      <c r="S616" s="10">
        <f>IF(Q616="A","价格与起订量有优势，建议优先询盘",IF(Q616="B","条件较均衡，可作为备选","起订量或价格需要进一步确认"))</f>
        <v/>
      </c>
      <c r="T616" s="10" t="inlineStr">
        <is>
          <t>未联系</t>
        </is>
      </c>
      <c r="U616" s="10" t="inlineStr">
        <is>
          <t>虚构演示数据</t>
        </is>
      </c>
    </row>
    <row r="617" ht="21" customHeight="1">
      <c r="A617" s="10" t="inlineStr">
        <is>
          <t>GYS-0613</t>
        </is>
      </c>
      <c r="B617" s="10" t="inlineStr">
        <is>
          <t>义乌清洁工具供应链0613有限公司（演示）</t>
        </is>
      </c>
      <c r="C617" s="10" t="inlineStr">
        <is>
          <t>清洁工具</t>
        </is>
      </c>
      <c r="D617" s="10" t="inlineStr">
        <is>
          <t>免手洗拖把</t>
        </is>
      </c>
      <c r="E617" s="10" t="inlineStr">
        <is>
          <t>浙江义乌</t>
        </is>
      </c>
      <c r="F617" s="10" t="inlineStr">
        <is>
          <t>慧聪网</t>
        </is>
      </c>
      <c r="G617" s="10" t="inlineStr">
        <is>
          <t>李经理</t>
        </is>
      </c>
      <c r="H617" s="10" t="inlineStr">
        <is>
          <t>000-0000-0613</t>
        </is>
      </c>
      <c r="I617" s="10" t="inlineStr">
        <is>
          <t>DEMO_GYS_0613</t>
        </is>
      </c>
      <c r="J617" s="11" t="n">
        <v>32.9</v>
      </c>
      <c r="K617" s="11" t="n">
        <v>45.2</v>
      </c>
      <c r="L617" s="12" t="n">
        <v>500</v>
      </c>
      <c r="M617" s="10" t="inlineStr">
        <is>
          <t>是</t>
        </is>
      </c>
      <c r="N617" s="10" t="inlineStr">
        <is>
          <t>是</t>
        </is>
      </c>
      <c r="O617" s="10" t="inlineStr">
        <is>
          <t>supplier0613@example.com</t>
        </is>
      </c>
      <c r="P617" s="10" t="inlineStr">
        <is>
          <t>https://example.com/supplier/0613</t>
        </is>
      </c>
      <c r="Q617" s="10">
        <f>IF(R617&gt;=85,"A",IF(R617&gt;=70,"B","C"))</f>
        <v/>
      </c>
      <c r="R617" s="13">
        <f>MIN(100,50+IF(M617="是",10,0)+IF(N617="是",10,0)+IF(L617&lt;=100,10,IF(L617&lt;=300,5,0))+IF(J617&lt;=20,10,IF(J617&lt;=50,5,0))+IF(K617-J617&lt;=20,5,0)+IF(F617="企业官网",5,0))</f>
        <v/>
      </c>
      <c r="S617" s="10">
        <f>IF(Q617="A","价格与起订量有优势，建议优先询盘",IF(Q617="B","条件较均衡，可作为备选","起订量或价格需要进一步确认"))</f>
        <v/>
      </c>
      <c r="T617" s="10" t="inlineStr">
        <is>
          <t>未联系</t>
        </is>
      </c>
      <c r="U617" s="10" t="inlineStr">
        <is>
          <t>虚构演示数据</t>
        </is>
      </c>
    </row>
    <row r="618" ht="21" customHeight="1">
      <c r="A618" s="10" t="inlineStr">
        <is>
          <t>GYS-0614</t>
        </is>
      </c>
      <c r="B618" s="10" t="inlineStr">
        <is>
          <t>台州小家电供应链0614有限公司（演示）</t>
        </is>
      </c>
      <c r="C618" s="10" t="inlineStr">
        <is>
          <t>小家电</t>
        </is>
      </c>
      <c r="D618" s="10" t="inlineStr">
        <is>
          <t>迷你加湿器</t>
        </is>
      </c>
      <c r="E618" s="10" t="inlineStr">
        <is>
          <t>浙江台州</t>
        </is>
      </c>
      <c r="F618" s="10" t="inlineStr">
        <is>
          <t>1688</t>
        </is>
      </c>
      <c r="G618" s="10" t="inlineStr">
        <is>
          <t>张经理</t>
        </is>
      </c>
      <c r="H618" s="10" t="inlineStr">
        <is>
          <t>000-0000-0614</t>
        </is>
      </c>
      <c r="I618" s="10" t="inlineStr">
        <is>
          <t>DEMO_GYS_0614</t>
        </is>
      </c>
      <c r="J618" s="11" t="n">
        <v>34.6</v>
      </c>
      <c r="K618" s="11" t="n">
        <v>48</v>
      </c>
      <c r="L618" s="12" t="n">
        <v>300</v>
      </c>
      <c r="M618" s="10" t="inlineStr">
        <is>
          <t>是</t>
        </is>
      </c>
      <c r="N618" s="10" t="inlineStr">
        <is>
          <t>是</t>
        </is>
      </c>
      <c r="O618" s="10" t="inlineStr">
        <is>
          <t>supplier0614@example.com</t>
        </is>
      </c>
      <c r="P618" s="10" t="inlineStr">
        <is>
          <t>https://example.com/supplier/0614</t>
        </is>
      </c>
      <c r="Q618" s="10">
        <f>IF(R618&gt;=85,"A",IF(R618&gt;=70,"B","C"))</f>
        <v/>
      </c>
      <c r="R618" s="13">
        <f>MIN(100,50+IF(M618="是",10,0)+IF(N618="是",10,0)+IF(L618&lt;=100,10,IF(L618&lt;=300,5,0))+IF(J618&lt;=20,10,IF(J618&lt;=50,5,0))+IF(K618-J618&lt;=20,5,0)+IF(F618="企业官网",5,0))</f>
        <v/>
      </c>
      <c r="S618" s="10">
        <f>IF(Q618="A","价格与起订量有优势，建议优先询盘",IF(Q618="B","条件较均衡，可作为备选","起订量或价格需要进一步确认"))</f>
        <v/>
      </c>
      <c r="T618" s="10" t="inlineStr">
        <is>
          <t>未联系</t>
        </is>
      </c>
      <c r="U618" s="10" t="inlineStr">
        <is>
          <t>虚构演示数据</t>
        </is>
      </c>
    </row>
    <row r="619" ht="21" customHeight="1">
      <c r="A619" s="10" t="inlineStr">
        <is>
          <t>GYS-0615</t>
        </is>
      </c>
      <c r="B619" s="10" t="inlineStr">
        <is>
          <t>东莞礼品包装供应链0615有限公司（演示）</t>
        </is>
      </c>
      <c r="C619" s="10" t="inlineStr">
        <is>
          <t>礼品包装</t>
        </is>
      </c>
      <c r="D619" s="10" t="inlineStr">
        <is>
          <t>节日礼盒</t>
        </is>
      </c>
      <c r="E619" s="10" t="inlineStr">
        <is>
          <t>广东东莞</t>
        </is>
      </c>
      <c r="F619" s="10" t="inlineStr">
        <is>
          <t>中国制造网</t>
        </is>
      </c>
      <c r="G619" s="10" t="inlineStr">
        <is>
          <t>刘经理</t>
        </is>
      </c>
      <c r="H619" s="10" t="inlineStr">
        <is>
          <t>000-0000-0615</t>
        </is>
      </c>
      <c r="I619" s="10" t="inlineStr">
        <is>
          <t>DEMO_GYS_0615</t>
        </is>
      </c>
      <c r="J619" s="11" t="n">
        <v>36.3</v>
      </c>
      <c r="K619" s="11" t="n">
        <v>50.8</v>
      </c>
      <c r="L619" s="12" t="n">
        <v>200</v>
      </c>
      <c r="M619" s="10" t="inlineStr">
        <is>
          <t>是</t>
        </is>
      </c>
      <c r="N619" s="10" t="inlineStr">
        <is>
          <t>否</t>
        </is>
      </c>
      <c r="O619" s="10" t="inlineStr">
        <is>
          <t>supplier0615@example.com</t>
        </is>
      </c>
      <c r="P619" s="10" t="inlineStr">
        <is>
          <t>https://example.com/supplier/0615</t>
        </is>
      </c>
      <c r="Q619" s="10">
        <f>IF(R619&gt;=85,"A",IF(R619&gt;=70,"B","C"))</f>
        <v/>
      </c>
      <c r="R619" s="13">
        <f>MIN(100,50+IF(M619="是",10,0)+IF(N619="是",10,0)+IF(L619&lt;=100,10,IF(L619&lt;=300,5,0))+IF(J619&lt;=20,10,IF(J619&lt;=50,5,0))+IF(K619-J619&lt;=20,5,0)+IF(F619="企业官网",5,0))</f>
        <v/>
      </c>
      <c r="S619" s="10">
        <f>IF(Q619="A","价格与起订量有优势，建议优先询盘",IF(Q619="B","条件较均衡，可作为备选","起订量或价格需要进一步确认"))</f>
        <v/>
      </c>
      <c r="T619" s="10" t="inlineStr">
        <is>
          <t>未联系</t>
        </is>
      </c>
      <c r="U619" s="10" t="inlineStr">
        <is>
          <t>虚构演示数据</t>
        </is>
      </c>
    </row>
    <row r="620" ht="21" customHeight="1">
      <c r="A620" s="10" t="inlineStr">
        <is>
          <t>GYS-0616</t>
        </is>
      </c>
      <c r="B620" s="10" t="inlineStr">
        <is>
          <t>厦门五金工具供应链0616有限公司（演示）</t>
        </is>
      </c>
      <c r="C620" s="10" t="inlineStr">
        <is>
          <t>五金工具</t>
        </is>
      </c>
      <c r="D620" s="10" t="inlineStr">
        <is>
          <t>多功能螺丝刀</t>
        </is>
      </c>
      <c r="E620" s="10" t="inlineStr">
        <is>
          <t>福建厦门</t>
        </is>
      </c>
      <c r="F620" s="10" t="inlineStr">
        <is>
          <t>企业官网</t>
        </is>
      </c>
      <c r="G620" s="10" t="inlineStr">
        <is>
          <t>黄经理</t>
        </is>
      </c>
      <c r="H620" s="10" t="inlineStr">
        <is>
          <t>000-0000-0616</t>
        </is>
      </c>
      <c r="I620" s="10" t="inlineStr">
        <is>
          <t>DEMO_GYS_0616</t>
        </is>
      </c>
      <c r="J620" s="11" t="n">
        <v>38</v>
      </c>
      <c r="K620" s="11" t="n">
        <v>53.6</v>
      </c>
      <c r="L620" s="12" t="n">
        <v>100</v>
      </c>
      <c r="M620" s="10" t="inlineStr">
        <is>
          <t>否</t>
        </is>
      </c>
      <c r="N620" s="10" t="inlineStr">
        <is>
          <t>是</t>
        </is>
      </c>
      <c r="O620" s="10" t="inlineStr">
        <is>
          <t>supplier0616@example.com</t>
        </is>
      </c>
      <c r="P620" s="10" t="inlineStr">
        <is>
          <t>https://example.com/supplier/0616</t>
        </is>
      </c>
      <c r="Q620" s="10">
        <f>IF(R620&gt;=85,"A",IF(R620&gt;=70,"B","C"))</f>
        <v/>
      </c>
      <c r="R620" s="13">
        <f>MIN(100,50+IF(M620="是",10,0)+IF(N620="是",10,0)+IF(L620&lt;=100,10,IF(L620&lt;=300,5,0))+IF(J620&lt;=20,10,IF(J620&lt;=50,5,0))+IF(K620-J620&lt;=20,5,0)+IF(F620="企业官网",5,0))</f>
        <v/>
      </c>
      <c r="S620" s="10">
        <f>IF(Q620="A","价格与起订量有优势，建议优先询盘",IF(Q620="B","条件较均衡，可作为备选","起订量或价格需要进一步确认"))</f>
        <v/>
      </c>
      <c r="T620" s="10" t="inlineStr">
        <is>
          <t>未联系</t>
        </is>
      </c>
      <c r="U620" s="10" t="inlineStr">
        <is>
          <t>虚构演示数据</t>
        </is>
      </c>
    </row>
    <row r="621" ht="21" customHeight="1">
      <c r="A621" s="10" t="inlineStr">
        <is>
          <t>GYS-0617</t>
        </is>
      </c>
      <c r="B621" s="10" t="inlineStr">
        <is>
          <t>临沂鞋靴配件供应链0617有限公司（演示）</t>
        </is>
      </c>
      <c r="C621" s="10" t="inlineStr">
        <is>
          <t>鞋靴配件</t>
        </is>
      </c>
      <c r="D621" s="10" t="inlineStr">
        <is>
          <t>防磨脚贴</t>
        </is>
      </c>
      <c r="E621" s="10" t="inlineStr">
        <is>
          <t>山东临沂</t>
        </is>
      </c>
      <c r="F621" s="10" t="inlineStr">
        <is>
          <t>义乌购</t>
        </is>
      </c>
      <c r="G621" s="10" t="inlineStr">
        <is>
          <t>赵经理</t>
        </is>
      </c>
      <c r="H621" s="10" t="inlineStr">
        <is>
          <t>000-0000-0617</t>
        </is>
      </c>
      <c r="I621" s="10" t="inlineStr">
        <is>
          <t>DEMO_GYS_0617</t>
        </is>
      </c>
      <c r="J621" s="11" t="n">
        <v>39.7</v>
      </c>
      <c r="K621" s="11" t="n">
        <v>56.4</v>
      </c>
      <c r="L621" s="12" t="n">
        <v>50</v>
      </c>
      <c r="M621" s="10" t="inlineStr">
        <is>
          <t>是</t>
        </is>
      </c>
      <c r="N621" s="10" t="inlineStr">
        <is>
          <t>是</t>
        </is>
      </c>
      <c r="O621" s="10" t="inlineStr">
        <is>
          <t>supplier0617@example.com</t>
        </is>
      </c>
      <c r="P621" s="10" t="inlineStr">
        <is>
          <t>https://example.com/supplier/0617</t>
        </is>
      </c>
      <c r="Q621" s="10">
        <f>IF(R621&gt;=85,"A",IF(R621&gt;=70,"B","C"))</f>
        <v/>
      </c>
      <c r="R621" s="13">
        <f>MIN(100,50+IF(M621="是",10,0)+IF(N621="是",10,0)+IF(L621&lt;=100,10,IF(L621&lt;=300,5,0))+IF(J621&lt;=20,10,IF(J621&lt;=50,5,0))+IF(K621-J621&lt;=20,5,0)+IF(F621="企业官网",5,0))</f>
        <v/>
      </c>
      <c r="S621" s="10">
        <f>IF(Q621="A","价格与起订量有优势，建议优先询盘",IF(Q621="B","条件较均衡，可作为备选","起订量或价格需要进一步确认"))</f>
        <v/>
      </c>
      <c r="T621" s="10" t="inlineStr">
        <is>
          <t>未联系</t>
        </is>
      </c>
      <c r="U621" s="10" t="inlineStr">
        <is>
          <t>虚构演示数据</t>
        </is>
      </c>
    </row>
    <row r="622" ht="21" customHeight="1">
      <c r="A622" s="10" t="inlineStr">
        <is>
          <t>GYS-0618</t>
        </is>
      </c>
      <c r="B622" s="10" t="inlineStr">
        <is>
          <t>南昌食品包装供应链0618有限公司（演示）</t>
        </is>
      </c>
      <c r="C622" s="10" t="inlineStr">
        <is>
          <t>食品包装</t>
        </is>
      </c>
      <c r="D622" s="10" t="inlineStr">
        <is>
          <t>密封包装袋</t>
        </is>
      </c>
      <c r="E622" s="10" t="inlineStr">
        <is>
          <t>江西南昌</t>
        </is>
      </c>
      <c r="F622" s="10" t="inlineStr">
        <is>
          <t>慧聪网</t>
        </is>
      </c>
      <c r="G622" s="10" t="inlineStr">
        <is>
          <t>周经理</t>
        </is>
      </c>
      <c r="H622" s="10" t="inlineStr">
        <is>
          <t>000-0000-0618</t>
        </is>
      </c>
      <c r="I622" s="10" t="inlineStr">
        <is>
          <t>DEMO_GYS_0618</t>
        </is>
      </c>
      <c r="J622" s="11" t="n">
        <v>41.4</v>
      </c>
      <c r="K622" s="11" t="n">
        <v>59.2</v>
      </c>
      <c r="L622" s="12" t="n">
        <v>20</v>
      </c>
      <c r="M622" s="10" t="inlineStr">
        <is>
          <t>是</t>
        </is>
      </c>
      <c r="N622" s="10" t="inlineStr">
        <is>
          <t>否</t>
        </is>
      </c>
      <c r="O622" s="10" t="inlineStr">
        <is>
          <t>supplier0618@example.com</t>
        </is>
      </c>
      <c r="P622" s="10" t="inlineStr">
        <is>
          <t>https://example.com/supplier/0618</t>
        </is>
      </c>
      <c r="Q622" s="10">
        <f>IF(R622&gt;=85,"A",IF(R622&gt;=70,"B","C"))</f>
        <v/>
      </c>
      <c r="R622" s="13">
        <f>MIN(100,50+IF(M622="是",10,0)+IF(N622="是",10,0)+IF(L622&lt;=100,10,IF(L622&lt;=300,5,0))+IF(J622&lt;=20,10,IF(J622&lt;=50,5,0))+IF(K622-J622&lt;=20,5,0)+IF(F622="企业官网",5,0))</f>
        <v/>
      </c>
      <c r="S622" s="10">
        <f>IF(Q622="A","价格与起订量有优势，建议优先询盘",IF(Q622="B","条件较均衡，可作为备选","起订量或价格需要进一步确认"))</f>
        <v/>
      </c>
      <c r="T622" s="10" t="inlineStr">
        <is>
          <t>未联系</t>
        </is>
      </c>
      <c r="U622" s="10" t="inlineStr">
        <is>
          <t>虚构演示数据</t>
        </is>
      </c>
    </row>
    <row r="623" ht="21" customHeight="1">
      <c r="A623" s="10" t="inlineStr">
        <is>
          <t>GYS-0619</t>
        </is>
      </c>
      <c r="B623" s="10" t="inlineStr">
        <is>
          <t>温州户外照明供应链0619有限公司（演示）</t>
        </is>
      </c>
      <c r="C623" s="10" t="inlineStr">
        <is>
          <t>户外照明</t>
        </is>
      </c>
      <c r="D623" s="10" t="inlineStr">
        <is>
          <t>便携露营灯</t>
        </is>
      </c>
      <c r="E623" s="10" t="inlineStr">
        <is>
          <t>浙江温州</t>
        </is>
      </c>
      <c r="F623" s="10" t="inlineStr">
        <is>
          <t>1688</t>
        </is>
      </c>
      <c r="G623" s="10" t="inlineStr">
        <is>
          <t>吴经理</t>
        </is>
      </c>
      <c r="H623" s="10" t="inlineStr">
        <is>
          <t>000-0000-0619</t>
        </is>
      </c>
      <c r="I623" s="10" t="inlineStr">
        <is>
          <t>DEMO_GYS_0619</t>
        </is>
      </c>
      <c r="J623" s="11" t="n">
        <v>43.1</v>
      </c>
      <c r="K623" s="11" t="n">
        <v>62</v>
      </c>
      <c r="L623" s="12" t="n">
        <v>500</v>
      </c>
      <c r="M623" s="10" t="inlineStr">
        <is>
          <t>是</t>
        </is>
      </c>
      <c r="N623" s="10" t="inlineStr">
        <is>
          <t>是</t>
        </is>
      </c>
      <c r="O623" s="10" t="inlineStr">
        <is>
          <t>supplier0619@example.com</t>
        </is>
      </c>
      <c r="P623" s="10" t="inlineStr">
        <is>
          <t>https://example.com/supplier/0619</t>
        </is>
      </c>
      <c r="Q623" s="10">
        <f>IF(R623&gt;=85,"A",IF(R623&gt;=70,"B","C"))</f>
        <v/>
      </c>
      <c r="R623" s="13">
        <f>MIN(100,50+IF(M623="是",10,0)+IF(N623="是",10,0)+IF(L623&lt;=100,10,IF(L623&lt;=300,5,0))+IF(J623&lt;=20,10,IF(J623&lt;=50,5,0))+IF(K623-J623&lt;=20,5,0)+IF(F623="企业官网",5,0))</f>
        <v/>
      </c>
      <c r="S623" s="10">
        <f>IF(Q623="A","价格与起订量有优势，建议优先询盘",IF(Q623="B","条件较均衡，可作为备选","起订量或价格需要进一步确认"))</f>
        <v/>
      </c>
      <c r="T623" s="10" t="inlineStr">
        <is>
          <t>未联系</t>
        </is>
      </c>
      <c r="U623" s="10" t="inlineStr">
        <is>
          <t>虚构演示数据</t>
        </is>
      </c>
    </row>
    <row r="624" ht="21" customHeight="1">
      <c r="A624" s="10" t="inlineStr">
        <is>
          <t>GYS-0620</t>
        </is>
      </c>
      <c r="B624" s="10" t="inlineStr">
        <is>
          <t>广州健康用品供应链0620有限公司（演示）</t>
        </is>
      </c>
      <c r="C624" s="10" t="inlineStr">
        <is>
          <t>健康用品</t>
        </is>
      </c>
      <c r="D624" s="10" t="inlineStr">
        <is>
          <t>热敷眼罩</t>
        </is>
      </c>
      <c r="E624" s="10" t="inlineStr">
        <is>
          <t>广东广州</t>
        </is>
      </c>
      <c r="F624" s="10" t="inlineStr">
        <is>
          <t>中国制造网</t>
        </is>
      </c>
      <c r="G624" s="10" t="inlineStr">
        <is>
          <t>陈经理</t>
        </is>
      </c>
      <c r="H624" s="10" t="inlineStr">
        <is>
          <t>000-0000-0620</t>
        </is>
      </c>
      <c r="I624" s="10" t="inlineStr">
        <is>
          <t>DEMO_GYS_0620</t>
        </is>
      </c>
      <c r="J624" s="11" t="n">
        <v>44.8</v>
      </c>
      <c r="K624" s="11" t="n">
        <v>64.8</v>
      </c>
      <c r="L624" s="12" t="n">
        <v>300</v>
      </c>
      <c r="M624" s="10" t="inlineStr">
        <is>
          <t>否</t>
        </is>
      </c>
      <c r="N624" s="10" t="inlineStr">
        <is>
          <t>是</t>
        </is>
      </c>
      <c r="O624" s="10" t="inlineStr">
        <is>
          <t>supplier0620@example.com</t>
        </is>
      </c>
      <c r="P624" s="10" t="inlineStr">
        <is>
          <t>https://example.com/supplier/0620</t>
        </is>
      </c>
      <c r="Q624" s="10">
        <f>IF(R624&gt;=85,"A",IF(R624&gt;=70,"B","C"))</f>
        <v/>
      </c>
      <c r="R624" s="13">
        <f>MIN(100,50+IF(M624="是",10,0)+IF(N624="是",10,0)+IF(L624&lt;=100,10,IF(L624&lt;=300,5,0))+IF(J624&lt;=20,10,IF(J624&lt;=50,5,0))+IF(K624-J624&lt;=20,5,0)+IF(F624="企业官网",5,0))</f>
        <v/>
      </c>
      <c r="S624" s="10">
        <f>IF(Q624="A","价格与起订量有优势，建议优先询盘",IF(Q624="B","条件较均衡，可作为备选","起订量或价格需要进一步确认"))</f>
        <v/>
      </c>
      <c r="T624" s="10" t="inlineStr">
        <is>
          <t>未联系</t>
        </is>
      </c>
      <c r="U624" s="10" t="inlineStr">
        <is>
          <t>虚构演示数据</t>
        </is>
      </c>
    </row>
    <row r="625" ht="21" customHeight="1">
      <c r="A625" s="10" t="inlineStr">
        <is>
          <t>GYS-0621</t>
        </is>
      </c>
      <c r="B625" s="10" t="inlineStr">
        <is>
          <t>泉州服饰内衣供应链0621有限公司（演示）</t>
        </is>
      </c>
      <c r="C625" s="10" t="inlineStr">
        <is>
          <t>服饰内衣</t>
        </is>
      </c>
      <c r="D625" s="10" t="inlineStr">
        <is>
          <t>防滑袜</t>
        </is>
      </c>
      <c r="E625" s="10" t="inlineStr">
        <is>
          <t>福建泉州</t>
        </is>
      </c>
      <c r="F625" s="10" t="inlineStr">
        <is>
          <t>企业官网</t>
        </is>
      </c>
      <c r="G625" s="10" t="inlineStr">
        <is>
          <t>林经理</t>
        </is>
      </c>
      <c r="H625" s="10" t="inlineStr">
        <is>
          <t>000-0000-0621</t>
        </is>
      </c>
      <c r="I625" s="10" t="inlineStr">
        <is>
          <t>DEMO_GYS_0621</t>
        </is>
      </c>
      <c r="J625" s="11" t="n">
        <v>46.5</v>
      </c>
      <c r="K625" s="11" t="n">
        <v>67.59999999999999</v>
      </c>
      <c r="L625" s="12" t="n">
        <v>200</v>
      </c>
      <c r="M625" s="10" t="inlineStr">
        <is>
          <t>是</t>
        </is>
      </c>
      <c r="N625" s="10" t="inlineStr">
        <is>
          <t>否</t>
        </is>
      </c>
      <c r="O625" s="10" t="inlineStr">
        <is>
          <t>supplier0621@example.com</t>
        </is>
      </c>
      <c r="P625" s="10" t="inlineStr">
        <is>
          <t>https://example.com/supplier/0621</t>
        </is>
      </c>
      <c r="Q625" s="10">
        <f>IF(R625&gt;=85,"A",IF(R625&gt;=70,"B","C"))</f>
        <v/>
      </c>
      <c r="R625" s="13">
        <f>MIN(100,50+IF(M625="是",10,0)+IF(N625="是",10,0)+IF(L625&lt;=100,10,IF(L625&lt;=300,5,0))+IF(J625&lt;=20,10,IF(J625&lt;=50,5,0))+IF(K625-J625&lt;=20,5,0)+IF(F625="企业官网",5,0))</f>
        <v/>
      </c>
      <c r="S625" s="10">
        <f>IF(Q625="A","价格与起订量有优势，建议优先询盘",IF(Q625="B","条件较均衡，可作为备选","起订量或价格需要进一步确认"))</f>
        <v/>
      </c>
      <c r="T625" s="10" t="inlineStr">
        <is>
          <t>未联系</t>
        </is>
      </c>
      <c r="U625" s="10" t="inlineStr">
        <is>
          <t>虚构演示数据</t>
        </is>
      </c>
    </row>
    <row r="626" ht="21" customHeight="1">
      <c r="A626" s="10" t="inlineStr">
        <is>
          <t>GYS-0622</t>
        </is>
      </c>
      <c r="B626" s="10" t="inlineStr">
        <is>
          <t>南通家居日用供应链0622有限公司（演示）</t>
        </is>
      </c>
      <c r="C626" s="10" t="inlineStr">
        <is>
          <t>家居日用</t>
        </is>
      </c>
      <c r="D626" s="10" t="inlineStr">
        <is>
          <t>折叠收纳箱</t>
        </is>
      </c>
      <c r="E626" s="10" t="inlineStr">
        <is>
          <t>江苏南通</t>
        </is>
      </c>
      <c r="F626" s="10" t="inlineStr">
        <is>
          <t>义乌购</t>
        </is>
      </c>
      <c r="G626" s="10" t="inlineStr">
        <is>
          <t>王经理</t>
        </is>
      </c>
      <c r="H626" s="10" t="inlineStr">
        <is>
          <t>000-0000-0622</t>
        </is>
      </c>
      <c r="I626" s="10" t="inlineStr">
        <is>
          <t>DEMO_GYS_0622</t>
        </is>
      </c>
      <c r="J626" s="11" t="n">
        <v>48.2</v>
      </c>
      <c r="K626" s="11" t="n">
        <v>52.4</v>
      </c>
      <c r="L626" s="12" t="n">
        <v>100</v>
      </c>
      <c r="M626" s="10" t="inlineStr">
        <is>
          <t>是</t>
        </is>
      </c>
      <c r="N626" s="10" t="inlineStr">
        <is>
          <t>是</t>
        </is>
      </c>
      <c r="O626" s="10" t="inlineStr">
        <is>
          <t>supplier0622@example.com</t>
        </is>
      </c>
      <c r="P626" s="10" t="inlineStr">
        <is>
          <t>https://example.com/supplier/0622</t>
        </is>
      </c>
      <c r="Q626" s="10">
        <f>IF(R626&gt;=85,"A",IF(R626&gt;=70,"B","C"))</f>
        <v/>
      </c>
      <c r="R626" s="13">
        <f>MIN(100,50+IF(M626="是",10,0)+IF(N626="是",10,0)+IF(L626&lt;=100,10,IF(L626&lt;=300,5,0))+IF(J626&lt;=20,10,IF(J626&lt;=50,5,0))+IF(K626-J626&lt;=20,5,0)+IF(F626="企业官网",5,0))</f>
        <v/>
      </c>
      <c r="S626" s="10">
        <f>IF(Q626="A","价格与起订量有优势，建议优先询盘",IF(Q626="B","条件较均衡，可作为备选","起订量或价格需要进一步确认"))</f>
        <v/>
      </c>
      <c r="T626" s="10" t="inlineStr">
        <is>
          <t>未联系</t>
        </is>
      </c>
      <c r="U626" s="10" t="inlineStr">
        <is>
          <t>虚构演示数据</t>
        </is>
      </c>
    </row>
    <row r="627" ht="21" customHeight="1">
      <c r="A627" s="10" t="inlineStr">
        <is>
          <t>GYS-0623</t>
        </is>
      </c>
      <c r="B627" s="10" t="inlineStr">
        <is>
          <t>郑州个护清洁供应链0623有限公司（演示）</t>
        </is>
      </c>
      <c r="C627" s="10" t="inlineStr">
        <is>
          <t>个护清洁</t>
        </is>
      </c>
      <c r="D627" s="10" t="inlineStr">
        <is>
          <t>便携洗脸巾</t>
        </is>
      </c>
      <c r="E627" s="10" t="inlineStr">
        <is>
          <t>河南郑州</t>
        </is>
      </c>
      <c r="F627" s="10" t="inlineStr">
        <is>
          <t>慧聪网</t>
        </is>
      </c>
      <c r="G627" s="10" t="inlineStr">
        <is>
          <t>李经理</t>
        </is>
      </c>
      <c r="H627" s="10" t="inlineStr">
        <is>
          <t>000-0000-0623</t>
        </is>
      </c>
      <c r="I627" s="10" t="inlineStr">
        <is>
          <t>DEMO_GYS_0623</t>
        </is>
      </c>
      <c r="J627" s="11" t="n">
        <v>3.9</v>
      </c>
      <c r="K627" s="11" t="n">
        <v>9.199999999999999</v>
      </c>
      <c r="L627" s="12" t="n">
        <v>50</v>
      </c>
      <c r="M627" s="10" t="inlineStr">
        <is>
          <t>是</t>
        </is>
      </c>
      <c r="N627" s="10" t="inlineStr">
        <is>
          <t>是</t>
        </is>
      </c>
      <c r="O627" s="10" t="inlineStr">
        <is>
          <t>supplier0623@example.com</t>
        </is>
      </c>
      <c r="P627" s="10" t="inlineStr">
        <is>
          <t>https://example.com/supplier/0623</t>
        </is>
      </c>
      <c r="Q627" s="10">
        <f>IF(R627&gt;=85,"A",IF(R627&gt;=70,"B","C"))</f>
        <v/>
      </c>
      <c r="R627" s="13">
        <f>MIN(100,50+IF(M627="是",10,0)+IF(N627="是",10,0)+IF(L627&lt;=100,10,IF(L627&lt;=300,5,0))+IF(J627&lt;=20,10,IF(J627&lt;=50,5,0))+IF(K627-J627&lt;=20,5,0)+IF(F627="企业官网",5,0))</f>
        <v/>
      </c>
      <c r="S627" s="10">
        <f>IF(Q627="A","价格与起订量有优势，建议优先询盘",IF(Q627="B","条件较均衡，可作为备选","起订量或价格需要进一步确认"))</f>
        <v/>
      </c>
      <c r="T627" s="10" t="inlineStr">
        <is>
          <t>未联系</t>
        </is>
      </c>
      <c r="U627" s="10" t="inlineStr">
        <is>
          <t>虚构演示数据</t>
        </is>
      </c>
    </row>
    <row r="628" ht="21" customHeight="1">
      <c r="A628" s="10" t="inlineStr">
        <is>
          <t>GYS-0624</t>
        </is>
      </c>
      <c r="B628" s="10" t="inlineStr">
        <is>
          <t>宁波厨房用品供应链0624有限公司（演示）</t>
        </is>
      </c>
      <c r="C628" s="10" t="inlineStr">
        <is>
          <t>厨房用品</t>
        </is>
      </c>
      <c r="D628" s="10" t="inlineStr">
        <is>
          <t>硅胶保鲜盒</t>
        </is>
      </c>
      <c r="E628" s="10" t="inlineStr">
        <is>
          <t>浙江宁波</t>
        </is>
      </c>
      <c r="F628" s="10" t="inlineStr">
        <is>
          <t>1688</t>
        </is>
      </c>
      <c r="G628" s="10" t="inlineStr">
        <is>
          <t>张经理</t>
        </is>
      </c>
      <c r="H628" s="10" t="inlineStr">
        <is>
          <t>000-0000-0624</t>
        </is>
      </c>
      <c r="I628" s="10" t="inlineStr">
        <is>
          <t>DEMO_GYS_0624</t>
        </is>
      </c>
      <c r="J628" s="11" t="n">
        <v>5.6</v>
      </c>
      <c r="K628" s="11" t="n">
        <v>12</v>
      </c>
      <c r="L628" s="12" t="n">
        <v>20</v>
      </c>
      <c r="M628" s="10" t="inlineStr">
        <is>
          <t>否</t>
        </is>
      </c>
      <c r="N628" s="10" t="inlineStr">
        <is>
          <t>否</t>
        </is>
      </c>
      <c r="O628" s="10" t="inlineStr">
        <is>
          <t>supplier0624@example.com</t>
        </is>
      </c>
      <c r="P628" s="10" t="inlineStr">
        <is>
          <t>https://example.com/supplier/0624</t>
        </is>
      </c>
      <c r="Q628" s="10">
        <f>IF(R628&gt;=85,"A",IF(R628&gt;=70,"B","C"))</f>
        <v/>
      </c>
      <c r="R628" s="13">
        <f>MIN(100,50+IF(M628="是",10,0)+IF(N628="是",10,0)+IF(L628&lt;=100,10,IF(L628&lt;=300,5,0))+IF(J628&lt;=20,10,IF(J628&lt;=50,5,0))+IF(K628-J628&lt;=20,5,0)+IF(F628="企业官网",5,0))</f>
        <v/>
      </c>
      <c r="S628" s="10">
        <f>IF(Q628="A","价格与起订量有优势，建议优先询盘",IF(Q628="B","条件较均衡，可作为备选","起订量或价格需要进一步确认"))</f>
        <v/>
      </c>
      <c r="T628" s="10" t="inlineStr">
        <is>
          <t>未联系</t>
        </is>
      </c>
      <c r="U628" s="10" t="inlineStr">
        <is>
          <t>虚构演示数据</t>
        </is>
      </c>
    </row>
    <row r="629" ht="21" customHeight="1">
      <c r="A629" s="10" t="inlineStr">
        <is>
          <t>GYS-0625</t>
        </is>
      </c>
      <c r="B629" s="10" t="inlineStr">
        <is>
          <t>深圳数码配件供应链0625有限公司（演示）</t>
        </is>
      </c>
      <c r="C629" s="10" t="inlineStr">
        <is>
          <t>数码配件</t>
        </is>
      </c>
      <c r="D629" s="10" t="inlineStr">
        <is>
          <t>磁吸手机支架</t>
        </is>
      </c>
      <c r="E629" s="10" t="inlineStr">
        <is>
          <t>广东深圳</t>
        </is>
      </c>
      <c r="F629" s="10" t="inlineStr">
        <is>
          <t>中国制造网</t>
        </is>
      </c>
      <c r="G629" s="10" t="inlineStr">
        <is>
          <t>刘经理</t>
        </is>
      </c>
      <c r="H629" s="10" t="inlineStr">
        <is>
          <t>000-0000-0625</t>
        </is>
      </c>
      <c r="I629" s="10" t="inlineStr">
        <is>
          <t>DEMO_GYS_0625</t>
        </is>
      </c>
      <c r="J629" s="11" t="n">
        <v>7.3</v>
      </c>
      <c r="K629" s="11" t="n">
        <v>14.8</v>
      </c>
      <c r="L629" s="12" t="n">
        <v>500</v>
      </c>
      <c r="M629" s="10" t="inlineStr">
        <is>
          <t>是</t>
        </is>
      </c>
      <c r="N629" s="10" t="inlineStr">
        <is>
          <t>是</t>
        </is>
      </c>
      <c r="O629" s="10" t="inlineStr">
        <is>
          <t>supplier0625@example.com</t>
        </is>
      </c>
      <c r="P629" s="10" t="inlineStr">
        <is>
          <t>https://example.com/supplier/0625</t>
        </is>
      </c>
      <c r="Q629" s="10">
        <f>IF(R629&gt;=85,"A",IF(R629&gt;=70,"B","C"))</f>
        <v/>
      </c>
      <c r="R629" s="13">
        <f>MIN(100,50+IF(M629="是",10,0)+IF(N629="是",10,0)+IF(L629&lt;=100,10,IF(L629&lt;=300,5,0))+IF(J629&lt;=20,10,IF(J629&lt;=50,5,0))+IF(K629-J629&lt;=20,5,0)+IF(F629="企业官网",5,0))</f>
        <v/>
      </c>
      <c r="S629" s="10">
        <f>IF(Q629="A","价格与起订量有优势，建议优先询盘",IF(Q629="B","条件较均衡，可作为备选","起订量或价格需要进一步确认"))</f>
        <v/>
      </c>
      <c r="T629" s="10" t="inlineStr">
        <is>
          <t>未联系</t>
        </is>
      </c>
      <c r="U629" s="10" t="inlineStr">
        <is>
          <t>虚构演示数据</t>
        </is>
      </c>
    </row>
    <row r="630" ht="21" customHeight="1">
      <c r="A630" s="10" t="inlineStr">
        <is>
          <t>GYS-0626</t>
        </is>
      </c>
      <c r="B630" s="10" t="inlineStr">
        <is>
          <t>佛山宠物用品供应链0626有限公司（演示）</t>
        </is>
      </c>
      <c r="C630" s="10" t="inlineStr">
        <is>
          <t>宠物用品</t>
        </is>
      </c>
      <c r="D630" s="10" t="inlineStr">
        <is>
          <t>宠物清洁手套</t>
        </is>
      </c>
      <c r="E630" s="10" t="inlineStr">
        <is>
          <t>广东佛山</t>
        </is>
      </c>
      <c r="F630" s="10" t="inlineStr">
        <is>
          <t>企业官网</t>
        </is>
      </c>
      <c r="G630" s="10" t="inlineStr">
        <is>
          <t>黄经理</t>
        </is>
      </c>
      <c r="H630" s="10" t="inlineStr">
        <is>
          <t>000-0000-0626</t>
        </is>
      </c>
      <c r="I630" s="10" t="inlineStr">
        <is>
          <t>DEMO_GYS_0626</t>
        </is>
      </c>
      <c r="J630" s="11" t="n">
        <v>9</v>
      </c>
      <c r="K630" s="11" t="n">
        <v>17.6</v>
      </c>
      <c r="L630" s="12" t="n">
        <v>300</v>
      </c>
      <c r="M630" s="10" t="inlineStr">
        <is>
          <t>是</t>
        </is>
      </c>
      <c r="N630" s="10" t="inlineStr">
        <is>
          <t>是</t>
        </is>
      </c>
      <c r="O630" s="10" t="inlineStr">
        <is>
          <t>supplier0626@example.com</t>
        </is>
      </c>
      <c r="P630" s="10" t="inlineStr">
        <is>
          <t>https://example.com/supplier/0626</t>
        </is>
      </c>
      <c r="Q630" s="10">
        <f>IF(R630&gt;=85,"A",IF(R630&gt;=70,"B","C"))</f>
        <v/>
      </c>
      <c r="R630" s="13">
        <f>MIN(100,50+IF(M630="是",10,0)+IF(N630="是",10,0)+IF(L630&lt;=100,10,IF(L630&lt;=300,5,0))+IF(J630&lt;=20,10,IF(J630&lt;=50,5,0))+IF(K630-J630&lt;=20,5,0)+IF(F630="企业官网",5,0))</f>
        <v/>
      </c>
      <c r="S630" s="10">
        <f>IF(Q630="A","价格与起订量有优势，建议优先询盘",IF(Q630="B","条件较均衡，可作为备选","起订量或价格需要进一步确认"))</f>
        <v/>
      </c>
      <c r="T630" s="10" t="inlineStr">
        <is>
          <t>未联系</t>
        </is>
      </c>
      <c r="U630" s="10" t="inlineStr">
        <is>
          <t>虚构演示数据</t>
        </is>
      </c>
    </row>
    <row r="631" ht="21" customHeight="1">
      <c r="A631" s="10" t="inlineStr">
        <is>
          <t>GYS-0627</t>
        </is>
      </c>
      <c r="B631" s="10" t="inlineStr">
        <is>
          <t>苏州母婴用品供应链0627有限公司（演示）</t>
        </is>
      </c>
      <c r="C631" s="10" t="inlineStr">
        <is>
          <t>母婴用品</t>
        </is>
      </c>
      <c r="D631" s="10" t="inlineStr">
        <is>
          <t>婴儿防撞条</t>
        </is>
      </c>
      <c r="E631" s="10" t="inlineStr">
        <is>
          <t>江苏苏州</t>
        </is>
      </c>
      <c r="F631" s="10" t="inlineStr">
        <is>
          <t>义乌购</t>
        </is>
      </c>
      <c r="G631" s="10" t="inlineStr">
        <is>
          <t>赵经理</t>
        </is>
      </c>
      <c r="H631" s="10" t="inlineStr">
        <is>
          <t>000-0000-0627</t>
        </is>
      </c>
      <c r="I631" s="10" t="inlineStr">
        <is>
          <t>DEMO_GYS_0627</t>
        </is>
      </c>
      <c r="J631" s="11" t="n">
        <v>10.7</v>
      </c>
      <c r="K631" s="11" t="n">
        <v>20.4</v>
      </c>
      <c r="L631" s="12" t="n">
        <v>200</v>
      </c>
      <c r="M631" s="10" t="inlineStr">
        <is>
          <t>是</t>
        </is>
      </c>
      <c r="N631" s="10" t="inlineStr">
        <is>
          <t>否</t>
        </is>
      </c>
      <c r="O631" s="10" t="inlineStr">
        <is>
          <t>supplier0627@example.com</t>
        </is>
      </c>
      <c r="P631" s="10" t="inlineStr">
        <is>
          <t>https://example.com/supplier/0627</t>
        </is>
      </c>
      <c r="Q631" s="10">
        <f>IF(R631&gt;=85,"A",IF(R631&gt;=70,"B","C"))</f>
        <v/>
      </c>
      <c r="R631" s="13">
        <f>MIN(100,50+IF(M631="是",10,0)+IF(N631="是",10,0)+IF(L631&lt;=100,10,IF(L631&lt;=300,5,0))+IF(J631&lt;=20,10,IF(J631&lt;=50,5,0))+IF(K631-J631&lt;=20,5,0)+IF(F631="企业官网",5,0))</f>
        <v/>
      </c>
      <c r="S631" s="10">
        <f>IF(Q631="A","价格与起订量有优势，建议优先询盘",IF(Q631="B","条件较均衡，可作为备选","起订量或价格需要进一步确认"))</f>
        <v/>
      </c>
      <c r="T631" s="10" t="inlineStr">
        <is>
          <t>未联系</t>
        </is>
      </c>
      <c r="U631" s="10" t="inlineStr">
        <is>
          <t>虚构演示数据</t>
        </is>
      </c>
    </row>
    <row r="632" ht="21" customHeight="1">
      <c r="A632" s="10" t="inlineStr">
        <is>
          <t>GYS-0628</t>
        </is>
      </c>
      <c r="B632" s="10" t="inlineStr">
        <is>
          <t>白沟运动户外供应链0628有限公司（演示）</t>
        </is>
      </c>
      <c r="C632" s="10" t="inlineStr">
        <is>
          <t>运动户外</t>
        </is>
      </c>
      <c r="D632" s="10" t="inlineStr">
        <is>
          <t>弹力训练带</t>
        </is>
      </c>
      <c r="E632" s="10" t="inlineStr">
        <is>
          <t>河北白沟</t>
        </is>
      </c>
      <c r="F632" s="10" t="inlineStr">
        <is>
          <t>慧聪网</t>
        </is>
      </c>
      <c r="G632" s="10" t="inlineStr">
        <is>
          <t>周经理</t>
        </is>
      </c>
      <c r="H632" s="10" t="inlineStr">
        <is>
          <t>000-0000-0628</t>
        </is>
      </c>
      <c r="I632" s="10" t="inlineStr">
        <is>
          <t>DEMO_GYS_0628</t>
        </is>
      </c>
      <c r="J632" s="11" t="n">
        <v>12.4</v>
      </c>
      <c r="K632" s="11" t="n">
        <v>23.2</v>
      </c>
      <c r="L632" s="12" t="n">
        <v>100</v>
      </c>
      <c r="M632" s="10" t="inlineStr">
        <is>
          <t>否</t>
        </is>
      </c>
      <c r="N632" s="10" t="inlineStr">
        <is>
          <t>是</t>
        </is>
      </c>
      <c r="O632" s="10" t="inlineStr">
        <is>
          <t>supplier0628@example.com</t>
        </is>
      </c>
      <c r="P632" s="10" t="inlineStr">
        <is>
          <t>https://example.com/supplier/0628</t>
        </is>
      </c>
      <c r="Q632" s="10">
        <f>IF(R632&gt;=85,"A",IF(R632&gt;=70,"B","C"))</f>
        <v/>
      </c>
      <c r="R632" s="13">
        <f>MIN(100,50+IF(M632="是",10,0)+IF(N632="是",10,0)+IF(L632&lt;=100,10,IF(L632&lt;=300,5,0))+IF(J632&lt;=20,10,IF(J632&lt;=50,5,0))+IF(K632-J632&lt;=20,5,0)+IF(F632="企业官网",5,0))</f>
        <v/>
      </c>
      <c r="S632" s="10">
        <f>IF(Q632="A","价格与起订量有优势，建议优先询盘",IF(Q632="B","条件较均衡，可作为备选","起订量或价格需要进一步确认"))</f>
        <v/>
      </c>
      <c r="T632" s="10" t="inlineStr">
        <is>
          <t>未联系</t>
        </is>
      </c>
      <c r="U632" s="10" t="inlineStr">
        <is>
          <t>虚构演示数据</t>
        </is>
      </c>
    </row>
    <row r="633" ht="21" customHeight="1">
      <c r="A633" s="10" t="inlineStr">
        <is>
          <t>GYS-0629</t>
        </is>
      </c>
      <c r="B633" s="10" t="inlineStr">
        <is>
          <t>义乌办公文具供应链0629有限公司（演示）</t>
        </is>
      </c>
      <c r="C633" s="10" t="inlineStr">
        <is>
          <t>办公文具</t>
        </is>
      </c>
      <c r="D633" s="10" t="inlineStr">
        <is>
          <t>桌面收纳架</t>
        </is>
      </c>
      <c r="E633" s="10" t="inlineStr">
        <is>
          <t>浙江义乌</t>
        </is>
      </c>
      <c r="F633" s="10" t="inlineStr">
        <is>
          <t>1688</t>
        </is>
      </c>
      <c r="G633" s="10" t="inlineStr">
        <is>
          <t>吴经理</t>
        </is>
      </c>
      <c r="H633" s="10" t="inlineStr">
        <is>
          <t>000-0000-0629</t>
        </is>
      </c>
      <c r="I633" s="10" t="inlineStr">
        <is>
          <t>DEMO_GYS_0629</t>
        </is>
      </c>
      <c r="J633" s="11" t="n">
        <v>14.1</v>
      </c>
      <c r="K633" s="11" t="n">
        <v>26</v>
      </c>
      <c r="L633" s="12" t="n">
        <v>50</v>
      </c>
      <c r="M633" s="10" t="inlineStr">
        <is>
          <t>是</t>
        </is>
      </c>
      <c r="N633" s="10" t="inlineStr">
        <is>
          <t>是</t>
        </is>
      </c>
      <c r="O633" s="10" t="inlineStr">
        <is>
          <t>supplier0629@example.com</t>
        </is>
      </c>
      <c r="P633" s="10" t="inlineStr">
        <is>
          <t>https://example.com/supplier/0629</t>
        </is>
      </c>
      <c r="Q633" s="10">
        <f>IF(R633&gt;=85,"A",IF(R633&gt;=70,"B","C"))</f>
        <v/>
      </c>
      <c r="R633" s="13">
        <f>MIN(100,50+IF(M633="是",10,0)+IF(N633="是",10,0)+IF(L633&lt;=100,10,IF(L633&lt;=300,5,0))+IF(J633&lt;=20,10,IF(J633&lt;=50,5,0))+IF(K633-J633&lt;=20,5,0)+IF(F633="企业官网",5,0))</f>
        <v/>
      </c>
      <c r="S633" s="10">
        <f>IF(Q633="A","价格与起订量有优势，建议优先询盘",IF(Q633="B","条件较均衡，可作为备选","起订量或价格需要进一步确认"))</f>
        <v/>
      </c>
      <c r="T633" s="10" t="inlineStr">
        <is>
          <t>未联系</t>
        </is>
      </c>
      <c r="U633" s="10" t="inlineStr">
        <is>
          <t>虚构演示数据</t>
        </is>
      </c>
    </row>
    <row r="634" ht="21" customHeight="1">
      <c r="A634" s="10" t="inlineStr">
        <is>
          <t>GYS-0630</t>
        </is>
      </c>
      <c r="B634" s="10" t="inlineStr">
        <is>
          <t>台州汽车用品供应链0630有限公司（演示）</t>
        </is>
      </c>
      <c r="C634" s="10" t="inlineStr">
        <is>
          <t>汽车用品</t>
        </is>
      </c>
      <c r="D634" s="10" t="inlineStr">
        <is>
          <t>车载香薰</t>
        </is>
      </c>
      <c r="E634" s="10" t="inlineStr">
        <is>
          <t>浙江台州</t>
        </is>
      </c>
      <c r="F634" s="10" t="inlineStr">
        <is>
          <t>中国制造网</t>
        </is>
      </c>
      <c r="G634" s="10" t="inlineStr">
        <is>
          <t>陈经理</t>
        </is>
      </c>
      <c r="H634" s="10" t="inlineStr">
        <is>
          <t>000-0000-0630</t>
        </is>
      </c>
      <c r="I634" s="10" t="inlineStr">
        <is>
          <t>DEMO_GYS_0630</t>
        </is>
      </c>
      <c r="J634" s="11" t="n">
        <v>15.8</v>
      </c>
      <c r="K634" s="11" t="n">
        <v>28.8</v>
      </c>
      <c r="L634" s="12" t="n">
        <v>20</v>
      </c>
      <c r="M634" s="10" t="inlineStr">
        <is>
          <t>是</t>
        </is>
      </c>
      <c r="N634" s="10" t="inlineStr">
        <is>
          <t>否</t>
        </is>
      </c>
      <c r="O634" s="10" t="inlineStr">
        <is>
          <t>supplier0630@example.com</t>
        </is>
      </c>
      <c r="P634" s="10" t="inlineStr">
        <is>
          <t>https://example.com/supplier/0630</t>
        </is>
      </c>
      <c r="Q634" s="10">
        <f>IF(R634&gt;=85,"A",IF(R634&gt;=70,"B","C"))</f>
        <v/>
      </c>
      <c r="R634" s="13">
        <f>MIN(100,50+IF(M634="是",10,0)+IF(N634="是",10,0)+IF(L634&lt;=100,10,IF(L634&lt;=300,5,0))+IF(J634&lt;=20,10,IF(J634&lt;=50,5,0))+IF(K634-J634&lt;=20,5,0)+IF(F634="企业官网",5,0))</f>
        <v/>
      </c>
      <c r="S634" s="10">
        <f>IF(Q634="A","价格与起订量有优势，建议优先询盘",IF(Q634="B","条件较均衡，可作为备选","起订量或价格需要进一步确认"))</f>
        <v/>
      </c>
      <c r="T634" s="10" t="inlineStr">
        <is>
          <t>未联系</t>
        </is>
      </c>
      <c r="U634" s="10" t="inlineStr">
        <is>
          <t>虚构演示数据</t>
        </is>
      </c>
    </row>
    <row r="635" ht="21" customHeight="1">
      <c r="A635" s="10" t="inlineStr">
        <is>
          <t>GYS-0631</t>
        </is>
      </c>
      <c r="B635" s="10" t="inlineStr">
        <is>
          <t>东莞美容工具供应链0631有限公司（演示）</t>
        </is>
      </c>
      <c r="C635" s="10" t="inlineStr">
        <is>
          <t>美容工具</t>
        </is>
      </c>
      <c r="D635" s="10" t="inlineStr">
        <is>
          <t>便携化妆镜</t>
        </is>
      </c>
      <c r="E635" s="10" t="inlineStr">
        <is>
          <t>广东东莞</t>
        </is>
      </c>
      <c r="F635" s="10" t="inlineStr">
        <is>
          <t>企业官网</t>
        </is>
      </c>
      <c r="G635" s="10" t="inlineStr">
        <is>
          <t>林经理</t>
        </is>
      </c>
      <c r="H635" s="10" t="inlineStr">
        <is>
          <t>000-0000-0631</t>
        </is>
      </c>
      <c r="I635" s="10" t="inlineStr">
        <is>
          <t>DEMO_GYS_0631</t>
        </is>
      </c>
      <c r="J635" s="11" t="n">
        <v>17.5</v>
      </c>
      <c r="K635" s="11" t="n">
        <v>31.6</v>
      </c>
      <c r="L635" s="12" t="n">
        <v>500</v>
      </c>
      <c r="M635" s="10" t="inlineStr">
        <is>
          <t>是</t>
        </is>
      </c>
      <c r="N635" s="10" t="inlineStr">
        <is>
          <t>是</t>
        </is>
      </c>
      <c r="O635" s="10" t="inlineStr">
        <is>
          <t>supplier0631@example.com</t>
        </is>
      </c>
      <c r="P635" s="10" t="inlineStr">
        <is>
          <t>https://example.com/supplier/0631</t>
        </is>
      </c>
      <c r="Q635" s="10">
        <f>IF(R635&gt;=85,"A",IF(R635&gt;=70,"B","C"))</f>
        <v/>
      </c>
      <c r="R635" s="13">
        <f>MIN(100,50+IF(M635="是",10,0)+IF(N635="是",10,0)+IF(L635&lt;=100,10,IF(L635&lt;=300,5,0))+IF(J635&lt;=20,10,IF(J635&lt;=50,5,0))+IF(K635-J635&lt;=20,5,0)+IF(F635="企业官网",5,0))</f>
        <v/>
      </c>
      <c r="S635" s="10">
        <f>IF(Q635="A","价格与起订量有优势，建议优先询盘",IF(Q635="B","条件较均衡，可作为备选","起订量或价格需要进一步确认"))</f>
        <v/>
      </c>
      <c r="T635" s="10" t="inlineStr">
        <is>
          <t>未联系</t>
        </is>
      </c>
      <c r="U635" s="10" t="inlineStr">
        <is>
          <t>虚构演示数据</t>
        </is>
      </c>
    </row>
    <row r="636" ht="21" customHeight="1">
      <c r="A636" s="10" t="inlineStr">
        <is>
          <t>GYS-0632</t>
        </is>
      </c>
      <c r="B636" s="10" t="inlineStr">
        <is>
          <t>厦门旅行用品供应链0632有限公司（演示）</t>
        </is>
      </c>
      <c r="C636" s="10" t="inlineStr">
        <is>
          <t>旅行用品</t>
        </is>
      </c>
      <c r="D636" s="10" t="inlineStr">
        <is>
          <t>压缩收纳袋</t>
        </is>
      </c>
      <c r="E636" s="10" t="inlineStr">
        <is>
          <t>福建厦门</t>
        </is>
      </c>
      <c r="F636" s="10" t="inlineStr">
        <is>
          <t>义乌购</t>
        </is>
      </c>
      <c r="G636" s="10" t="inlineStr">
        <is>
          <t>王经理</t>
        </is>
      </c>
      <c r="H636" s="10" t="inlineStr">
        <is>
          <t>000-0000-0632</t>
        </is>
      </c>
      <c r="I636" s="10" t="inlineStr">
        <is>
          <t>DEMO_GYS_0632</t>
        </is>
      </c>
      <c r="J636" s="11" t="n">
        <v>19.2</v>
      </c>
      <c r="K636" s="11" t="n">
        <v>34.4</v>
      </c>
      <c r="L636" s="12" t="n">
        <v>300</v>
      </c>
      <c r="M636" s="10" t="inlineStr">
        <is>
          <t>否</t>
        </is>
      </c>
      <c r="N636" s="10" t="inlineStr">
        <is>
          <t>是</t>
        </is>
      </c>
      <c r="O636" s="10" t="inlineStr">
        <is>
          <t>supplier0632@example.com</t>
        </is>
      </c>
      <c r="P636" s="10" t="inlineStr">
        <is>
          <t>https://example.com/supplier/0632</t>
        </is>
      </c>
      <c r="Q636" s="10">
        <f>IF(R636&gt;=85,"A",IF(R636&gt;=70,"B","C"))</f>
        <v/>
      </c>
      <c r="R636" s="13">
        <f>MIN(100,50+IF(M636="是",10,0)+IF(N636="是",10,0)+IF(L636&lt;=100,10,IF(L636&lt;=300,5,0))+IF(J636&lt;=20,10,IF(J636&lt;=50,5,0))+IF(K636-J636&lt;=20,5,0)+IF(F636="企业官网",5,0))</f>
        <v/>
      </c>
      <c r="S636" s="10">
        <f>IF(Q636="A","价格与起订量有优势，建议优先询盘",IF(Q636="B","条件较均衡，可作为备选","起订量或价格需要进一步确认"))</f>
        <v/>
      </c>
      <c r="T636" s="10" t="inlineStr">
        <is>
          <t>未联系</t>
        </is>
      </c>
      <c r="U636" s="10" t="inlineStr">
        <is>
          <t>虚构演示数据</t>
        </is>
      </c>
    </row>
    <row r="637" ht="21" customHeight="1">
      <c r="A637" s="10" t="inlineStr">
        <is>
          <t>GYS-0633</t>
        </is>
      </c>
      <c r="B637" s="10" t="inlineStr">
        <is>
          <t>临沂清洁工具供应链0633有限公司（演示）</t>
        </is>
      </c>
      <c r="C637" s="10" t="inlineStr">
        <is>
          <t>清洁工具</t>
        </is>
      </c>
      <c r="D637" s="10" t="inlineStr">
        <is>
          <t>免手洗拖把</t>
        </is>
      </c>
      <c r="E637" s="10" t="inlineStr">
        <is>
          <t>山东临沂</t>
        </is>
      </c>
      <c r="F637" s="10" t="inlineStr">
        <is>
          <t>慧聪网</t>
        </is>
      </c>
      <c r="G637" s="10" t="inlineStr">
        <is>
          <t>李经理</t>
        </is>
      </c>
      <c r="H637" s="10" t="inlineStr">
        <is>
          <t>000-0000-0633</t>
        </is>
      </c>
      <c r="I637" s="10" t="inlineStr">
        <is>
          <t>DEMO_GYS_0633</t>
        </is>
      </c>
      <c r="J637" s="11" t="n">
        <v>20.9</v>
      </c>
      <c r="K637" s="11" t="n">
        <v>37.2</v>
      </c>
      <c r="L637" s="12" t="n">
        <v>200</v>
      </c>
      <c r="M637" s="10" t="inlineStr">
        <is>
          <t>是</t>
        </is>
      </c>
      <c r="N637" s="10" t="inlineStr">
        <is>
          <t>否</t>
        </is>
      </c>
      <c r="O637" s="10" t="inlineStr">
        <is>
          <t>supplier0633@example.com</t>
        </is>
      </c>
      <c r="P637" s="10" t="inlineStr">
        <is>
          <t>https://example.com/supplier/0633</t>
        </is>
      </c>
      <c r="Q637" s="10">
        <f>IF(R637&gt;=85,"A",IF(R637&gt;=70,"B","C"))</f>
        <v/>
      </c>
      <c r="R637" s="13">
        <f>MIN(100,50+IF(M637="是",10,0)+IF(N637="是",10,0)+IF(L637&lt;=100,10,IF(L637&lt;=300,5,0))+IF(J637&lt;=20,10,IF(J637&lt;=50,5,0))+IF(K637-J637&lt;=20,5,0)+IF(F637="企业官网",5,0))</f>
        <v/>
      </c>
      <c r="S637" s="10">
        <f>IF(Q637="A","价格与起订量有优势，建议优先询盘",IF(Q637="B","条件较均衡，可作为备选","起订量或价格需要进一步确认"))</f>
        <v/>
      </c>
      <c r="T637" s="10" t="inlineStr">
        <is>
          <t>未联系</t>
        </is>
      </c>
      <c r="U637" s="10" t="inlineStr">
        <is>
          <t>虚构演示数据</t>
        </is>
      </c>
    </row>
    <row r="638" ht="21" customHeight="1">
      <c r="A638" s="10" t="inlineStr">
        <is>
          <t>GYS-0634</t>
        </is>
      </c>
      <c r="B638" s="10" t="inlineStr">
        <is>
          <t>南昌小家电供应链0634有限公司（演示）</t>
        </is>
      </c>
      <c r="C638" s="10" t="inlineStr">
        <is>
          <t>小家电</t>
        </is>
      </c>
      <c r="D638" s="10" t="inlineStr">
        <is>
          <t>迷你加湿器</t>
        </is>
      </c>
      <c r="E638" s="10" t="inlineStr">
        <is>
          <t>江西南昌</t>
        </is>
      </c>
      <c r="F638" s="10" t="inlineStr">
        <is>
          <t>1688</t>
        </is>
      </c>
      <c r="G638" s="10" t="inlineStr">
        <is>
          <t>张经理</t>
        </is>
      </c>
      <c r="H638" s="10" t="inlineStr">
        <is>
          <t>000-0000-0634</t>
        </is>
      </c>
      <c r="I638" s="10" t="inlineStr">
        <is>
          <t>DEMO_GYS_0634</t>
        </is>
      </c>
      <c r="J638" s="11" t="n">
        <v>22.6</v>
      </c>
      <c r="K638" s="11" t="n">
        <v>40</v>
      </c>
      <c r="L638" s="12" t="n">
        <v>100</v>
      </c>
      <c r="M638" s="10" t="inlineStr">
        <is>
          <t>是</t>
        </is>
      </c>
      <c r="N638" s="10" t="inlineStr">
        <is>
          <t>是</t>
        </is>
      </c>
      <c r="O638" s="10" t="inlineStr">
        <is>
          <t>supplier0634@example.com</t>
        </is>
      </c>
      <c r="P638" s="10" t="inlineStr">
        <is>
          <t>https://example.com/supplier/0634</t>
        </is>
      </c>
      <c r="Q638" s="10">
        <f>IF(R638&gt;=85,"A",IF(R638&gt;=70,"B","C"))</f>
        <v/>
      </c>
      <c r="R638" s="13">
        <f>MIN(100,50+IF(M638="是",10,0)+IF(N638="是",10,0)+IF(L638&lt;=100,10,IF(L638&lt;=300,5,0))+IF(J638&lt;=20,10,IF(J638&lt;=50,5,0))+IF(K638-J638&lt;=20,5,0)+IF(F638="企业官网",5,0))</f>
        <v/>
      </c>
      <c r="S638" s="10">
        <f>IF(Q638="A","价格与起订量有优势，建议优先询盘",IF(Q638="B","条件较均衡，可作为备选","起订量或价格需要进一步确认"))</f>
        <v/>
      </c>
      <c r="T638" s="10" t="inlineStr">
        <is>
          <t>未联系</t>
        </is>
      </c>
      <c r="U638" s="10" t="inlineStr">
        <is>
          <t>虚构演示数据</t>
        </is>
      </c>
    </row>
    <row r="639" ht="21" customHeight="1">
      <c r="A639" s="10" t="inlineStr">
        <is>
          <t>GYS-0635</t>
        </is>
      </c>
      <c r="B639" s="10" t="inlineStr">
        <is>
          <t>温州礼品包装供应链0635有限公司（演示）</t>
        </is>
      </c>
      <c r="C639" s="10" t="inlineStr">
        <is>
          <t>礼品包装</t>
        </is>
      </c>
      <c r="D639" s="10" t="inlineStr">
        <is>
          <t>节日礼盒</t>
        </is>
      </c>
      <c r="E639" s="10" t="inlineStr">
        <is>
          <t>浙江温州</t>
        </is>
      </c>
      <c r="F639" s="10" t="inlineStr">
        <is>
          <t>中国制造网</t>
        </is>
      </c>
      <c r="G639" s="10" t="inlineStr">
        <is>
          <t>刘经理</t>
        </is>
      </c>
      <c r="H639" s="10" t="inlineStr">
        <is>
          <t>000-0000-0635</t>
        </is>
      </c>
      <c r="I639" s="10" t="inlineStr">
        <is>
          <t>DEMO_GYS_0635</t>
        </is>
      </c>
      <c r="J639" s="11" t="n">
        <v>24.3</v>
      </c>
      <c r="K639" s="11" t="n">
        <v>42.8</v>
      </c>
      <c r="L639" s="12" t="n">
        <v>50</v>
      </c>
      <c r="M639" s="10" t="inlineStr">
        <is>
          <t>是</t>
        </is>
      </c>
      <c r="N639" s="10" t="inlineStr">
        <is>
          <t>是</t>
        </is>
      </c>
      <c r="O639" s="10" t="inlineStr">
        <is>
          <t>supplier0635@example.com</t>
        </is>
      </c>
      <c r="P639" s="10" t="inlineStr">
        <is>
          <t>https://example.com/supplier/0635</t>
        </is>
      </c>
      <c r="Q639" s="10">
        <f>IF(R639&gt;=85,"A",IF(R639&gt;=70,"B","C"))</f>
        <v/>
      </c>
      <c r="R639" s="13">
        <f>MIN(100,50+IF(M639="是",10,0)+IF(N639="是",10,0)+IF(L639&lt;=100,10,IF(L639&lt;=300,5,0))+IF(J639&lt;=20,10,IF(J639&lt;=50,5,0))+IF(K639-J639&lt;=20,5,0)+IF(F639="企业官网",5,0))</f>
        <v/>
      </c>
      <c r="S639" s="10">
        <f>IF(Q639="A","价格与起订量有优势，建议优先询盘",IF(Q639="B","条件较均衡，可作为备选","起订量或价格需要进一步确认"))</f>
        <v/>
      </c>
      <c r="T639" s="10" t="inlineStr">
        <is>
          <t>未联系</t>
        </is>
      </c>
      <c r="U639" s="10" t="inlineStr">
        <is>
          <t>虚构演示数据</t>
        </is>
      </c>
    </row>
    <row r="640" ht="21" customHeight="1">
      <c r="A640" s="10" t="inlineStr">
        <is>
          <t>GYS-0636</t>
        </is>
      </c>
      <c r="B640" s="10" t="inlineStr">
        <is>
          <t>广州五金工具供应链0636有限公司（演示）</t>
        </is>
      </c>
      <c r="C640" s="10" t="inlineStr">
        <is>
          <t>五金工具</t>
        </is>
      </c>
      <c r="D640" s="10" t="inlineStr">
        <is>
          <t>多功能螺丝刀</t>
        </is>
      </c>
      <c r="E640" s="10" t="inlineStr">
        <is>
          <t>广东广州</t>
        </is>
      </c>
      <c r="F640" s="10" t="inlineStr">
        <is>
          <t>企业官网</t>
        </is>
      </c>
      <c r="G640" s="10" t="inlineStr">
        <is>
          <t>黄经理</t>
        </is>
      </c>
      <c r="H640" s="10" t="inlineStr">
        <is>
          <t>000-0000-0636</t>
        </is>
      </c>
      <c r="I640" s="10" t="inlineStr">
        <is>
          <t>DEMO_GYS_0636</t>
        </is>
      </c>
      <c r="J640" s="11" t="n">
        <v>26</v>
      </c>
      <c r="K640" s="11" t="n">
        <v>45.6</v>
      </c>
      <c r="L640" s="12" t="n">
        <v>20</v>
      </c>
      <c r="M640" s="10" t="inlineStr">
        <is>
          <t>否</t>
        </is>
      </c>
      <c r="N640" s="10" t="inlineStr">
        <is>
          <t>否</t>
        </is>
      </c>
      <c r="O640" s="10" t="inlineStr">
        <is>
          <t>supplier0636@example.com</t>
        </is>
      </c>
      <c r="P640" s="10" t="inlineStr">
        <is>
          <t>https://example.com/supplier/0636</t>
        </is>
      </c>
      <c r="Q640" s="10">
        <f>IF(R640&gt;=85,"A",IF(R640&gt;=70,"B","C"))</f>
        <v/>
      </c>
      <c r="R640" s="13">
        <f>MIN(100,50+IF(M640="是",10,0)+IF(N640="是",10,0)+IF(L640&lt;=100,10,IF(L640&lt;=300,5,0))+IF(J640&lt;=20,10,IF(J640&lt;=50,5,0))+IF(K640-J640&lt;=20,5,0)+IF(F640="企业官网",5,0))</f>
        <v/>
      </c>
      <c r="S640" s="10">
        <f>IF(Q640="A","价格与起订量有优势，建议优先询盘",IF(Q640="B","条件较均衡，可作为备选","起订量或价格需要进一步确认"))</f>
        <v/>
      </c>
      <c r="T640" s="10" t="inlineStr">
        <is>
          <t>未联系</t>
        </is>
      </c>
      <c r="U640" s="10" t="inlineStr">
        <is>
          <t>虚构演示数据</t>
        </is>
      </c>
    </row>
    <row r="641" ht="21" customHeight="1">
      <c r="A641" s="10" t="inlineStr">
        <is>
          <t>GYS-0637</t>
        </is>
      </c>
      <c r="B641" s="10" t="inlineStr">
        <is>
          <t>泉州鞋靴配件供应链0637有限公司（演示）</t>
        </is>
      </c>
      <c r="C641" s="10" t="inlineStr">
        <is>
          <t>鞋靴配件</t>
        </is>
      </c>
      <c r="D641" s="10" t="inlineStr">
        <is>
          <t>防磨脚贴</t>
        </is>
      </c>
      <c r="E641" s="10" t="inlineStr">
        <is>
          <t>福建泉州</t>
        </is>
      </c>
      <c r="F641" s="10" t="inlineStr">
        <is>
          <t>义乌购</t>
        </is>
      </c>
      <c r="G641" s="10" t="inlineStr">
        <is>
          <t>赵经理</t>
        </is>
      </c>
      <c r="H641" s="10" t="inlineStr">
        <is>
          <t>000-0000-0637</t>
        </is>
      </c>
      <c r="I641" s="10" t="inlineStr">
        <is>
          <t>DEMO_GYS_0637</t>
        </is>
      </c>
      <c r="J641" s="11" t="n">
        <v>27.7</v>
      </c>
      <c r="K641" s="11" t="n">
        <v>48.4</v>
      </c>
      <c r="L641" s="12" t="n">
        <v>500</v>
      </c>
      <c r="M641" s="10" t="inlineStr">
        <is>
          <t>是</t>
        </is>
      </c>
      <c r="N641" s="10" t="inlineStr">
        <is>
          <t>是</t>
        </is>
      </c>
      <c r="O641" s="10" t="inlineStr">
        <is>
          <t>supplier0637@example.com</t>
        </is>
      </c>
      <c r="P641" s="10" t="inlineStr">
        <is>
          <t>https://example.com/supplier/0637</t>
        </is>
      </c>
      <c r="Q641" s="10">
        <f>IF(R641&gt;=85,"A",IF(R641&gt;=70,"B","C"))</f>
        <v/>
      </c>
      <c r="R641" s="13">
        <f>MIN(100,50+IF(M641="是",10,0)+IF(N641="是",10,0)+IF(L641&lt;=100,10,IF(L641&lt;=300,5,0))+IF(J641&lt;=20,10,IF(J641&lt;=50,5,0))+IF(K641-J641&lt;=20,5,0)+IF(F641="企业官网",5,0))</f>
        <v/>
      </c>
      <c r="S641" s="10">
        <f>IF(Q641="A","价格与起订量有优势，建议优先询盘",IF(Q641="B","条件较均衡，可作为备选","起订量或价格需要进一步确认"))</f>
        <v/>
      </c>
      <c r="T641" s="10" t="inlineStr">
        <is>
          <t>未联系</t>
        </is>
      </c>
      <c r="U641" s="10" t="inlineStr">
        <is>
          <t>虚构演示数据</t>
        </is>
      </c>
    </row>
    <row r="642" ht="21" customHeight="1">
      <c r="A642" s="10" t="inlineStr">
        <is>
          <t>GYS-0638</t>
        </is>
      </c>
      <c r="B642" s="10" t="inlineStr">
        <is>
          <t>南通食品包装供应链0638有限公司（演示）</t>
        </is>
      </c>
      <c r="C642" s="10" t="inlineStr">
        <is>
          <t>食品包装</t>
        </is>
      </c>
      <c r="D642" s="10" t="inlineStr">
        <is>
          <t>密封包装袋</t>
        </is>
      </c>
      <c r="E642" s="10" t="inlineStr">
        <is>
          <t>江苏南通</t>
        </is>
      </c>
      <c r="F642" s="10" t="inlineStr">
        <is>
          <t>慧聪网</t>
        </is>
      </c>
      <c r="G642" s="10" t="inlineStr">
        <is>
          <t>周经理</t>
        </is>
      </c>
      <c r="H642" s="10" t="inlineStr">
        <is>
          <t>000-0000-0638</t>
        </is>
      </c>
      <c r="I642" s="10" t="inlineStr">
        <is>
          <t>DEMO_GYS_0638</t>
        </is>
      </c>
      <c r="J642" s="11" t="n">
        <v>29.4</v>
      </c>
      <c r="K642" s="11" t="n">
        <v>51.2</v>
      </c>
      <c r="L642" s="12" t="n">
        <v>300</v>
      </c>
      <c r="M642" s="10" t="inlineStr">
        <is>
          <t>是</t>
        </is>
      </c>
      <c r="N642" s="10" t="inlineStr">
        <is>
          <t>是</t>
        </is>
      </c>
      <c r="O642" s="10" t="inlineStr">
        <is>
          <t>supplier0638@example.com</t>
        </is>
      </c>
      <c r="P642" s="10" t="inlineStr">
        <is>
          <t>https://example.com/supplier/0638</t>
        </is>
      </c>
      <c r="Q642" s="10">
        <f>IF(R642&gt;=85,"A",IF(R642&gt;=70,"B","C"))</f>
        <v/>
      </c>
      <c r="R642" s="13">
        <f>MIN(100,50+IF(M642="是",10,0)+IF(N642="是",10,0)+IF(L642&lt;=100,10,IF(L642&lt;=300,5,0))+IF(J642&lt;=20,10,IF(J642&lt;=50,5,0))+IF(K642-J642&lt;=20,5,0)+IF(F642="企业官网",5,0))</f>
        <v/>
      </c>
      <c r="S642" s="10">
        <f>IF(Q642="A","价格与起订量有优势，建议优先询盘",IF(Q642="B","条件较均衡，可作为备选","起订量或价格需要进一步确认"))</f>
        <v/>
      </c>
      <c r="T642" s="10" t="inlineStr">
        <is>
          <t>未联系</t>
        </is>
      </c>
      <c r="U642" s="10" t="inlineStr">
        <is>
          <t>虚构演示数据</t>
        </is>
      </c>
    </row>
    <row r="643" ht="21" customHeight="1">
      <c r="A643" s="10" t="inlineStr">
        <is>
          <t>GYS-0639</t>
        </is>
      </c>
      <c r="B643" s="10" t="inlineStr">
        <is>
          <t>郑州户外照明供应链0639有限公司（演示）</t>
        </is>
      </c>
      <c r="C643" s="10" t="inlineStr">
        <is>
          <t>户外照明</t>
        </is>
      </c>
      <c r="D643" s="10" t="inlineStr">
        <is>
          <t>便携露营灯</t>
        </is>
      </c>
      <c r="E643" s="10" t="inlineStr">
        <is>
          <t>河南郑州</t>
        </is>
      </c>
      <c r="F643" s="10" t="inlineStr">
        <is>
          <t>1688</t>
        </is>
      </c>
      <c r="G643" s="10" t="inlineStr">
        <is>
          <t>吴经理</t>
        </is>
      </c>
      <c r="H643" s="10" t="inlineStr">
        <is>
          <t>000-0000-0639</t>
        </is>
      </c>
      <c r="I643" s="10" t="inlineStr">
        <is>
          <t>DEMO_GYS_0639</t>
        </is>
      </c>
      <c r="J643" s="11" t="n">
        <v>31.1</v>
      </c>
      <c r="K643" s="11" t="n">
        <v>36</v>
      </c>
      <c r="L643" s="12" t="n">
        <v>200</v>
      </c>
      <c r="M643" s="10" t="inlineStr">
        <is>
          <t>是</t>
        </is>
      </c>
      <c r="N643" s="10" t="inlineStr">
        <is>
          <t>否</t>
        </is>
      </c>
      <c r="O643" s="10" t="inlineStr">
        <is>
          <t>supplier0639@example.com</t>
        </is>
      </c>
      <c r="P643" s="10" t="inlineStr">
        <is>
          <t>https://example.com/supplier/0639</t>
        </is>
      </c>
      <c r="Q643" s="10">
        <f>IF(R643&gt;=85,"A",IF(R643&gt;=70,"B","C"))</f>
        <v/>
      </c>
      <c r="R643" s="13">
        <f>MIN(100,50+IF(M643="是",10,0)+IF(N643="是",10,0)+IF(L643&lt;=100,10,IF(L643&lt;=300,5,0))+IF(J643&lt;=20,10,IF(J643&lt;=50,5,0))+IF(K643-J643&lt;=20,5,0)+IF(F643="企业官网",5,0))</f>
        <v/>
      </c>
      <c r="S643" s="10">
        <f>IF(Q643="A","价格与起订量有优势，建议优先询盘",IF(Q643="B","条件较均衡，可作为备选","起订量或价格需要进一步确认"))</f>
        <v/>
      </c>
      <c r="T643" s="10" t="inlineStr">
        <is>
          <t>未联系</t>
        </is>
      </c>
      <c r="U643" s="10" t="inlineStr">
        <is>
          <t>虚构演示数据</t>
        </is>
      </c>
    </row>
    <row r="644" ht="21" customHeight="1">
      <c r="A644" s="10" t="inlineStr">
        <is>
          <t>GYS-0640</t>
        </is>
      </c>
      <c r="B644" s="10" t="inlineStr">
        <is>
          <t>宁波健康用品供应链0640有限公司（演示）</t>
        </is>
      </c>
      <c r="C644" s="10" t="inlineStr">
        <is>
          <t>健康用品</t>
        </is>
      </c>
      <c r="D644" s="10" t="inlineStr">
        <is>
          <t>热敷眼罩</t>
        </is>
      </c>
      <c r="E644" s="10" t="inlineStr">
        <is>
          <t>浙江宁波</t>
        </is>
      </c>
      <c r="F644" s="10" t="inlineStr">
        <is>
          <t>中国制造网</t>
        </is>
      </c>
      <c r="G644" s="10" t="inlineStr">
        <is>
          <t>陈经理</t>
        </is>
      </c>
      <c r="H644" s="10" t="inlineStr">
        <is>
          <t>000-0000-0640</t>
        </is>
      </c>
      <c r="I644" s="10" t="inlineStr">
        <is>
          <t>DEMO_GYS_0640</t>
        </is>
      </c>
      <c r="J644" s="11" t="n">
        <v>32.8</v>
      </c>
      <c r="K644" s="11" t="n">
        <v>38.8</v>
      </c>
      <c r="L644" s="12" t="n">
        <v>100</v>
      </c>
      <c r="M644" s="10" t="inlineStr">
        <is>
          <t>否</t>
        </is>
      </c>
      <c r="N644" s="10" t="inlineStr">
        <is>
          <t>是</t>
        </is>
      </c>
      <c r="O644" s="10" t="inlineStr">
        <is>
          <t>supplier0640@example.com</t>
        </is>
      </c>
      <c r="P644" s="10" t="inlineStr">
        <is>
          <t>https://example.com/supplier/0640</t>
        </is>
      </c>
      <c r="Q644" s="10">
        <f>IF(R644&gt;=85,"A",IF(R644&gt;=70,"B","C"))</f>
        <v/>
      </c>
      <c r="R644" s="13">
        <f>MIN(100,50+IF(M644="是",10,0)+IF(N644="是",10,0)+IF(L644&lt;=100,10,IF(L644&lt;=300,5,0))+IF(J644&lt;=20,10,IF(J644&lt;=50,5,0))+IF(K644-J644&lt;=20,5,0)+IF(F644="企业官网",5,0))</f>
        <v/>
      </c>
      <c r="S644" s="10">
        <f>IF(Q644="A","价格与起订量有优势，建议优先询盘",IF(Q644="B","条件较均衡，可作为备选","起订量或价格需要进一步确认"))</f>
        <v/>
      </c>
      <c r="T644" s="10" t="inlineStr">
        <is>
          <t>未联系</t>
        </is>
      </c>
      <c r="U644" s="10" t="inlineStr">
        <is>
          <t>虚构演示数据</t>
        </is>
      </c>
    </row>
    <row r="645" ht="21" customHeight="1">
      <c r="A645" s="10" t="inlineStr">
        <is>
          <t>GYS-0641</t>
        </is>
      </c>
      <c r="B645" s="10" t="inlineStr">
        <is>
          <t>深圳服饰内衣供应链0641有限公司（演示）</t>
        </is>
      </c>
      <c r="C645" s="10" t="inlineStr">
        <is>
          <t>服饰内衣</t>
        </is>
      </c>
      <c r="D645" s="10" t="inlineStr">
        <is>
          <t>防滑袜</t>
        </is>
      </c>
      <c r="E645" s="10" t="inlineStr">
        <is>
          <t>广东深圳</t>
        </is>
      </c>
      <c r="F645" s="10" t="inlineStr">
        <is>
          <t>企业官网</t>
        </is>
      </c>
      <c r="G645" s="10" t="inlineStr">
        <is>
          <t>林经理</t>
        </is>
      </c>
      <c r="H645" s="10" t="inlineStr">
        <is>
          <t>000-0000-0641</t>
        </is>
      </c>
      <c r="I645" s="10" t="inlineStr">
        <is>
          <t>DEMO_GYS_0641</t>
        </is>
      </c>
      <c r="J645" s="11" t="n">
        <v>34.5</v>
      </c>
      <c r="K645" s="11" t="n">
        <v>41.6</v>
      </c>
      <c r="L645" s="12" t="n">
        <v>50</v>
      </c>
      <c r="M645" s="10" t="inlineStr">
        <is>
          <t>是</t>
        </is>
      </c>
      <c r="N645" s="10" t="inlineStr">
        <is>
          <t>是</t>
        </is>
      </c>
      <c r="O645" s="10" t="inlineStr">
        <is>
          <t>supplier0641@example.com</t>
        </is>
      </c>
      <c r="P645" s="10" t="inlineStr">
        <is>
          <t>https://example.com/supplier/0641</t>
        </is>
      </c>
      <c r="Q645" s="10">
        <f>IF(R645&gt;=85,"A",IF(R645&gt;=70,"B","C"))</f>
        <v/>
      </c>
      <c r="R645" s="13">
        <f>MIN(100,50+IF(M645="是",10,0)+IF(N645="是",10,0)+IF(L645&lt;=100,10,IF(L645&lt;=300,5,0))+IF(J645&lt;=20,10,IF(J645&lt;=50,5,0))+IF(K645-J645&lt;=20,5,0)+IF(F645="企业官网",5,0))</f>
        <v/>
      </c>
      <c r="S645" s="10">
        <f>IF(Q645="A","价格与起订量有优势，建议优先询盘",IF(Q645="B","条件较均衡，可作为备选","起订量或价格需要进一步确认"))</f>
        <v/>
      </c>
      <c r="T645" s="10" t="inlineStr">
        <is>
          <t>未联系</t>
        </is>
      </c>
      <c r="U645" s="10" t="inlineStr">
        <is>
          <t>虚构演示数据</t>
        </is>
      </c>
    </row>
    <row r="646" ht="21" customHeight="1">
      <c r="A646" s="10" t="inlineStr">
        <is>
          <t>GYS-0642</t>
        </is>
      </c>
      <c r="B646" s="10" t="inlineStr">
        <is>
          <t>佛山家居日用供应链0642有限公司（演示）</t>
        </is>
      </c>
      <c r="C646" s="10" t="inlineStr">
        <is>
          <t>家居日用</t>
        </is>
      </c>
      <c r="D646" s="10" t="inlineStr">
        <is>
          <t>折叠收纳箱</t>
        </is>
      </c>
      <c r="E646" s="10" t="inlineStr">
        <is>
          <t>广东佛山</t>
        </is>
      </c>
      <c r="F646" s="10" t="inlineStr">
        <is>
          <t>义乌购</t>
        </is>
      </c>
      <c r="G646" s="10" t="inlineStr">
        <is>
          <t>王经理</t>
        </is>
      </c>
      <c r="H646" s="10" t="inlineStr">
        <is>
          <t>000-0000-0642</t>
        </is>
      </c>
      <c r="I646" s="10" t="inlineStr">
        <is>
          <t>DEMO_GYS_0642</t>
        </is>
      </c>
      <c r="J646" s="11" t="n">
        <v>36.2</v>
      </c>
      <c r="K646" s="11" t="n">
        <v>44.4</v>
      </c>
      <c r="L646" s="12" t="n">
        <v>20</v>
      </c>
      <c r="M646" s="10" t="inlineStr">
        <is>
          <t>是</t>
        </is>
      </c>
      <c r="N646" s="10" t="inlineStr">
        <is>
          <t>否</t>
        </is>
      </c>
      <c r="O646" s="10" t="inlineStr">
        <is>
          <t>supplier0642@example.com</t>
        </is>
      </c>
      <c r="P646" s="10" t="inlineStr">
        <is>
          <t>https://example.com/supplier/0642</t>
        </is>
      </c>
      <c r="Q646" s="10">
        <f>IF(R646&gt;=85,"A",IF(R646&gt;=70,"B","C"))</f>
        <v/>
      </c>
      <c r="R646" s="13">
        <f>MIN(100,50+IF(M646="是",10,0)+IF(N646="是",10,0)+IF(L646&lt;=100,10,IF(L646&lt;=300,5,0))+IF(J646&lt;=20,10,IF(J646&lt;=50,5,0))+IF(K646-J646&lt;=20,5,0)+IF(F646="企业官网",5,0))</f>
        <v/>
      </c>
      <c r="S646" s="10">
        <f>IF(Q646="A","价格与起订量有优势，建议优先询盘",IF(Q646="B","条件较均衡，可作为备选","起订量或价格需要进一步确认"))</f>
        <v/>
      </c>
      <c r="T646" s="10" t="inlineStr">
        <is>
          <t>未联系</t>
        </is>
      </c>
      <c r="U646" s="10" t="inlineStr">
        <is>
          <t>虚构演示数据</t>
        </is>
      </c>
    </row>
    <row r="647" ht="21" customHeight="1">
      <c r="A647" s="10" t="inlineStr">
        <is>
          <t>GYS-0643</t>
        </is>
      </c>
      <c r="B647" s="10" t="inlineStr">
        <is>
          <t>苏州个护清洁供应链0643有限公司（演示）</t>
        </is>
      </c>
      <c r="C647" s="10" t="inlineStr">
        <is>
          <t>个护清洁</t>
        </is>
      </c>
      <c r="D647" s="10" t="inlineStr">
        <is>
          <t>便携洗脸巾</t>
        </is>
      </c>
      <c r="E647" s="10" t="inlineStr">
        <is>
          <t>江苏苏州</t>
        </is>
      </c>
      <c r="F647" s="10" t="inlineStr">
        <is>
          <t>慧聪网</t>
        </is>
      </c>
      <c r="G647" s="10" t="inlineStr">
        <is>
          <t>李经理</t>
        </is>
      </c>
      <c r="H647" s="10" t="inlineStr">
        <is>
          <t>000-0000-0643</t>
        </is>
      </c>
      <c r="I647" s="10" t="inlineStr">
        <is>
          <t>DEMO_GYS_0643</t>
        </is>
      </c>
      <c r="J647" s="11" t="n">
        <v>37.9</v>
      </c>
      <c r="K647" s="11" t="n">
        <v>47.2</v>
      </c>
      <c r="L647" s="12" t="n">
        <v>500</v>
      </c>
      <c r="M647" s="10" t="inlineStr">
        <is>
          <t>是</t>
        </is>
      </c>
      <c r="N647" s="10" t="inlineStr">
        <is>
          <t>是</t>
        </is>
      </c>
      <c r="O647" s="10" t="inlineStr">
        <is>
          <t>supplier0643@example.com</t>
        </is>
      </c>
      <c r="P647" s="10" t="inlineStr">
        <is>
          <t>https://example.com/supplier/0643</t>
        </is>
      </c>
      <c r="Q647" s="10">
        <f>IF(R647&gt;=85,"A",IF(R647&gt;=70,"B","C"))</f>
        <v/>
      </c>
      <c r="R647" s="13">
        <f>MIN(100,50+IF(M647="是",10,0)+IF(N647="是",10,0)+IF(L647&lt;=100,10,IF(L647&lt;=300,5,0))+IF(J647&lt;=20,10,IF(J647&lt;=50,5,0))+IF(K647-J647&lt;=20,5,0)+IF(F647="企业官网",5,0))</f>
        <v/>
      </c>
      <c r="S647" s="10">
        <f>IF(Q647="A","价格与起订量有优势，建议优先询盘",IF(Q647="B","条件较均衡，可作为备选","起订量或价格需要进一步确认"))</f>
        <v/>
      </c>
      <c r="T647" s="10" t="inlineStr">
        <is>
          <t>未联系</t>
        </is>
      </c>
      <c r="U647" s="10" t="inlineStr">
        <is>
          <t>虚构演示数据</t>
        </is>
      </c>
    </row>
    <row r="648" ht="21" customHeight="1">
      <c r="A648" s="10" t="inlineStr">
        <is>
          <t>GYS-0644</t>
        </is>
      </c>
      <c r="B648" s="10" t="inlineStr">
        <is>
          <t>白沟厨房用品供应链0644有限公司（演示）</t>
        </is>
      </c>
      <c r="C648" s="10" t="inlineStr">
        <is>
          <t>厨房用品</t>
        </is>
      </c>
      <c r="D648" s="10" t="inlineStr">
        <is>
          <t>硅胶保鲜盒</t>
        </is>
      </c>
      <c r="E648" s="10" t="inlineStr">
        <is>
          <t>河北白沟</t>
        </is>
      </c>
      <c r="F648" s="10" t="inlineStr">
        <is>
          <t>1688</t>
        </is>
      </c>
      <c r="G648" s="10" t="inlineStr">
        <is>
          <t>张经理</t>
        </is>
      </c>
      <c r="H648" s="10" t="inlineStr">
        <is>
          <t>000-0000-0644</t>
        </is>
      </c>
      <c r="I648" s="10" t="inlineStr">
        <is>
          <t>DEMO_GYS_0644</t>
        </is>
      </c>
      <c r="J648" s="11" t="n">
        <v>39.6</v>
      </c>
      <c r="K648" s="11" t="n">
        <v>50</v>
      </c>
      <c r="L648" s="12" t="n">
        <v>300</v>
      </c>
      <c r="M648" s="10" t="inlineStr">
        <is>
          <t>否</t>
        </is>
      </c>
      <c r="N648" s="10" t="inlineStr">
        <is>
          <t>是</t>
        </is>
      </c>
      <c r="O648" s="10" t="inlineStr">
        <is>
          <t>supplier0644@example.com</t>
        </is>
      </c>
      <c r="P648" s="10" t="inlineStr">
        <is>
          <t>https://example.com/supplier/0644</t>
        </is>
      </c>
      <c r="Q648" s="10">
        <f>IF(R648&gt;=85,"A",IF(R648&gt;=70,"B","C"))</f>
        <v/>
      </c>
      <c r="R648" s="13">
        <f>MIN(100,50+IF(M648="是",10,0)+IF(N648="是",10,0)+IF(L648&lt;=100,10,IF(L648&lt;=300,5,0))+IF(J648&lt;=20,10,IF(J648&lt;=50,5,0))+IF(K648-J648&lt;=20,5,0)+IF(F648="企业官网",5,0))</f>
        <v/>
      </c>
      <c r="S648" s="10">
        <f>IF(Q648="A","价格与起订量有优势，建议优先询盘",IF(Q648="B","条件较均衡，可作为备选","起订量或价格需要进一步确认"))</f>
        <v/>
      </c>
      <c r="T648" s="10" t="inlineStr">
        <is>
          <t>未联系</t>
        </is>
      </c>
      <c r="U648" s="10" t="inlineStr">
        <is>
          <t>虚构演示数据</t>
        </is>
      </c>
    </row>
    <row r="649" ht="21" customHeight="1">
      <c r="A649" s="10" t="inlineStr">
        <is>
          <t>GYS-0645</t>
        </is>
      </c>
      <c r="B649" s="10" t="inlineStr">
        <is>
          <t>义乌数码配件供应链0645有限公司（演示）</t>
        </is>
      </c>
      <c r="C649" s="10" t="inlineStr">
        <is>
          <t>数码配件</t>
        </is>
      </c>
      <c r="D649" s="10" t="inlineStr">
        <is>
          <t>磁吸手机支架</t>
        </is>
      </c>
      <c r="E649" s="10" t="inlineStr">
        <is>
          <t>浙江义乌</t>
        </is>
      </c>
      <c r="F649" s="10" t="inlineStr">
        <is>
          <t>中国制造网</t>
        </is>
      </c>
      <c r="G649" s="10" t="inlineStr">
        <is>
          <t>刘经理</t>
        </is>
      </c>
      <c r="H649" s="10" t="inlineStr">
        <is>
          <t>000-0000-0645</t>
        </is>
      </c>
      <c r="I649" s="10" t="inlineStr">
        <is>
          <t>DEMO_GYS_0645</t>
        </is>
      </c>
      <c r="J649" s="11" t="n">
        <v>41.3</v>
      </c>
      <c r="K649" s="11" t="n">
        <v>52.8</v>
      </c>
      <c r="L649" s="12" t="n">
        <v>200</v>
      </c>
      <c r="M649" s="10" t="inlineStr">
        <is>
          <t>是</t>
        </is>
      </c>
      <c r="N649" s="10" t="inlineStr">
        <is>
          <t>否</t>
        </is>
      </c>
      <c r="O649" s="10" t="inlineStr">
        <is>
          <t>supplier0645@example.com</t>
        </is>
      </c>
      <c r="P649" s="10" t="inlineStr">
        <is>
          <t>https://example.com/supplier/0645</t>
        </is>
      </c>
      <c r="Q649" s="10">
        <f>IF(R649&gt;=85,"A",IF(R649&gt;=70,"B","C"))</f>
        <v/>
      </c>
      <c r="R649" s="13">
        <f>MIN(100,50+IF(M649="是",10,0)+IF(N649="是",10,0)+IF(L649&lt;=100,10,IF(L649&lt;=300,5,0))+IF(J649&lt;=20,10,IF(J649&lt;=50,5,0))+IF(K649-J649&lt;=20,5,0)+IF(F649="企业官网",5,0))</f>
        <v/>
      </c>
      <c r="S649" s="10">
        <f>IF(Q649="A","价格与起订量有优势，建议优先询盘",IF(Q649="B","条件较均衡，可作为备选","起订量或价格需要进一步确认"))</f>
        <v/>
      </c>
      <c r="T649" s="10" t="inlineStr">
        <is>
          <t>未联系</t>
        </is>
      </c>
      <c r="U649" s="10" t="inlineStr">
        <is>
          <t>虚构演示数据</t>
        </is>
      </c>
    </row>
    <row r="650" ht="21" customHeight="1">
      <c r="A650" s="10" t="inlineStr">
        <is>
          <t>GYS-0646</t>
        </is>
      </c>
      <c r="B650" s="10" t="inlineStr">
        <is>
          <t>台州宠物用品供应链0646有限公司（演示）</t>
        </is>
      </c>
      <c r="C650" s="10" t="inlineStr">
        <is>
          <t>宠物用品</t>
        </is>
      </c>
      <c r="D650" s="10" t="inlineStr">
        <is>
          <t>宠物清洁手套</t>
        </is>
      </c>
      <c r="E650" s="10" t="inlineStr">
        <is>
          <t>浙江台州</t>
        </is>
      </c>
      <c r="F650" s="10" t="inlineStr">
        <is>
          <t>企业官网</t>
        </is>
      </c>
      <c r="G650" s="10" t="inlineStr">
        <is>
          <t>黄经理</t>
        </is>
      </c>
      <c r="H650" s="10" t="inlineStr">
        <is>
          <t>000-0000-0646</t>
        </is>
      </c>
      <c r="I650" s="10" t="inlineStr">
        <is>
          <t>DEMO_GYS_0646</t>
        </is>
      </c>
      <c r="J650" s="11" t="n">
        <v>43</v>
      </c>
      <c r="K650" s="11" t="n">
        <v>55.6</v>
      </c>
      <c r="L650" s="12" t="n">
        <v>100</v>
      </c>
      <c r="M650" s="10" t="inlineStr">
        <is>
          <t>是</t>
        </is>
      </c>
      <c r="N650" s="10" t="inlineStr">
        <is>
          <t>是</t>
        </is>
      </c>
      <c r="O650" s="10" t="inlineStr">
        <is>
          <t>supplier0646@example.com</t>
        </is>
      </c>
      <c r="P650" s="10" t="inlineStr">
        <is>
          <t>https://example.com/supplier/0646</t>
        </is>
      </c>
      <c r="Q650" s="10">
        <f>IF(R650&gt;=85,"A",IF(R650&gt;=70,"B","C"))</f>
        <v/>
      </c>
      <c r="R650" s="13">
        <f>MIN(100,50+IF(M650="是",10,0)+IF(N650="是",10,0)+IF(L650&lt;=100,10,IF(L650&lt;=300,5,0))+IF(J650&lt;=20,10,IF(J650&lt;=50,5,0))+IF(K650-J650&lt;=20,5,0)+IF(F650="企业官网",5,0))</f>
        <v/>
      </c>
      <c r="S650" s="10">
        <f>IF(Q650="A","价格与起订量有优势，建议优先询盘",IF(Q650="B","条件较均衡，可作为备选","起订量或价格需要进一步确认"))</f>
        <v/>
      </c>
      <c r="T650" s="10" t="inlineStr">
        <is>
          <t>未联系</t>
        </is>
      </c>
      <c r="U650" s="10" t="inlineStr">
        <is>
          <t>虚构演示数据</t>
        </is>
      </c>
    </row>
    <row r="651" ht="21" customHeight="1">
      <c r="A651" s="10" t="inlineStr">
        <is>
          <t>GYS-0647</t>
        </is>
      </c>
      <c r="B651" s="10" t="inlineStr">
        <is>
          <t>东莞母婴用品供应链0647有限公司（演示）</t>
        </is>
      </c>
      <c r="C651" s="10" t="inlineStr">
        <is>
          <t>母婴用品</t>
        </is>
      </c>
      <c r="D651" s="10" t="inlineStr">
        <is>
          <t>婴儿防撞条</t>
        </is>
      </c>
      <c r="E651" s="10" t="inlineStr">
        <is>
          <t>广东东莞</t>
        </is>
      </c>
      <c r="F651" s="10" t="inlineStr">
        <is>
          <t>义乌购</t>
        </is>
      </c>
      <c r="G651" s="10" t="inlineStr">
        <is>
          <t>赵经理</t>
        </is>
      </c>
      <c r="H651" s="10" t="inlineStr">
        <is>
          <t>000-0000-0647</t>
        </is>
      </c>
      <c r="I651" s="10" t="inlineStr">
        <is>
          <t>DEMO_GYS_0647</t>
        </is>
      </c>
      <c r="J651" s="11" t="n">
        <v>44.7</v>
      </c>
      <c r="K651" s="11" t="n">
        <v>58.4</v>
      </c>
      <c r="L651" s="12" t="n">
        <v>50</v>
      </c>
      <c r="M651" s="10" t="inlineStr">
        <is>
          <t>是</t>
        </is>
      </c>
      <c r="N651" s="10" t="inlineStr">
        <is>
          <t>是</t>
        </is>
      </c>
      <c r="O651" s="10" t="inlineStr">
        <is>
          <t>supplier0647@example.com</t>
        </is>
      </c>
      <c r="P651" s="10" t="inlineStr">
        <is>
          <t>https://example.com/supplier/0647</t>
        </is>
      </c>
      <c r="Q651" s="10">
        <f>IF(R651&gt;=85,"A",IF(R651&gt;=70,"B","C"))</f>
        <v/>
      </c>
      <c r="R651" s="13">
        <f>MIN(100,50+IF(M651="是",10,0)+IF(N651="是",10,0)+IF(L651&lt;=100,10,IF(L651&lt;=300,5,0))+IF(J651&lt;=20,10,IF(J651&lt;=50,5,0))+IF(K651-J651&lt;=20,5,0)+IF(F651="企业官网",5,0))</f>
        <v/>
      </c>
      <c r="S651" s="10">
        <f>IF(Q651="A","价格与起订量有优势，建议优先询盘",IF(Q651="B","条件较均衡，可作为备选","起订量或价格需要进一步确认"))</f>
        <v/>
      </c>
      <c r="T651" s="10" t="inlineStr">
        <is>
          <t>未联系</t>
        </is>
      </c>
      <c r="U651" s="10" t="inlineStr">
        <is>
          <t>虚构演示数据</t>
        </is>
      </c>
    </row>
    <row r="652" ht="21" customHeight="1">
      <c r="A652" s="10" t="inlineStr">
        <is>
          <t>GYS-0648</t>
        </is>
      </c>
      <c r="B652" s="10" t="inlineStr">
        <is>
          <t>厦门运动户外供应链0648有限公司（演示）</t>
        </is>
      </c>
      <c r="C652" s="10" t="inlineStr">
        <is>
          <t>运动户外</t>
        </is>
      </c>
      <c r="D652" s="10" t="inlineStr">
        <is>
          <t>弹力训练带</t>
        </is>
      </c>
      <c r="E652" s="10" t="inlineStr">
        <is>
          <t>福建厦门</t>
        </is>
      </c>
      <c r="F652" s="10" t="inlineStr">
        <is>
          <t>慧聪网</t>
        </is>
      </c>
      <c r="G652" s="10" t="inlineStr">
        <is>
          <t>周经理</t>
        </is>
      </c>
      <c r="H652" s="10" t="inlineStr">
        <is>
          <t>000-0000-0648</t>
        </is>
      </c>
      <c r="I652" s="10" t="inlineStr">
        <is>
          <t>DEMO_GYS_0648</t>
        </is>
      </c>
      <c r="J652" s="11" t="n">
        <v>46.4</v>
      </c>
      <c r="K652" s="11" t="n">
        <v>61.2</v>
      </c>
      <c r="L652" s="12" t="n">
        <v>20</v>
      </c>
      <c r="M652" s="10" t="inlineStr">
        <is>
          <t>否</t>
        </is>
      </c>
      <c r="N652" s="10" t="inlineStr">
        <is>
          <t>否</t>
        </is>
      </c>
      <c r="O652" s="10" t="inlineStr">
        <is>
          <t>supplier0648@example.com</t>
        </is>
      </c>
      <c r="P652" s="10" t="inlineStr">
        <is>
          <t>https://example.com/supplier/0648</t>
        </is>
      </c>
      <c r="Q652" s="10">
        <f>IF(R652&gt;=85,"A",IF(R652&gt;=70,"B","C"))</f>
        <v/>
      </c>
      <c r="R652" s="13">
        <f>MIN(100,50+IF(M652="是",10,0)+IF(N652="是",10,0)+IF(L652&lt;=100,10,IF(L652&lt;=300,5,0))+IF(J652&lt;=20,10,IF(J652&lt;=50,5,0))+IF(K652-J652&lt;=20,5,0)+IF(F652="企业官网",5,0))</f>
        <v/>
      </c>
      <c r="S652" s="10">
        <f>IF(Q652="A","价格与起订量有优势，建议优先询盘",IF(Q652="B","条件较均衡，可作为备选","起订量或价格需要进一步确认"))</f>
        <v/>
      </c>
      <c r="T652" s="10" t="inlineStr">
        <is>
          <t>未联系</t>
        </is>
      </c>
      <c r="U652" s="10" t="inlineStr">
        <is>
          <t>虚构演示数据</t>
        </is>
      </c>
    </row>
    <row r="653" ht="21" customHeight="1">
      <c r="A653" s="10" t="inlineStr">
        <is>
          <t>GYS-0649</t>
        </is>
      </c>
      <c r="B653" s="10" t="inlineStr">
        <is>
          <t>临沂办公文具供应链0649有限公司（演示）</t>
        </is>
      </c>
      <c r="C653" s="10" t="inlineStr">
        <is>
          <t>办公文具</t>
        </is>
      </c>
      <c r="D653" s="10" t="inlineStr">
        <is>
          <t>桌面收纳架</t>
        </is>
      </c>
      <c r="E653" s="10" t="inlineStr">
        <is>
          <t>山东临沂</t>
        </is>
      </c>
      <c r="F653" s="10" t="inlineStr">
        <is>
          <t>1688</t>
        </is>
      </c>
      <c r="G653" s="10" t="inlineStr">
        <is>
          <t>吴经理</t>
        </is>
      </c>
      <c r="H653" s="10" t="inlineStr">
        <is>
          <t>000-0000-0649</t>
        </is>
      </c>
      <c r="I653" s="10" t="inlineStr">
        <is>
          <t>DEMO_GYS_0649</t>
        </is>
      </c>
      <c r="J653" s="11" t="n">
        <v>48.1</v>
      </c>
      <c r="K653" s="11" t="n">
        <v>64</v>
      </c>
      <c r="L653" s="12" t="n">
        <v>500</v>
      </c>
      <c r="M653" s="10" t="inlineStr">
        <is>
          <t>是</t>
        </is>
      </c>
      <c r="N653" s="10" t="inlineStr">
        <is>
          <t>是</t>
        </is>
      </c>
      <c r="O653" s="10" t="inlineStr">
        <is>
          <t>supplier0649@example.com</t>
        </is>
      </c>
      <c r="P653" s="10" t="inlineStr">
        <is>
          <t>https://example.com/supplier/0649</t>
        </is>
      </c>
      <c r="Q653" s="10">
        <f>IF(R653&gt;=85,"A",IF(R653&gt;=70,"B","C"))</f>
        <v/>
      </c>
      <c r="R653" s="13">
        <f>MIN(100,50+IF(M653="是",10,0)+IF(N653="是",10,0)+IF(L653&lt;=100,10,IF(L653&lt;=300,5,0))+IF(J653&lt;=20,10,IF(J653&lt;=50,5,0))+IF(K653-J653&lt;=20,5,0)+IF(F653="企业官网",5,0))</f>
        <v/>
      </c>
      <c r="S653" s="10">
        <f>IF(Q653="A","价格与起订量有优势，建议优先询盘",IF(Q653="B","条件较均衡，可作为备选","起订量或价格需要进一步确认"))</f>
        <v/>
      </c>
      <c r="T653" s="10" t="inlineStr">
        <is>
          <t>未联系</t>
        </is>
      </c>
      <c r="U653" s="10" t="inlineStr">
        <is>
          <t>虚构演示数据</t>
        </is>
      </c>
    </row>
    <row r="654" ht="21" customHeight="1">
      <c r="A654" s="10" t="inlineStr">
        <is>
          <t>GYS-0650</t>
        </is>
      </c>
      <c r="B654" s="10" t="inlineStr">
        <is>
          <t>南昌汽车用品供应链0650有限公司（演示）</t>
        </is>
      </c>
      <c r="C654" s="10" t="inlineStr">
        <is>
          <t>汽车用品</t>
        </is>
      </c>
      <c r="D654" s="10" t="inlineStr">
        <is>
          <t>车载香薰</t>
        </is>
      </c>
      <c r="E654" s="10" t="inlineStr">
        <is>
          <t>江西南昌</t>
        </is>
      </c>
      <c r="F654" s="10" t="inlineStr">
        <is>
          <t>中国制造网</t>
        </is>
      </c>
      <c r="G654" s="10" t="inlineStr">
        <is>
          <t>陈经理</t>
        </is>
      </c>
      <c r="H654" s="10" t="inlineStr">
        <is>
          <t>000-0000-0650</t>
        </is>
      </c>
      <c r="I654" s="10" t="inlineStr">
        <is>
          <t>DEMO_GYS_0650</t>
        </is>
      </c>
      <c r="J654" s="11" t="n">
        <v>3.8</v>
      </c>
      <c r="K654" s="11" t="n">
        <v>20.8</v>
      </c>
      <c r="L654" s="12" t="n">
        <v>300</v>
      </c>
      <c r="M654" s="10" t="inlineStr">
        <is>
          <t>是</t>
        </is>
      </c>
      <c r="N654" s="10" t="inlineStr">
        <is>
          <t>是</t>
        </is>
      </c>
      <c r="O654" s="10" t="inlineStr">
        <is>
          <t>supplier0650@example.com</t>
        </is>
      </c>
      <c r="P654" s="10" t="inlineStr">
        <is>
          <t>https://example.com/supplier/0650</t>
        </is>
      </c>
      <c r="Q654" s="10">
        <f>IF(R654&gt;=85,"A",IF(R654&gt;=70,"B","C"))</f>
        <v/>
      </c>
      <c r="R654" s="13">
        <f>MIN(100,50+IF(M654="是",10,0)+IF(N654="是",10,0)+IF(L654&lt;=100,10,IF(L654&lt;=300,5,0))+IF(J654&lt;=20,10,IF(J654&lt;=50,5,0))+IF(K654-J654&lt;=20,5,0)+IF(F654="企业官网",5,0))</f>
        <v/>
      </c>
      <c r="S654" s="10">
        <f>IF(Q654="A","价格与起订量有优势，建议优先询盘",IF(Q654="B","条件较均衡，可作为备选","起订量或价格需要进一步确认"))</f>
        <v/>
      </c>
      <c r="T654" s="10" t="inlineStr">
        <is>
          <t>未联系</t>
        </is>
      </c>
      <c r="U654" s="10" t="inlineStr">
        <is>
          <t>虚构演示数据</t>
        </is>
      </c>
    </row>
    <row r="655" ht="21" customHeight="1">
      <c r="A655" s="10" t="inlineStr">
        <is>
          <t>GYS-0651</t>
        </is>
      </c>
      <c r="B655" s="10" t="inlineStr">
        <is>
          <t>温州美容工具供应链0651有限公司（演示）</t>
        </is>
      </c>
      <c r="C655" s="10" t="inlineStr">
        <is>
          <t>美容工具</t>
        </is>
      </c>
      <c r="D655" s="10" t="inlineStr">
        <is>
          <t>便携化妆镜</t>
        </is>
      </c>
      <c r="E655" s="10" t="inlineStr">
        <is>
          <t>浙江温州</t>
        </is>
      </c>
      <c r="F655" s="10" t="inlineStr">
        <is>
          <t>企业官网</t>
        </is>
      </c>
      <c r="G655" s="10" t="inlineStr">
        <is>
          <t>林经理</t>
        </is>
      </c>
      <c r="H655" s="10" t="inlineStr">
        <is>
          <t>000-0000-0651</t>
        </is>
      </c>
      <c r="I655" s="10" t="inlineStr">
        <is>
          <t>DEMO_GYS_0651</t>
        </is>
      </c>
      <c r="J655" s="11" t="n">
        <v>5.5</v>
      </c>
      <c r="K655" s="11" t="n">
        <v>23.6</v>
      </c>
      <c r="L655" s="12" t="n">
        <v>200</v>
      </c>
      <c r="M655" s="10" t="inlineStr">
        <is>
          <t>是</t>
        </is>
      </c>
      <c r="N655" s="10" t="inlineStr">
        <is>
          <t>否</t>
        </is>
      </c>
      <c r="O655" s="10" t="inlineStr">
        <is>
          <t>supplier0651@example.com</t>
        </is>
      </c>
      <c r="P655" s="10" t="inlineStr">
        <is>
          <t>https://example.com/supplier/0651</t>
        </is>
      </c>
      <c r="Q655" s="10">
        <f>IF(R655&gt;=85,"A",IF(R655&gt;=70,"B","C"))</f>
        <v/>
      </c>
      <c r="R655" s="13">
        <f>MIN(100,50+IF(M655="是",10,0)+IF(N655="是",10,0)+IF(L655&lt;=100,10,IF(L655&lt;=300,5,0))+IF(J655&lt;=20,10,IF(J655&lt;=50,5,0))+IF(K655-J655&lt;=20,5,0)+IF(F655="企业官网",5,0))</f>
        <v/>
      </c>
      <c r="S655" s="10">
        <f>IF(Q655="A","价格与起订量有优势，建议优先询盘",IF(Q655="B","条件较均衡，可作为备选","起订量或价格需要进一步确认"))</f>
        <v/>
      </c>
      <c r="T655" s="10" t="inlineStr">
        <is>
          <t>未联系</t>
        </is>
      </c>
      <c r="U655" s="10" t="inlineStr">
        <is>
          <t>虚构演示数据</t>
        </is>
      </c>
    </row>
    <row r="656" ht="21" customHeight="1">
      <c r="A656" s="10" t="inlineStr">
        <is>
          <t>GYS-0652</t>
        </is>
      </c>
      <c r="B656" s="10" t="inlineStr">
        <is>
          <t>广州旅行用品供应链0652有限公司（演示）</t>
        </is>
      </c>
      <c r="C656" s="10" t="inlineStr">
        <is>
          <t>旅行用品</t>
        </is>
      </c>
      <c r="D656" s="10" t="inlineStr">
        <is>
          <t>压缩收纳袋</t>
        </is>
      </c>
      <c r="E656" s="10" t="inlineStr">
        <is>
          <t>广东广州</t>
        </is>
      </c>
      <c r="F656" s="10" t="inlineStr">
        <is>
          <t>义乌购</t>
        </is>
      </c>
      <c r="G656" s="10" t="inlineStr">
        <is>
          <t>王经理</t>
        </is>
      </c>
      <c r="H656" s="10" t="inlineStr">
        <is>
          <t>000-0000-0652</t>
        </is>
      </c>
      <c r="I656" s="10" t="inlineStr">
        <is>
          <t>DEMO_GYS_0652</t>
        </is>
      </c>
      <c r="J656" s="11" t="n">
        <v>7.2</v>
      </c>
      <c r="K656" s="11" t="n">
        <v>26.4</v>
      </c>
      <c r="L656" s="12" t="n">
        <v>100</v>
      </c>
      <c r="M656" s="10" t="inlineStr">
        <is>
          <t>否</t>
        </is>
      </c>
      <c r="N656" s="10" t="inlineStr">
        <is>
          <t>是</t>
        </is>
      </c>
      <c r="O656" s="10" t="inlineStr">
        <is>
          <t>supplier0652@example.com</t>
        </is>
      </c>
      <c r="P656" s="10" t="inlineStr">
        <is>
          <t>https://example.com/supplier/0652</t>
        </is>
      </c>
      <c r="Q656" s="10">
        <f>IF(R656&gt;=85,"A",IF(R656&gt;=70,"B","C"))</f>
        <v/>
      </c>
      <c r="R656" s="13">
        <f>MIN(100,50+IF(M656="是",10,0)+IF(N656="是",10,0)+IF(L656&lt;=100,10,IF(L656&lt;=300,5,0))+IF(J656&lt;=20,10,IF(J656&lt;=50,5,0))+IF(K656-J656&lt;=20,5,0)+IF(F656="企业官网",5,0))</f>
        <v/>
      </c>
      <c r="S656" s="10">
        <f>IF(Q656="A","价格与起订量有优势，建议优先询盘",IF(Q656="B","条件较均衡，可作为备选","起订量或价格需要进一步确认"))</f>
        <v/>
      </c>
      <c r="T656" s="10" t="inlineStr">
        <is>
          <t>未联系</t>
        </is>
      </c>
      <c r="U656" s="10" t="inlineStr">
        <is>
          <t>虚构演示数据</t>
        </is>
      </c>
    </row>
    <row r="657" ht="21" customHeight="1">
      <c r="A657" s="10" t="inlineStr">
        <is>
          <t>GYS-0653</t>
        </is>
      </c>
      <c r="B657" s="10" t="inlineStr">
        <is>
          <t>泉州清洁工具供应链0653有限公司（演示）</t>
        </is>
      </c>
      <c r="C657" s="10" t="inlineStr">
        <is>
          <t>清洁工具</t>
        </is>
      </c>
      <c r="D657" s="10" t="inlineStr">
        <is>
          <t>免手洗拖把</t>
        </is>
      </c>
      <c r="E657" s="10" t="inlineStr">
        <is>
          <t>福建泉州</t>
        </is>
      </c>
      <c r="F657" s="10" t="inlineStr">
        <is>
          <t>慧聪网</t>
        </is>
      </c>
      <c r="G657" s="10" t="inlineStr">
        <is>
          <t>李经理</t>
        </is>
      </c>
      <c r="H657" s="10" t="inlineStr">
        <is>
          <t>000-0000-0653</t>
        </is>
      </c>
      <c r="I657" s="10" t="inlineStr">
        <is>
          <t>DEMO_GYS_0653</t>
        </is>
      </c>
      <c r="J657" s="11" t="n">
        <v>8.9</v>
      </c>
      <c r="K657" s="11" t="n">
        <v>29.2</v>
      </c>
      <c r="L657" s="12" t="n">
        <v>50</v>
      </c>
      <c r="M657" s="10" t="inlineStr">
        <is>
          <t>是</t>
        </is>
      </c>
      <c r="N657" s="10" t="inlineStr">
        <is>
          <t>是</t>
        </is>
      </c>
      <c r="O657" s="10" t="inlineStr">
        <is>
          <t>supplier0653@example.com</t>
        </is>
      </c>
      <c r="P657" s="10" t="inlineStr">
        <is>
          <t>https://example.com/supplier/0653</t>
        </is>
      </c>
      <c r="Q657" s="10">
        <f>IF(R657&gt;=85,"A",IF(R657&gt;=70,"B","C"))</f>
        <v/>
      </c>
      <c r="R657" s="13">
        <f>MIN(100,50+IF(M657="是",10,0)+IF(N657="是",10,0)+IF(L657&lt;=100,10,IF(L657&lt;=300,5,0))+IF(J657&lt;=20,10,IF(J657&lt;=50,5,0))+IF(K657-J657&lt;=20,5,0)+IF(F657="企业官网",5,0))</f>
        <v/>
      </c>
      <c r="S657" s="10">
        <f>IF(Q657="A","价格与起订量有优势，建议优先询盘",IF(Q657="B","条件较均衡，可作为备选","起订量或价格需要进一步确认"))</f>
        <v/>
      </c>
      <c r="T657" s="10" t="inlineStr">
        <is>
          <t>未联系</t>
        </is>
      </c>
      <c r="U657" s="10" t="inlineStr">
        <is>
          <t>虚构演示数据</t>
        </is>
      </c>
    </row>
    <row r="658" ht="21" customHeight="1">
      <c r="A658" s="10" t="inlineStr">
        <is>
          <t>GYS-0654</t>
        </is>
      </c>
      <c r="B658" s="10" t="inlineStr">
        <is>
          <t>南通小家电供应链0654有限公司（演示）</t>
        </is>
      </c>
      <c r="C658" s="10" t="inlineStr">
        <is>
          <t>小家电</t>
        </is>
      </c>
      <c r="D658" s="10" t="inlineStr">
        <is>
          <t>迷你加湿器</t>
        </is>
      </c>
      <c r="E658" s="10" t="inlineStr">
        <is>
          <t>江苏南通</t>
        </is>
      </c>
      <c r="F658" s="10" t="inlineStr">
        <is>
          <t>1688</t>
        </is>
      </c>
      <c r="G658" s="10" t="inlineStr">
        <is>
          <t>张经理</t>
        </is>
      </c>
      <c r="H658" s="10" t="inlineStr">
        <is>
          <t>000-0000-0654</t>
        </is>
      </c>
      <c r="I658" s="10" t="inlineStr">
        <is>
          <t>DEMO_GYS_0654</t>
        </is>
      </c>
      <c r="J658" s="11" t="n">
        <v>10.6</v>
      </c>
      <c r="K658" s="11" t="n">
        <v>32</v>
      </c>
      <c r="L658" s="12" t="n">
        <v>20</v>
      </c>
      <c r="M658" s="10" t="inlineStr">
        <is>
          <t>是</t>
        </is>
      </c>
      <c r="N658" s="10" t="inlineStr">
        <is>
          <t>否</t>
        </is>
      </c>
      <c r="O658" s="10" t="inlineStr">
        <is>
          <t>supplier0654@example.com</t>
        </is>
      </c>
      <c r="P658" s="10" t="inlineStr">
        <is>
          <t>https://example.com/supplier/0654</t>
        </is>
      </c>
      <c r="Q658" s="10">
        <f>IF(R658&gt;=85,"A",IF(R658&gt;=70,"B","C"))</f>
        <v/>
      </c>
      <c r="R658" s="13">
        <f>MIN(100,50+IF(M658="是",10,0)+IF(N658="是",10,0)+IF(L658&lt;=100,10,IF(L658&lt;=300,5,0))+IF(J658&lt;=20,10,IF(J658&lt;=50,5,0))+IF(K658-J658&lt;=20,5,0)+IF(F658="企业官网",5,0))</f>
        <v/>
      </c>
      <c r="S658" s="10">
        <f>IF(Q658="A","价格与起订量有优势，建议优先询盘",IF(Q658="B","条件较均衡，可作为备选","起订量或价格需要进一步确认"))</f>
        <v/>
      </c>
      <c r="T658" s="10" t="inlineStr">
        <is>
          <t>未联系</t>
        </is>
      </c>
      <c r="U658" s="10" t="inlineStr">
        <is>
          <t>虚构演示数据</t>
        </is>
      </c>
    </row>
    <row r="659" ht="21" customHeight="1">
      <c r="A659" s="10" t="inlineStr">
        <is>
          <t>GYS-0655</t>
        </is>
      </c>
      <c r="B659" s="10" t="inlineStr">
        <is>
          <t>郑州礼品包装供应链0655有限公司（演示）</t>
        </is>
      </c>
      <c r="C659" s="10" t="inlineStr">
        <is>
          <t>礼品包装</t>
        </is>
      </c>
      <c r="D659" s="10" t="inlineStr">
        <is>
          <t>节日礼盒</t>
        </is>
      </c>
      <c r="E659" s="10" t="inlineStr">
        <is>
          <t>河南郑州</t>
        </is>
      </c>
      <c r="F659" s="10" t="inlineStr">
        <is>
          <t>中国制造网</t>
        </is>
      </c>
      <c r="G659" s="10" t="inlineStr">
        <is>
          <t>刘经理</t>
        </is>
      </c>
      <c r="H659" s="10" t="inlineStr">
        <is>
          <t>000-0000-0655</t>
        </is>
      </c>
      <c r="I659" s="10" t="inlineStr">
        <is>
          <t>DEMO_GYS_0655</t>
        </is>
      </c>
      <c r="J659" s="11" t="n">
        <v>12.3</v>
      </c>
      <c r="K659" s="11" t="n">
        <v>16.8</v>
      </c>
      <c r="L659" s="12" t="n">
        <v>500</v>
      </c>
      <c r="M659" s="10" t="inlineStr">
        <is>
          <t>是</t>
        </is>
      </c>
      <c r="N659" s="10" t="inlineStr">
        <is>
          <t>是</t>
        </is>
      </c>
      <c r="O659" s="10" t="inlineStr">
        <is>
          <t>supplier0655@example.com</t>
        </is>
      </c>
      <c r="P659" s="10" t="inlineStr">
        <is>
          <t>https://example.com/supplier/0655</t>
        </is>
      </c>
      <c r="Q659" s="10">
        <f>IF(R659&gt;=85,"A",IF(R659&gt;=70,"B","C"))</f>
        <v/>
      </c>
      <c r="R659" s="13">
        <f>MIN(100,50+IF(M659="是",10,0)+IF(N659="是",10,0)+IF(L659&lt;=100,10,IF(L659&lt;=300,5,0))+IF(J659&lt;=20,10,IF(J659&lt;=50,5,0))+IF(K659-J659&lt;=20,5,0)+IF(F659="企业官网",5,0))</f>
        <v/>
      </c>
      <c r="S659" s="10">
        <f>IF(Q659="A","价格与起订量有优势，建议优先询盘",IF(Q659="B","条件较均衡，可作为备选","起订量或价格需要进一步确认"))</f>
        <v/>
      </c>
      <c r="T659" s="10" t="inlineStr">
        <is>
          <t>未联系</t>
        </is>
      </c>
      <c r="U659" s="10" t="inlineStr">
        <is>
          <t>虚构演示数据</t>
        </is>
      </c>
    </row>
    <row r="660" ht="21" customHeight="1">
      <c r="A660" s="10" t="inlineStr">
        <is>
          <t>GYS-0656</t>
        </is>
      </c>
      <c r="B660" s="10" t="inlineStr">
        <is>
          <t>宁波五金工具供应链0656有限公司（演示）</t>
        </is>
      </c>
      <c r="C660" s="10" t="inlineStr">
        <is>
          <t>五金工具</t>
        </is>
      </c>
      <c r="D660" s="10" t="inlineStr">
        <is>
          <t>多功能螺丝刀</t>
        </is>
      </c>
      <c r="E660" s="10" t="inlineStr">
        <is>
          <t>浙江宁波</t>
        </is>
      </c>
      <c r="F660" s="10" t="inlineStr">
        <is>
          <t>企业官网</t>
        </is>
      </c>
      <c r="G660" s="10" t="inlineStr">
        <is>
          <t>黄经理</t>
        </is>
      </c>
      <c r="H660" s="10" t="inlineStr">
        <is>
          <t>000-0000-0656</t>
        </is>
      </c>
      <c r="I660" s="10" t="inlineStr">
        <is>
          <t>DEMO_GYS_0656</t>
        </is>
      </c>
      <c r="J660" s="11" t="n">
        <v>14</v>
      </c>
      <c r="K660" s="11" t="n">
        <v>19.6</v>
      </c>
      <c r="L660" s="12" t="n">
        <v>300</v>
      </c>
      <c r="M660" s="10" t="inlineStr">
        <is>
          <t>否</t>
        </is>
      </c>
      <c r="N660" s="10" t="inlineStr">
        <is>
          <t>是</t>
        </is>
      </c>
      <c r="O660" s="10" t="inlineStr">
        <is>
          <t>supplier0656@example.com</t>
        </is>
      </c>
      <c r="P660" s="10" t="inlineStr">
        <is>
          <t>https://example.com/supplier/0656</t>
        </is>
      </c>
      <c r="Q660" s="10">
        <f>IF(R660&gt;=85,"A",IF(R660&gt;=70,"B","C"))</f>
        <v/>
      </c>
      <c r="R660" s="13">
        <f>MIN(100,50+IF(M660="是",10,0)+IF(N660="是",10,0)+IF(L660&lt;=100,10,IF(L660&lt;=300,5,0))+IF(J660&lt;=20,10,IF(J660&lt;=50,5,0))+IF(K660-J660&lt;=20,5,0)+IF(F660="企业官网",5,0))</f>
        <v/>
      </c>
      <c r="S660" s="10">
        <f>IF(Q660="A","价格与起订量有优势，建议优先询盘",IF(Q660="B","条件较均衡，可作为备选","起订量或价格需要进一步确认"))</f>
        <v/>
      </c>
      <c r="T660" s="10" t="inlineStr">
        <is>
          <t>未联系</t>
        </is>
      </c>
      <c r="U660" s="10" t="inlineStr">
        <is>
          <t>虚构演示数据</t>
        </is>
      </c>
    </row>
    <row r="661" ht="21" customHeight="1">
      <c r="A661" s="10" t="inlineStr">
        <is>
          <t>GYS-0657</t>
        </is>
      </c>
      <c r="B661" s="10" t="inlineStr">
        <is>
          <t>深圳鞋靴配件供应链0657有限公司（演示）</t>
        </is>
      </c>
      <c r="C661" s="10" t="inlineStr">
        <is>
          <t>鞋靴配件</t>
        </is>
      </c>
      <c r="D661" s="10" t="inlineStr">
        <is>
          <t>防磨脚贴</t>
        </is>
      </c>
      <c r="E661" s="10" t="inlineStr">
        <is>
          <t>广东深圳</t>
        </is>
      </c>
      <c r="F661" s="10" t="inlineStr">
        <is>
          <t>义乌购</t>
        </is>
      </c>
      <c r="G661" s="10" t="inlineStr">
        <is>
          <t>赵经理</t>
        </is>
      </c>
      <c r="H661" s="10" t="inlineStr">
        <is>
          <t>000-0000-0657</t>
        </is>
      </c>
      <c r="I661" s="10" t="inlineStr">
        <is>
          <t>DEMO_GYS_0657</t>
        </is>
      </c>
      <c r="J661" s="11" t="n">
        <v>15.7</v>
      </c>
      <c r="K661" s="11" t="n">
        <v>22.4</v>
      </c>
      <c r="L661" s="12" t="n">
        <v>200</v>
      </c>
      <c r="M661" s="10" t="inlineStr">
        <is>
          <t>是</t>
        </is>
      </c>
      <c r="N661" s="10" t="inlineStr">
        <is>
          <t>否</t>
        </is>
      </c>
      <c r="O661" s="10" t="inlineStr">
        <is>
          <t>supplier0657@example.com</t>
        </is>
      </c>
      <c r="P661" s="10" t="inlineStr">
        <is>
          <t>https://example.com/supplier/0657</t>
        </is>
      </c>
      <c r="Q661" s="10">
        <f>IF(R661&gt;=85,"A",IF(R661&gt;=70,"B","C"))</f>
        <v/>
      </c>
      <c r="R661" s="13">
        <f>MIN(100,50+IF(M661="是",10,0)+IF(N661="是",10,0)+IF(L661&lt;=100,10,IF(L661&lt;=300,5,0))+IF(J661&lt;=20,10,IF(J661&lt;=50,5,0))+IF(K661-J661&lt;=20,5,0)+IF(F661="企业官网",5,0))</f>
        <v/>
      </c>
      <c r="S661" s="10">
        <f>IF(Q661="A","价格与起订量有优势，建议优先询盘",IF(Q661="B","条件较均衡，可作为备选","起订量或价格需要进一步确认"))</f>
        <v/>
      </c>
      <c r="T661" s="10" t="inlineStr">
        <is>
          <t>未联系</t>
        </is>
      </c>
      <c r="U661" s="10" t="inlineStr">
        <is>
          <t>虚构演示数据</t>
        </is>
      </c>
    </row>
    <row r="662" ht="21" customHeight="1">
      <c r="A662" s="10" t="inlineStr">
        <is>
          <t>GYS-0658</t>
        </is>
      </c>
      <c r="B662" s="10" t="inlineStr">
        <is>
          <t>佛山食品包装供应链0658有限公司（演示）</t>
        </is>
      </c>
      <c r="C662" s="10" t="inlineStr">
        <is>
          <t>食品包装</t>
        </is>
      </c>
      <c r="D662" s="10" t="inlineStr">
        <is>
          <t>密封包装袋</t>
        </is>
      </c>
      <c r="E662" s="10" t="inlineStr">
        <is>
          <t>广东佛山</t>
        </is>
      </c>
      <c r="F662" s="10" t="inlineStr">
        <is>
          <t>慧聪网</t>
        </is>
      </c>
      <c r="G662" s="10" t="inlineStr">
        <is>
          <t>周经理</t>
        </is>
      </c>
      <c r="H662" s="10" t="inlineStr">
        <is>
          <t>000-0000-0658</t>
        </is>
      </c>
      <c r="I662" s="10" t="inlineStr">
        <is>
          <t>DEMO_GYS_0658</t>
        </is>
      </c>
      <c r="J662" s="11" t="n">
        <v>17.4</v>
      </c>
      <c r="K662" s="11" t="n">
        <v>25.2</v>
      </c>
      <c r="L662" s="12" t="n">
        <v>100</v>
      </c>
      <c r="M662" s="10" t="inlineStr">
        <is>
          <t>是</t>
        </is>
      </c>
      <c r="N662" s="10" t="inlineStr">
        <is>
          <t>是</t>
        </is>
      </c>
      <c r="O662" s="10" t="inlineStr">
        <is>
          <t>supplier0658@example.com</t>
        </is>
      </c>
      <c r="P662" s="10" t="inlineStr">
        <is>
          <t>https://example.com/supplier/0658</t>
        </is>
      </c>
      <c r="Q662" s="10">
        <f>IF(R662&gt;=85,"A",IF(R662&gt;=70,"B","C"))</f>
        <v/>
      </c>
      <c r="R662" s="13">
        <f>MIN(100,50+IF(M662="是",10,0)+IF(N662="是",10,0)+IF(L662&lt;=100,10,IF(L662&lt;=300,5,0))+IF(J662&lt;=20,10,IF(J662&lt;=50,5,0))+IF(K662-J662&lt;=20,5,0)+IF(F662="企业官网",5,0))</f>
        <v/>
      </c>
      <c r="S662" s="10">
        <f>IF(Q662="A","价格与起订量有优势，建议优先询盘",IF(Q662="B","条件较均衡，可作为备选","起订量或价格需要进一步确认"))</f>
        <v/>
      </c>
      <c r="T662" s="10" t="inlineStr">
        <is>
          <t>未联系</t>
        </is>
      </c>
      <c r="U662" s="10" t="inlineStr">
        <is>
          <t>虚构演示数据</t>
        </is>
      </c>
    </row>
    <row r="663" ht="21" customHeight="1">
      <c r="A663" s="10" t="inlineStr">
        <is>
          <t>GYS-0659</t>
        </is>
      </c>
      <c r="B663" s="10" t="inlineStr">
        <is>
          <t>苏州户外照明供应链0659有限公司（演示）</t>
        </is>
      </c>
      <c r="C663" s="10" t="inlineStr">
        <is>
          <t>户外照明</t>
        </is>
      </c>
      <c r="D663" s="10" t="inlineStr">
        <is>
          <t>便携露营灯</t>
        </is>
      </c>
      <c r="E663" s="10" t="inlineStr">
        <is>
          <t>江苏苏州</t>
        </is>
      </c>
      <c r="F663" s="10" t="inlineStr">
        <is>
          <t>1688</t>
        </is>
      </c>
      <c r="G663" s="10" t="inlineStr">
        <is>
          <t>吴经理</t>
        </is>
      </c>
      <c r="H663" s="10" t="inlineStr">
        <is>
          <t>000-0000-0659</t>
        </is>
      </c>
      <c r="I663" s="10" t="inlineStr">
        <is>
          <t>DEMO_GYS_0659</t>
        </is>
      </c>
      <c r="J663" s="11" t="n">
        <v>19.1</v>
      </c>
      <c r="K663" s="11" t="n">
        <v>28</v>
      </c>
      <c r="L663" s="12" t="n">
        <v>50</v>
      </c>
      <c r="M663" s="10" t="inlineStr">
        <is>
          <t>是</t>
        </is>
      </c>
      <c r="N663" s="10" t="inlineStr">
        <is>
          <t>是</t>
        </is>
      </c>
      <c r="O663" s="10" t="inlineStr">
        <is>
          <t>supplier0659@example.com</t>
        </is>
      </c>
      <c r="P663" s="10" t="inlineStr">
        <is>
          <t>https://example.com/supplier/0659</t>
        </is>
      </c>
      <c r="Q663" s="10">
        <f>IF(R663&gt;=85,"A",IF(R663&gt;=70,"B","C"))</f>
        <v/>
      </c>
      <c r="R663" s="13">
        <f>MIN(100,50+IF(M663="是",10,0)+IF(N663="是",10,0)+IF(L663&lt;=100,10,IF(L663&lt;=300,5,0))+IF(J663&lt;=20,10,IF(J663&lt;=50,5,0))+IF(K663-J663&lt;=20,5,0)+IF(F663="企业官网",5,0))</f>
        <v/>
      </c>
      <c r="S663" s="10">
        <f>IF(Q663="A","价格与起订量有优势，建议优先询盘",IF(Q663="B","条件较均衡，可作为备选","起订量或价格需要进一步确认"))</f>
        <v/>
      </c>
      <c r="T663" s="10" t="inlineStr">
        <is>
          <t>未联系</t>
        </is>
      </c>
      <c r="U663" s="10" t="inlineStr">
        <is>
          <t>虚构演示数据</t>
        </is>
      </c>
    </row>
    <row r="664" ht="21" customHeight="1">
      <c r="A664" s="10" t="inlineStr">
        <is>
          <t>GYS-0660</t>
        </is>
      </c>
      <c r="B664" s="10" t="inlineStr">
        <is>
          <t>白沟健康用品供应链0660有限公司（演示）</t>
        </is>
      </c>
      <c r="C664" s="10" t="inlineStr">
        <is>
          <t>健康用品</t>
        </is>
      </c>
      <c r="D664" s="10" t="inlineStr">
        <is>
          <t>热敷眼罩</t>
        </is>
      </c>
      <c r="E664" s="10" t="inlineStr">
        <is>
          <t>河北白沟</t>
        </is>
      </c>
      <c r="F664" s="10" t="inlineStr">
        <is>
          <t>中国制造网</t>
        </is>
      </c>
      <c r="G664" s="10" t="inlineStr">
        <is>
          <t>陈经理</t>
        </is>
      </c>
      <c r="H664" s="10" t="inlineStr">
        <is>
          <t>000-0000-0660</t>
        </is>
      </c>
      <c r="I664" s="10" t="inlineStr">
        <is>
          <t>DEMO_GYS_0660</t>
        </is>
      </c>
      <c r="J664" s="11" t="n">
        <v>20.8</v>
      </c>
      <c r="K664" s="11" t="n">
        <v>30.8</v>
      </c>
      <c r="L664" s="12" t="n">
        <v>20</v>
      </c>
      <c r="M664" s="10" t="inlineStr">
        <is>
          <t>否</t>
        </is>
      </c>
      <c r="N664" s="10" t="inlineStr">
        <is>
          <t>否</t>
        </is>
      </c>
      <c r="O664" s="10" t="inlineStr">
        <is>
          <t>supplier0660@example.com</t>
        </is>
      </c>
      <c r="P664" s="10" t="inlineStr">
        <is>
          <t>https://example.com/supplier/0660</t>
        </is>
      </c>
      <c r="Q664" s="10">
        <f>IF(R664&gt;=85,"A",IF(R664&gt;=70,"B","C"))</f>
        <v/>
      </c>
      <c r="R664" s="13">
        <f>MIN(100,50+IF(M664="是",10,0)+IF(N664="是",10,0)+IF(L664&lt;=100,10,IF(L664&lt;=300,5,0))+IF(J664&lt;=20,10,IF(J664&lt;=50,5,0))+IF(K664-J664&lt;=20,5,0)+IF(F664="企业官网",5,0))</f>
        <v/>
      </c>
      <c r="S664" s="10">
        <f>IF(Q664="A","价格与起订量有优势，建议优先询盘",IF(Q664="B","条件较均衡，可作为备选","起订量或价格需要进一步确认"))</f>
        <v/>
      </c>
      <c r="T664" s="10" t="inlineStr">
        <is>
          <t>未联系</t>
        </is>
      </c>
      <c r="U664" s="10" t="inlineStr">
        <is>
          <t>虚构演示数据</t>
        </is>
      </c>
    </row>
    <row r="665" ht="21" customHeight="1">
      <c r="A665" s="10" t="inlineStr">
        <is>
          <t>GYS-0661</t>
        </is>
      </c>
      <c r="B665" s="10" t="inlineStr">
        <is>
          <t>义乌服饰内衣供应链0661有限公司（演示）</t>
        </is>
      </c>
      <c r="C665" s="10" t="inlineStr">
        <is>
          <t>服饰内衣</t>
        </is>
      </c>
      <c r="D665" s="10" t="inlineStr">
        <is>
          <t>防滑袜</t>
        </is>
      </c>
      <c r="E665" s="10" t="inlineStr">
        <is>
          <t>浙江义乌</t>
        </is>
      </c>
      <c r="F665" s="10" t="inlineStr">
        <is>
          <t>企业官网</t>
        </is>
      </c>
      <c r="G665" s="10" t="inlineStr">
        <is>
          <t>林经理</t>
        </is>
      </c>
      <c r="H665" s="10" t="inlineStr">
        <is>
          <t>000-0000-0661</t>
        </is>
      </c>
      <c r="I665" s="10" t="inlineStr">
        <is>
          <t>DEMO_GYS_0661</t>
        </is>
      </c>
      <c r="J665" s="11" t="n">
        <v>22.5</v>
      </c>
      <c r="K665" s="11" t="n">
        <v>33.6</v>
      </c>
      <c r="L665" s="12" t="n">
        <v>500</v>
      </c>
      <c r="M665" s="10" t="inlineStr">
        <is>
          <t>是</t>
        </is>
      </c>
      <c r="N665" s="10" t="inlineStr">
        <is>
          <t>是</t>
        </is>
      </c>
      <c r="O665" s="10" t="inlineStr">
        <is>
          <t>supplier0661@example.com</t>
        </is>
      </c>
      <c r="P665" s="10" t="inlineStr">
        <is>
          <t>https://example.com/supplier/0661</t>
        </is>
      </c>
      <c r="Q665" s="10">
        <f>IF(R665&gt;=85,"A",IF(R665&gt;=70,"B","C"))</f>
        <v/>
      </c>
      <c r="R665" s="13">
        <f>MIN(100,50+IF(M665="是",10,0)+IF(N665="是",10,0)+IF(L665&lt;=100,10,IF(L665&lt;=300,5,0))+IF(J665&lt;=20,10,IF(J665&lt;=50,5,0))+IF(K665-J665&lt;=20,5,0)+IF(F665="企业官网",5,0))</f>
        <v/>
      </c>
      <c r="S665" s="10">
        <f>IF(Q665="A","价格与起订量有优势，建议优先询盘",IF(Q665="B","条件较均衡，可作为备选","起订量或价格需要进一步确认"))</f>
        <v/>
      </c>
      <c r="T665" s="10" t="inlineStr">
        <is>
          <t>未联系</t>
        </is>
      </c>
      <c r="U665" s="10" t="inlineStr">
        <is>
          <t>虚构演示数据</t>
        </is>
      </c>
    </row>
    <row r="666" ht="21" customHeight="1">
      <c r="A666" s="10" t="inlineStr">
        <is>
          <t>GYS-0662</t>
        </is>
      </c>
      <c r="B666" s="10" t="inlineStr">
        <is>
          <t>台州家居日用供应链0662有限公司（演示）</t>
        </is>
      </c>
      <c r="C666" s="10" t="inlineStr">
        <is>
          <t>家居日用</t>
        </is>
      </c>
      <c r="D666" s="10" t="inlineStr">
        <is>
          <t>折叠收纳箱</t>
        </is>
      </c>
      <c r="E666" s="10" t="inlineStr">
        <is>
          <t>浙江台州</t>
        </is>
      </c>
      <c r="F666" s="10" t="inlineStr">
        <is>
          <t>义乌购</t>
        </is>
      </c>
      <c r="G666" s="10" t="inlineStr">
        <is>
          <t>王经理</t>
        </is>
      </c>
      <c r="H666" s="10" t="inlineStr">
        <is>
          <t>000-0000-0662</t>
        </is>
      </c>
      <c r="I666" s="10" t="inlineStr">
        <is>
          <t>DEMO_GYS_0662</t>
        </is>
      </c>
      <c r="J666" s="11" t="n">
        <v>24.2</v>
      </c>
      <c r="K666" s="11" t="n">
        <v>36.4</v>
      </c>
      <c r="L666" s="12" t="n">
        <v>300</v>
      </c>
      <c r="M666" s="10" t="inlineStr">
        <is>
          <t>是</t>
        </is>
      </c>
      <c r="N666" s="10" t="inlineStr">
        <is>
          <t>是</t>
        </is>
      </c>
      <c r="O666" s="10" t="inlineStr">
        <is>
          <t>supplier0662@example.com</t>
        </is>
      </c>
      <c r="P666" s="10" t="inlineStr">
        <is>
          <t>https://example.com/supplier/0662</t>
        </is>
      </c>
      <c r="Q666" s="10">
        <f>IF(R666&gt;=85,"A",IF(R666&gt;=70,"B","C"))</f>
        <v/>
      </c>
      <c r="R666" s="13">
        <f>MIN(100,50+IF(M666="是",10,0)+IF(N666="是",10,0)+IF(L666&lt;=100,10,IF(L666&lt;=300,5,0))+IF(J666&lt;=20,10,IF(J666&lt;=50,5,0))+IF(K666-J666&lt;=20,5,0)+IF(F666="企业官网",5,0))</f>
        <v/>
      </c>
      <c r="S666" s="10">
        <f>IF(Q666="A","价格与起订量有优势，建议优先询盘",IF(Q666="B","条件较均衡，可作为备选","起订量或价格需要进一步确认"))</f>
        <v/>
      </c>
      <c r="T666" s="10" t="inlineStr">
        <is>
          <t>未联系</t>
        </is>
      </c>
      <c r="U666" s="10" t="inlineStr">
        <is>
          <t>虚构演示数据</t>
        </is>
      </c>
    </row>
    <row r="667" ht="21" customHeight="1">
      <c r="A667" s="10" t="inlineStr">
        <is>
          <t>GYS-0663</t>
        </is>
      </c>
      <c r="B667" s="10" t="inlineStr">
        <is>
          <t>东莞个护清洁供应链0663有限公司（演示）</t>
        </is>
      </c>
      <c r="C667" s="10" t="inlineStr">
        <is>
          <t>个护清洁</t>
        </is>
      </c>
      <c r="D667" s="10" t="inlineStr">
        <is>
          <t>便携洗脸巾</t>
        </is>
      </c>
      <c r="E667" s="10" t="inlineStr">
        <is>
          <t>广东东莞</t>
        </is>
      </c>
      <c r="F667" s="10" t="inlineStr">
        <is>
          <t>慧聪网</t>
        </is>
      </c>
      <c r="G667" s="10" t="inlineStr">
        <is>
          <t>李经理</t>
        </is>
      </c>
      <c r="H667" s="10" t="inlineStr">
        <is>
          <t>000-0000-0663</t>
        </is>
      </c>
      <c r="I667" s="10" t="inlineStr">
        <is>
          <t>DEMO_GYS_0663</t>
        </is>
      </c>
      <c r="J667" s="11" t="n">
        <v>25.9</v>
      </c>
      <c r="K667" s="11" t="n">
        <v>39.2</v>
      </c>
      <c r="L667" s="12" t="n">
        <v>200</v>
      </c>
      <c r="M667" s="10" t="inlineStr">
        <is>
          <t>是</t>
        </is>
      </c>
      <c r="N667" s="10" t="inlineStr">
        <is>
          <t>否</t>
        </is>
      </c>
      <c r="O667" s="10" t="inlineStr">
        <is>
          <t>supplier0663@example.com</t>
        </is>
      </c>
      <c r="P667" s="10" t="inlineStr">
        <is>
          <t>https://example.com/supplier/0663</t>
        </is>
      </c>
      <c r="Q667" s="10">
        <f>IF(R667&gt;=85,"A",IF(R667&gt;=70,"B","C"))</f>
        <v/>
      </c>
      <c r="R667" s="13">
        <f>MIN(100,50+IF(M667="是",10,0)+IF(N667="是",10,0)+IF(L667&lt;=100,10,IF(L667&lt;=300,5,0))+IF(J667&lt;=20,10,IF(J667&lt;=50,5,0))+IF(K667-J667&lt;=20,5,0)+IF(F667="企业官网",5,0))</f>
        <v/>
      </c>
      <c r="S667" s="10">
        <f>IF(Q667="A","价格与起订量有优势，建议优先询盘",IF(Q667="B","条件较均衡，可作为备选","起订量或价格需要进一步确认"))</f>
        <v/>
      </c>
      <c r="T667" s="10" t="inlineStr">
        <is>
          <t>未联系</t>
        </is>
      </c>
      <c r="U667" s="10" t="inlineStr">
        <is>
          <t>虚构演示数据</t>
        </is>
      </c>
    </row>
    <row r="668" ht="21" customHeight="1">
      <c r="A668" s="10" t="inlineStr">
        <is>
          <t>GYS-0664</t>
        </is>
      </c>
      <c r="B668" s="10" t="inlineStr">
        <is>
          <t>厦门厨房用品供应链0664有限公司（演示）</t>
        </is>
      </c>
      <c r="C668" s="10" t="inlineStr">
        <is>
          <t>厨房用品</t>
        </is>
      </c>
      <c r="D668" s="10" t="inlineStr">
        <is>
          <t>硅胶保鲜盒</t>
        </is>
      </c>
      <c r="E668" s="10" t="inlineStr">
        <is>
          <t>福建厦门</t>
        </is>
      </c>
      <c r="F668" s="10" t="inlineStr">
        <is>
          <t>1688</t>
        </is>
      </c>
      <c r="G668" s="10" t="inlineStr">
        <is>
          <t>张经理</t>
        </is>
      </c>
      <c r="H668" s="10" t="inlineStr">
        <is>
          <t>000-0000-0664</t>
        </is>
      </c>
      <c r="I668" s="10" t="inlineStr">
        <is>
          <t>DEMO_GYS_0664</t>
        </is>
      </c>
      <c r="J668" s="11" t="n">
        <v>27.6</v>
      </c>
      <c r="K668" s="11" t="n">
        <v>42</v>
      </c>
      <c r="L668" s="12" t="n">
        <v>100</v>
      </c>
      <c r="M668" s="10" t="inlineStr">
        <is>
          <t>否</t>
        </is>
      </c>
      <c r="N668" s="10" t="inlineStr">
        <is>
          <t>是</t>
        </is>
      </c>
      <c r="O668" s="10" t="inlineStr">
        <is>
          <t>supplier0664@example.com</t>
        </is>
      </c>
      <c r="P668" s="10" t="inlineStr">
        <is>
          <t>https://example.com/supplier/0664</t>
        </is>
      </c>
      <c r="Q668" s="10">
        <f>IF(R668&gt;=85,"A",IF(R668&gt;=70,"B","C"))</f>
        <v/>
      </c>
      <c r="R668" s="13">
        <f>MIN(100,50+IF(M668="是",10,0)+IF(N668="是",10,0)+IF(L668&lt;=100,10,IF(L668&lt;=300,5,0))+IF(J668&lt;=20,10,IF(J668&lt;=50,5,0))+IF(K668-J668&lt;=20,5,0)+IF(F668="企业官网",5,0))</f>
        <v/>
      </c>
      <c r="S668" s="10">
        <f>IF(Q668="A","价格与起订量有优势，建议优先询盘",IF(Q668="B","条件较均衡，可作为备选","起订量或价格需要进一步确认"))</f>
        <v/>
      </c>
      <c r="T668" s="10" t="inlineStr">
        <is>
          <t>未联系</t>
        </is>
      </c>
      <c r="U668" s="10" t="inlineStr">
        <is>
          <t>虚构演示数据</t>
        </is>
      </c>
    </row>
    <row r="669" ht="21" customHeight="1">
      <c r="A669" s="10" t="inlineStr">
        <is>
          <t>GYS-0665</t>
        </is>
      </c>
      <c r="B669" s="10" t="inlineStr">
        <is>
          <t>临沂数码配件供应链0665有限公司（演示）</t>
        </is>
      </c>
      <c r="C669" s="10" t="inlineStr">
        <is>
          <t>数码配件</t>
        </is>
      </c>
      <c r="D669" s="10" t="inlineStr">
        <is>
          <t>磁吸手机支架</t>
        </is>
      </c>
      <c r="E669" s="10" t="inlineStr">
        <is>
          <t>山东临沂</t>
        </is>
      </c>
      <c r="F669" s="10" t="inlineStr">
        <is>
          <t>中国制造网</t>
        </is>
      </c>
      <c r="G669" s="10" t="inlineStr">
        <is>
          <t>刘经理</t>
        </is>
      </c>
      <c r="H669" s="10" t="inlineStr">
        <is>
          <t>000-0000-0665</t>
        </is>
      </c>
      <c r="I669" s="10" t="inlineStr">
        <is>
          <t>DEMO_GYS_0665</t>
        </is>
      </c>
      <c r="J669" s="11" t="n">
        <v>29.3</v>
      </c>
      <c r="K669" s="11" t="n">
        <v>44.8</v>
      </c>
      <c r="L669" s="12" t="n">
        <v>50</v>
      </c>
      <c r="M669" s="10" t="inlineStr">
        <is>
          <t>是</t>
        </is>
      </c>
      <c r="N669" s="10" t="inlineStr">
        <is>
          <t>是</t>
        </is>
      </c>
      <c r="O669" s="10" t="inlineStr">
        <is>
          <t>supplier0665@example.com</t>
        </is>
      </c>
      <c r="P669" s="10" t="inlineStr">
        <is>
          <t>https://example.com/supplier/0665</t>
        </is>
      </c>
      <c r="Q669" s="10">
        <f>IF(R669&gt;=85,"A",IF(R669&gt;=70,"B","C"))</f>
        <v/>
      </c>
      <c r="R669" s="13">
        <f>MIN(100,50+IF(M669="是",10,0)+IF(N669="是",10,0)+IF(L669&lt;=100,10,IF(L669&lt;=300,5,0))+IF(J669&lt;=20,10,IF(J669&lt;=50,5,0))+IF(K669-J669&lt;=20,5,0)+IF(F669="企业官网",5,0))</f>
        <v/>
      </c>
      <c r="S669" s="10">
        <f>IF(Q669="A","价格与起订量有优势，建议优先询盘",IF(Q669="B","条件较均衡，可作为备选","起订量或价格需要进一步确认"))</f>
        <v/>
      </c>
      <c r="T669" s="10" t="inlineStr">
        <is>
          <t>未联系</t>
        </is>
      </c>
      <c r="U669" s="10" t="inlineStr">
        <is>
          <t>虚构演示数据</t>
        </is>
      </c>
    </row>
    <row r="670" ht="21" customHeight="1">
      <c r="A670" s="10" t="inlineStr">
        <is>
          <t>GYS-0666</t>
        </is>
      </c>
      <c r="B670" s="10" t="inlineStr">
        <is>
          <t>南昌宠物用品供应链0666有限公司（演示）</t>
        </is>
      </c>
      <c r="C670" s="10" t="inlineStr">
        <is>
          <t>宠物用品</t>
        </is>
      </c>
      <c r="D670" s="10" t="inlineStr">
        <is>
          <t>宠物清洁手套</t>
        </is>
      </c>
      <c r="E670" s="10" t="inlineStr">
        <is>
          <t>江西南昌</t>
        </is>
      </c>
      <c r="F670" s="10" t="inlineStr">
        <is>
          <t>企业官网</t>
        </is>
      </c>
      <c r="G670" s="10" t="inlineStr">
        <is>
          <t>黄经理</t>
        </is>
      </c>
      <c r="H670" s="10" t="inlineStr">
        <is>
          <t>000-0000-0666</t>
        </is>
      </c>
      <c r="I670" s="10" t="inlineStr">
        <is>
          <t>DEMO_GYS_0666</t>
        </is>
      </c>
      <c r="J670" s="11" t="n">
        <v>31</v>
      </c>
      <c r="K670" s="11" t="n">
        <v>47.6</v>
      </c>
      <c r="L670" s="12" t="n">
        <v>20</v>
      </c>
      <c r="M670" s="10" t="inlineStr">
        <is>
          <t>是</t>
        </is>
      </c>
      <c r="N670" s="10" t="inlineStr">
        <is>
          <t>否</t>
        </is>
      </c>
      <c r="O670" s="10" t="inlineStr">
        <is>
          <t>supplier0666@example.com</t>
        </is>
      </c>
      <c r="P670" s="10" t="inlineStr">
        <is>
          <t>https://example.com/supplier/0666</t>
        </is>
      </c>
      <c r="Q670" s="10">
        <f>IF(R670&gt;=85,"A",IF(R670&gt;=70,"B","C"))</f>
        <v/>
      </c>
      <c r="R670" s="13">
        <f>MIN(100,50+IF(M670="是",10,0)+IF(N670="是",10,0)+IF(L670&lt;=100,10,IF(L670&lt;=300,5,0))+IF(J670&lt;=20,10,IF(J670&lt;=50,5,0))+IF(K670-J670&lt;=20,5,0)+IF(F670="企业官网",5,0))</f>
        <v/>
      </c>
      <c r="S670" s="10">
        <f>IF(Q670="A","价格与起订量有优势，建议优先询盘",IF(Q670="B","条件较均衡，可作为备选","起订量或价格需要进一步确认"))</f>
        <v/>
      </c>
      <c r="T670" s="10" t="inlineStr">
        <is>
          <t>未联系</t>
        </is>
      </c>
      <c r="U670" s="10" t="inlineStr">
        <is>
          <t>虚构演示数据</t>
        </is>
      </c>
    </row>
    <row r="671" ht="21" customHeight="1">
      <c r="A671" s="10" t="inlineStr">
        <is>
          <t>GYS-0667</t>
        </is>
      </c>
      <c r="B671" s="10" t="inlineStr">
        <is>
          <t>温州母婴用品供应链0667有限公司（演示）</t>
        </is>
      </c>
      <c r="C671" s="10" t="inlineStr">
        <is>
          <t>母婴用品</t>
        </is>
      </c>
      <c r="D671" s="10" t="inlineStr">
        <is>
          <t>婴儿防撞条</t>
        </is>
      </c>
      <c r="E671" s="10" t="inlineStr">
        <is>
          <t>浙江温州</t>
        </is>
      </c>
      <c r="F671" s="10" t="inlineStr">
        <is>
          <t>义乌购</t>
        </is>
      </c>
      <c r="G671" s="10" t="inlineStr">
        <is>
          <t>赵经理</t>
        </is>
      </c>
      <c r="H671" s="10" t="inlineStr">
        <is>
          <t>000-0000-0667</t>
        </is>
      </c>
      <c r="I671" s="10" t="inlineStr">
        <is>
          <t>DEMO_GYS_0667</t>
        </is>
      </c>
      <c r="J671" s="11" t="n">
        <v>32.7</v>
      </c>
      <c r="K671" s="11" t="n">
        <v>50.4</v>
      </c>
      <c r="L671" s="12" t="n">
        <v>500</v>
      </c>
      <c r="M671" s="10" t="inlineStr">
        <is>
          <t>是</t>
        </is>
      </c>
      <c r="N671" s="10" t="inlineStr">
        <is>
          <t>是</t>
        </is>
      </c>
      <c r="O671" s="10" t="inlineStr">
        <is>
          <t>supplier0667@example.com</t>
        </is>
      </c>
      <c r="P671" s="10" t="inlineStr">
        <is>
          <t>https://example.com/supplier/0667</t>
        </is>
      </c>
      <c r="Q671" s="10">
        <f>IF(R671&gt;=85,"A",IF(R671&gt;=70,"B","C"))</f>
        <v/>
      </c>
      <c r="R671" s="13">
        <f>MIN(100,50+IF(M671="是",10,0)+IF(N671="是",10,0)+IF(L671&lt;=100,10,IF(L671&lt;=300,5,0))+IF(J671&lt;=20,10,IF(J671&lt;=50,5,0))+IF(K671-J671&lt;=20,5,0)+IF(F671="企业官网",5,0))</f>
        <v/>
      </c>
      <c r="S671" s="10">
        <f>IF(Q671="A","价格与起订量有优势，建议优先询盘",IF(Q671="B","条件较均衡，可作为备选","起订量或价格需要进一步确认"))</f>
        <v/>
      </c>
      <c r="T671" s="10" t="inlineStr">
        <is>
          <t>未联系</t>
        </is>
      </c>
      <c r="U671" s="10" t="inlineStr">
        <is>
          <t>虚构演示数据</t>
        </is>
      </c>
    </row>
    <row r="672" ht="21" customHeight="1">
      <c r="A672" s="10" t="inlineStr">
        <is>
          <t>GYS-0668</t>
        </is>
      </c>
      <c r="B672" s="10" t="inlineStr">
        <is>
          <t>广州运动户外供应链0668有限公司（演示）</t>
        </is>
      </c>
      <c r="C672" s="10" t="inlineStr">
        <is>
          <t>运动户外</t>
        </is>
      </c>
      <c r="D672" s="10" t="inlineStr">
        <is>
          <t>弹力训练带</t>
        </is>
      </c>
      <c r="E672" s="10" t="inlineStr">
        <is>
          <t>广东广州</t>
        </is>
      </c>
      <c r="F672" s="10" t="inlineStr">
        <is>
          <t>慧聪网</t>
        </is>
      </c>
      <c r="G672" s="10" t="inlineStr">
        <is>
          <t>周经理</t>
        </is>
      </c>
      <c r="H672" s="10" t="inlineStr">
        <is>
          <t>000-0000-0668</t>
        </is>
      </c>
      <c r="I672" s="10" t="inlineStr">
        <is>
          <t>DEMO_GYS_0668</t>
        </is>
      </c>
      <c r="J672" s="11" t="n">
        <v>34.4</v>
      </c>
      <c r="K672" s="11" t="n">
        <v>53.2</v>
      </c>
      <c r="L672" s="12" t="n">
        <v>300</v>
      </c>
      <c r="M672" s="10" t="inlineStr">
        <is>
          <t>否</t>
        </is>
      </c>
      <c r="N672" s="10" t="inlineStr">
        <is>
          <t>是</t>
        </is>
      </c>
      <c r="O672" s="10" t="inlineStr">
        <is>
          <t>supplier0668@example.com</t>
        </is>
      </c>
      <c r="P672" s="10" t="inlineStr">
        <is>
          <t>https://example.com/supplier/0668</t>
        </is>
      </c>
      <c r="Q672" s="10">
        <f>IF(R672&gt;=85,"A",IF(R672&gt;=70,"B","C"))</f>
        <v/>
      </c>
      <c r="R672" s="13">
        <f>MIN(100,50+IF(M672="是",10,0)+IF(N672="是",10,0)+IF(L672&lt;=100,10,IF(L672&lt;=300,5,0))+IF(J672&lt;=20,10,IF(J672&lt;=50,5,0))+IF(K672-J672&lt;=20,5,0)+IF(F672="企业官网",5,0))</f>
        <v/>
      </c>
      <c r="S672" s="10">
        <f>IF(Q672="A","价格与起订量有优势，建议优先询盘",IF(Q672="B","条件较均衡，可作为备选","起订量或价格需要进一步确认"))</f>
        <v/>
      </c>
      <c r="T672" s="10" t="inlineStr">
        <is>
          <t>未联系</t>
        </is>
      </c>
      <c r="U672" s="10" t="inlineStr">
        <is>
          <t>虚构演示数据</t>
        </is>
      </c>
    </row>
    <row r="673" ht="21" customHeight="1">
      <c r="A673" s="10" t="inlineStr">
        <is>
          <t>GYS-0669</t>
        </is>
      </c>
      <c r="B673" s="10" t="inlineStr">
        <is>
          <t>泉州办公文具供应链0669有限公司（演示）</t>
        </is>
      </c>
      <c r="C673" s="10" t="inlineStr">
        <is>
          <t>办公文具</t>
        </is>
      </c>
      <c r="D673" s="10" t="inlineStr">
        <is>
          <t>桌面收纳架</t>
        </is>
      </c>
      <c r="E673" s="10" t="inlineStr">
        <is>
          <t>福建泉州</t>
        </is>
      </c>
      <c r="F673" s="10" t="inlineStr">
        <is>
          <t>1688</t>
        </is>
      </c>
      <c r="G673" s="10" t="inlineStr">
        <is>
          <t>吴经理</t>
        </is>
      </c>
      <c r="H673" s="10" t="inlineStr">
        <is>
          <t>000-0000-0669</t>
        </is>
      </c>
      <c r="I673" s="10" t="inlineStr">
        <is>
          <t>DEMO_GYS_0669</t>
        </is>
      </c>
      <c r="J673" s="11" t="n">
        <v>36.1</v>
      </c>
      <c r="K673" s="11" t="n">
        <v>56</v>
      </c>
      <c r="L673" s="12" t="n">
        <v>200</v>
      </c>
      <c r="M673" s="10" t="inlineStr">
        <is>
          <t>是</t>
        </is>
      </c>
      <c r="N673" s="10" t="inlineStr">
        <is>
          <t>否</t>
        </is>
      </c>
      <c r="O673" s="10" t="inlineStr">
        <is>
          <t>supplier0669@example.com</t>
        </is>
      </c>
      <c r="P673" s="10" t="inlineStr">
        <is>
          <t>https://example.com/supplier/0669</t>
        </is>
      </c>
      <c r="Q673" s="10">
        <f>IF(R673&gt;=85,"A",IF(R673&gt;=70,"B","C"))</f>
        <v/>
      </c>
      <c r="R673" s="13">
        <f>MIN(100,50+IF(M673="是",10,0)+IF(N673="是",10,0)+IF(L673&lt;=100,10,IF(L673&lt;=300,5,0))+IF(J673&lt;=20,10,IF(J673&lt;=50,5,0))+IF(K673-J673&lt;=20,5,0)+IF(F673="企业官网",5,0))</f>
        <v/>
      </c>
      <c r="S673" s="10">
        <f>IF(Q673="A","价格与起订量有优势，建议优先询盘",IF(Q673="B","条件较均衡，可作为备选","起订量或价格需要进一步确认"))</f>
        <v/>
      </c>
      <c r="T673" s="10" t="inlineStr">
        <is>
          <t>未联系</t>
        </is>
      </c>
      <c r="U673" s="10" t="inlineStr">
        <is>
          <t>虚构演示数据</t>
        </is>
      </c>
    </row>
    <row r="674" ht="21" customHeight="1">
      <c r="A674" s="10" t="inlineStr">
        <is>
          <t>GYS-0670</t>
        </is>
      </c>
      <c r="B674" s="10" t="inlineStr">
        <is>
          <t>南通汽车用品供应链0670有限公司（演示）</t>
        </is>
      </c>
      <c r="C674" s="10" t="inlineStr">
        <is>
          <t>汽车用品</t>
        </is>
      </c>
      <c r="D674" s="10" t="inlineStr">
        <is>
          <t>车载香薰</t>
        </is>
      </c>
      <c r="E674" s="10" t="inlineStr">
        <is>
          <t>江苏南通</t>
        </is>
      </c>
      <c r="F674" s="10" t="inlineStr">
        <is>
          <t>中国制造网</t>
        </is>
      </c>
      <c r="G674" s="10" t="inlineStr">
        <is>
          <t>陈经理</t>
        </is>
      </c>
      <c r="H674" s="10" t="inlineStr">
        <is>
          <t>000-0000-0670</t>
        </is>
      </c>
      <c r="I674" s="10" t="inlineStr">
        <is>
          <t>DEMO_GYS_0670</t>
        </is>
      </c>
      <c r="J674" s="11" t="n">
        <v>37.8</v>
      </c>
      <c r="K674" s="11" t="n">
        <v>58.8</v>
      </c>
      <c r="L674" s="12" t="n">
        <v>100</v>
      </c>
      <c r="M674" s="10" t="inlineStr">
        <is>
          <t>是</t>
        </is>
      </c>
      <c r="N674" s="10" t="inlineStr">
        <is>
          <t>是</t>
        </is>
      </c>
      <c r="O674" s="10" t="inlineStr">
        <is>
          <t>supplier0670@example.com</t>
        </is>
      </c>
      <c r="P674" s="10" t="inlineStr">
        <is>
          <t>https://example.com/supplier/0670</t>
        </is>
      </c>
      <c r="Q674" s="10">
        <f>IF(R674&gt;=85,"A",IF(R674&gt;=70,"B","C"))</f>
        <v/>
      </c>
      <c r="R674" s="13">
        <f>MIN(100,50+IF(M674="是",10,0)+IF(N674="是",10,0)+IF(L674&lt;=100,10,IF(L674&lt;=300,5,0))+IF(J674&lt;=20,10,IF(J674&lt;=50,5,0))+IF(K674-J674&lt;=20,5,0)+IF(F674="企业官网",5,0))</f>
        <v/>
      </c>
      <c r="S674" s="10">
        <f>IF(Q674="A","价格与起订量有优势，建议优先询盘",IF(Q674="B","条件较均衡，可作为备选","起订量或价格需要进一步确认"))</f>
        <v/>
      </c>
      <c r="T674" s="10" t="inlineStr">
        <is>
          <t>未联系</t>
        </is>
      </c>
      <c r="U674" s="10" t="inlineStr">
        <is>
          <t>虚构演示数据</t>
        </is>
      </c>
    </row>
    <row r="675" ht="21" customHeight="1">
      <c r="A675" s="10" t="inlineStr">
        <is>
          <t>GYS-0671</t>
        </is>
      </c>
      <c r="B675" s="10" t="inlineStr">
        <is>
          <t>郑州美容工具供应链0671有限公司（演示）</t>
        </is>
      </c>
      <c r="C675" s="10" t="inlineStr">
        <is>
          <t>美容工具</t>
        </is>
      </c>
      <c r="D675" s="10" t="inlineStr">
        <is>
          <t>便携化妆镜</t>
        </is>
      </c>
      <c r="E675" s="10" t="inlineStr">
        <is>
          <t>河南郑州</t>
        </is>
      </c>
      <c r="F675" s="10" t="inlineStr">
        <is>
          <t>企业官网</t>
        </is>
      </c>
      <c r="G675" s="10" t="inlineStr">
        <is>
          <t>林经理</t>
        </is>
      </c>
      <c r="H675" s="10" t="inlineStr">
        <is>
          <t>000-0000-0671</t>
        </is>
      </c>
      <c r="I675" s="10" t="inlineStr">
        <is>
          <t>DEMO_GYS_0671</t>
        </is>
      </c>
      <c r="J675" s="11" t="n">
        <v>39.5</v>
      </c>
      <c r="K675" s="11" t="n">
        <v>43.6</v>
      </c>
      <c r="L675" s="12" t="n">
        <v>50</v>
      </c>
      <c r="M675" s="10" t="inlineStr">
        <is>
          <t>是</t>
        </is>
      </c>
      <c r="N675" s="10" t="inlineStr">
        <is>
          <t>是</t>
        </is>
      </c>
      <c r="O675" s="10" t="inlineStr">
        <is>
          <t>supplier0671@example.com</t>
        </is>
      </c>
      <c r="P675" s="10" t="inlineStr">
        <is>
          <t>https://example.com/supplier/0671</t>
        </is>
      </c>
      <c r="Q675" s="10">
        <f>IF(R675&gt;=85,"A",IF(R675&gt;=70,"B","C"))</f>
        <v/>
      </c>
      <c r="R675" s="13">
        <f>MIN(100,50+IF(M675="是",10,0)+IF(N675="是",10,0)+IF(L675&lt;=100,10,IF(L675&lt;=300,5,0))+IF(J675&lt;=20,10,IF(J675&lt;=50,5,0))+IF(K675-J675&lt;=20,5,0)+IF(F675="企业官网",5,0))</f>
        <v/>
      </c>
      <c r="S675" s="10">
        <f>IF(Q675="A","价格与起订量有优势，建议优先询盘",IF(Q675="B","条件较均衡，可作为备选","起订量或价格需要进一步确认"))</f>
        <v/>
      </c>
      <c r="T675" s="10" t="inlineStr">
        <is>
          <t>未联系</t>
        </is>
      </c>
      <c r="U675" s="10" t="inlineStr">
        <is>
          <t>虚构演示数据</t>
        </is>
      </c>
    </row>
    <row r="676" ht="21" customHeight="1">
      <c r="A676" s="10" t="inlineStr">
        <is>
          <t>GYS-0672</t>
        </is>
      </c>
      <c r="B676" s="10" t="inlineStr">
        <is>
          <t>宁波旅行用品供应链0672有限公司（演示）</t>
        </is>
      </c>
      <c r="C676" s="10" t="inlineStr">
        <is>
          <t>旅行用品</t>
        </is>
      </c>
      <c r="D676" s="10" t="inlineStr">
        <is>
          <t>压缩收纳袋</t>
        </is>
      </c>
      <c r="E676" s="10" t="inlineStr">
        <is>
          <t>浙江宁波</t>
        </is>
      </c>
      <c r="F676" s="10" t="inlineStr">
        <is>
          <t>义乌购</t>
        </is>
      </c>
      <c r="G676" s="10" t="inlineStr">
        <is>
          <t>王经理</t>
        </is>
      </c>
      <c r="H676" s="10" t="inlineStr">
        <is>
          <t>000-0000-0672</t>
        </is>
      </c>
      <c r="I676" s="10" t="inlineStr">
        <is>
          <t>DEMO_GYS_0672</t>
        </is>
      </c>
      <c r="J676" s="11" t="n">
        <v>41.2</v>
      </c>
      <c r="K676" s="11" t="n">
        <v>46.4</v>
      </c>
      <c r="L676" s="12" t="n">
        <v>20</v>
      </c>
      <c r="M676" s="10" t="inlineStr">
        <is>
          <t>否</t>
        </is>
      </c>
      <c r="N676" s="10" t="inlineStr">
        <is>
          <t>否</t>
        </is>
      </c>
      <c r="O676" s="10" t="inlineStr">
        <is>
          <t>supplier0672@example.com</t>
        </is>
      </c>
      <c r="P676" s="10" t="inlineStr">
        <is>
          <t>https://example.com/supplier/0672</t>
        </is>
      </c>
      <c r="Q676" s="10">
        <f>IF(R676&gt;=85,"A",IF(R676&gt;=70,"B","C"))</f>
        <v/>
      </c>
      <c r="R676" s="13">
        <f>MIN(100,50+IF(M676="是",10,0)+IF(N676="是",10,0)+IF(L676&lt;=100,10,IF(L676&lt;=300,5,0))+IF(J676&lt;=20,10,IF(J676&lt;=50,5,0))+IF(K676-J676&lt;=20,5,0)+IF(F676="企业官网",5,0))</f>
        <v/>
      </c>
      <c r="S676" s="10">
        <f>IF(Q676="A","价格与起订量有优势，建议优先询盘",IF(Q676="B","条件较均衡，可作为备选","起订量或价格需要进一步确认"))</f>
        <v/>
      </c>
      <c r="T676" s="10" t="inlineStr">
        <is>
          <t>未联系</t>
        </is>
      </c>
      <c r="U676" s="10" t="inlineStr">
        <is>
          <t>虚构演示数据</t>
        </is>
      </c>
    </row>
    <row r="677" ht="21" customHeight="1">
      <c r="A677" s="10" t="inlineStr">
        <is>
          <t>GYS-0673</t>
        </is>
      </c>
      <c r="B677" s="10" t="inlineStr">
        <is>
          <t>深圳清洁工具供应链0673有限公司（演示）</t>
        </is>
      </c>
      <c r="C677" s="10" t="inlineStr">
        <is>
          <t>清洁工具</t>
        </is>
      </c>
      <c r="D677" s="10" t="inlineStr">
        <is>
          <t>免手洗拖把</t>
        </is>
      </c>
      <c r="E677" s="10" t="inlineStr">
        <is>
          <t>广东深圳</t>
        </is>
      </c>
      <c r="F677" s="10" t="inlineStr">
        <is>
          <t>慧聪网</t>
        </is>
      </c>
      <c r="G677" s="10" t="inlineStr">
        <is>
          <t>李经理</t>
        </is>
      </c>
      <c r="H677" s="10" t="inlineStr">
        <is>
          <t>000-0000-0673</t>
        </is>
      </c>
      <c r="I677" s="10" t="inlineStr">
        <is>
          <t>DEMO_GYS_0673</t>
        </is>
      </c>
      <c r="J677" s="11" t="n">
        <v>42.9</v>
      </c>
      <c r="K677" s="11" t="n">
        <v>49.2</v>
      </c>
      <c r="L677" s="12" t="n">
        <v>500</v>
      </c>
      <c r="M677" s="10" t="inlineStr">
        <is>
          <t>是</t>
        </is>
      </c>
      <c r="N677" s="10" t="inlineStr">
        <is>
          <t>是</t>
        </is>
      </c>
      <c r="O677" s="10" t="inlineStr">
        <is>
          <t>supplier0673@example.com</t>
        </is>
      </c>
      <c r="P677" s="10" t="inlineStr">
        <is>
          <t>https://example.com/supplier/0673</t>
        </is>
      </c>
      <c r="Q677" s="10">
        <f>IF(R677&gt;=85,"A",IF(R677&gt;=70,"B","C"))</f>
        <v/>
      </c>
      <c r="R677" s="13">
        <f>MIN(100,50+IF(M677="是",10,0)+IF(N677="是",10,0)+IF(L677&lt;=100,10,IF(L677&lt;=300,5,0))+IF(J677&lt;=20,10,IF(J677&lt;=50,5,0))+IF(K677-J677&lt;=20,5,0)+IF(F677="企业官网",5,0))</f>
        <v/>
      </c>
      <c r="S677" s="10">
        <f>IF(Q677="A","价格与起订量有优势，建议优先询盘",IF(Q677="B","条件较均衡，可作为备选","起订量或价格需要进一步确认"))</f>
        <v/>
      </c>
      <c r="T677" s="10" t="inlineStr">
        <is>
          <t>未联系</t>
        </is>
      </c>
      <c r="U677" s="10" t="inlineStr">
        <is>
          <t>虚构演示数据</t>
        </is>
      </c>
    </row>
    <row r="678" ht="21" customHeight="1">
      <c r="A678" s="10" t="inlineStr">
        <is>
          <t>GYS-0674</t>
        </is>
      </c>
      <c r="B678" s="10" t="inlineStr">
        <is>
          <t>佛山小家电供应链0674有限公司（演示）</t>
        </is>
      </c>
      <c r="C678" s="10" t="inlineStr">
        <is>
          <t>小家电</t>
        </is>
      </c>
      <c r="D678" s="10" t="inlineStr">
        <is>
          <t>迷你加湿器</t>
        </is>
      </c>
      <c r="E678" s="10" t="inlineStr">
        <is>
          <t>广东佛山</t>
        </is>
      </c>
      <c r="F678" s="10" t="inlineStr">
        <is>
          <t>1688</t>
        </is>
      </c>
      <c r="G678" s="10" t="inlineStr">
        <is>
          <t>张经理</t>
        </is>
      </c>
      <c r="H678" s="10" t="inlineStr">
        <is>
          <t>000-0000-0674</t>
        </is>
      </c>
      <c r="I678" s="10" t="inlineStr">
        <is>
          <t>DEMO_GYS_0674</t>
        </is>
      </c>
      <c r="J678" s="11" t="n">
        <v>44.6</v>
      </c>
      <c r="K678" s="11" t="n">
        <v>52</v>
      </c>
      <c r="L678" s="12" t="n">
        <v>300</v>
      </c>
      <c r="M678" s="10" t="inlineStr">
        <is>
          <t>是</t>
        </is>
      </c>
      <c r="N678" s="10" t="inlineStr">
        <is>
          <t>是</t>
        </is>
      </c>
      <c r="O678" s="10" t="inlineStr">
        <is>
          <t>supplier0674@example.com</t>
        </is>
      </c>
      <c r="P678" s="10" t="inlineStr">
        <is>
          <t>https://example.com/supplier/0674</t>
        </is>
      </c>
      <c r="Q678" s="10">
        <f>IF(R678&gt;=85,"A",IF(R678&gt;=70,"B","C"))</f>
        <v/>
      </c>
      <c r="R678" s="13">
        <f>MIN(100,50+IF(M678="是",10,0)+IF(N678="是",10,0)+IF(L678&lt;=100,10,IF(L678&lt;=300,5,0))+IF(J678&lt;=20,10,IF(J678&lt;=50,5,0))+IF(K678-J678&lt;=20,5,0)+IF(F678="企业官网",5,0))</f>
        <v/>
      </c>
      <c r="S678" s="10">
        <f>IF(Q678="A","价格与起订量有优势，建议优先询盘",IF(Q678="B","条件较均衡，可作为备选","起订量或价格需要进一步确认"))</f>
        <v/>
      </c>
      <c r="T678" s="10" t="inlineStr">
        <is>
          <t>未联系</t>
        </is>
      </c>
      <c r="U678" s="10" t="inlineStr">
        <is>
          <t>虚构演示数据</t>
        </is>
      </c>
    </row>
    <row r="679" ht="21" customHeight="1">
      <c r="A679" s="10" t="inlineStr">
        <is>
          <t>GYS-0675</t>
        </is>
      </c>
      <c r="B679" s="10" t="inlineStr">
        <is>
          <t>苏州礼品包装供应链0675有限公司（演示）</t>
        </is>
      </c>
      <c r="C679" s="10" t="inlineStr">
        <is>
          <t>礼品包装</t>
        </is>
      </c>
      <c r="D679" s="10" t="inlineStr">
        <is>
          <t>节日礼盒</t>
        </is>
      </c>
      <c r="E679" s="10" t="inlineStr">
        <is>
          <t>江苏苏州</t>
        </is>
      </c>
      <c r="F679" s="10" t="inlineStr">
        <is>
          <t>中国制造网</t>
        </is>
      </c>
      <c r="G679" s="10" t="inlineStr">
        <is>
          <t>刘经理</t>
        </is>
      </c>
      <c r="H679" s="10" t="inlineStr">
        <is>
          <t>000-0000-0675</t>
        </is>
      </c>
      <c r="I679" s="10" t="inlineStr">
        <is>
          <t>DEMO_GYS_0675</t>
        </is>
      </c>
      <c r="J679" s="11" t="n">
        <v>46.3</v>
      </c>
      <c r="K679" s="11" t="n">
        <v>54.8</v>
      </c>
      <c r="L679" s="12" t="n">
        <v>200</v>
      </c>
      <c r="M679" s="10" t="inlineStr">
        <is>
          <t>是</t>
        </is>
      </c>
      <c r="N679" s="10" t="inlineStr">
        <is>
          <t>否</t>
        </is>
      </c>
      <c r="O679" s="10" t="inlineStr">
        <is>
          <t>supplier0675@example.com</t>
        </is>
      </c>
      <c r="P679" s="10" t="inlineStr">
        <is>
          <t>https://example.com/supplier/0675</t>
        </is>
      </c>
      <c r="Q679" s="10">
        <f>IF(R679&gt;=85,"A",IF(R679&gt;=70,"B","C"))</f>
        <v/>
      </c>
      <c r="R679" s="13">
        <f>MIN(100,50+IF(M679="是",10,0)+IF(N679="是",10,0)+IF(L679&lt;=100,10,IF(L679&lt;=300,5,0))+IF(J679&lt;=20,10,IF(J679&lt;=50,5,0))+IF(K679-J679&lt;=20,5,0)+IF(F679="企业官网",5,0))</f>
        <v/>
      </c>
      <c r="S679" s="10">
        <f>IF(Q679="A","价格与起订量有优势，建议优先询盘",IF(Q679="B","条件较均衡，可作为备选","起订量或价格需要进一步确认"))</f>
        <v/>
      </c>
      <c r="T679" s="10" t="inlineStr">
        <is>
          <t>未联系</t>
        </is>
      </c>
      <c r="U679" s="10" t="inlineStr">
        <is>
          <t>虚构演示数据</t>
        </is>
      </c>
    </row>
    <row r="680" ht="21" customHeight="1">
      <c r="A680" s="10" t="inlineStr">
        <is>
          <t>GYS-0676</t>
        </is>
      </c>
      <c r="B680" s="10" t="inlineStr">
        <is>
          <t>白沟五金工具供应链0676有限公司（演示）</t>
        </is>
      </c>
      <c r="C680" s="10" t="inlineStr">
        <is>
          <t>五金工具</t>
        </is>
      </c>
      <c r="D680" s="10" t="inlineStr">
        <is>
          <t>多功能螺丝刀</t>
        </is>
      </c>
      <c r="E680" s="10" t="inlineStr">
        <is>
          <t>河北白沟</t>
        </is>
      </c>
      <c r="F680" s="10" t="inlineStr">
        <is>
          <t>企业官网</t>
        </is>
      </c>
      <c r="G680" s="10" t="inlineStr">
        <is>
          <t>黄经理</t>
        </is>
      </c>
      <c r="H680" s="10" t="inlineStr">
        <is>
          <t>000-0000-0676</t>
        </is>
      </c>
      <c r="I680" s="10" t="inlineStr">
        <is>
          <t>DEMO_GYS_0676</t>
        </is>
      </c>
      <c r="J680" s="11" t="n">
        <v>48</v>
      </c>
      <c r="K680" s="11" t="n">
        <v>57.6</v>
      </c>
      <c r="L680" s="12" t="n">
        <v>100</v>
      </c>
      <c r="M680" s="10" t="inlineStr">
        <is>
          <t>否</t>
        </is>
      </c>
      <c r="N680" s="10" t="inlineStr">
        <is>
          <t>是</t>
        </is>
      </c>
      <c r="O680" s="10" t="inlineStr">
        <is>
          <t>supplier0676@example.com</t>
        </is>
      </c>
      <c r="P680" s="10" t="inlineStr">
        <is>
          <t>https://example.com/supplier/0676</t>
        </is>
      </c>
      <c r="Q680" s="10">
        <f>IF(R680&gt;=85,"A",IF(R680&gt;=70,"B","C"))</f>
        <v/>
      </c>
      <c r="R680" s="13">
        <f>MIN(100,50+IF(M680="是",10,0)+IF(N680="是",10,0)+IF(L680&lt;=100,10,IF(L680&lt;=300,5,0))+IF(J680&lt;=20,10,IF(J680&lt;=50,5,0))+IF(K680-J680&lt;=20,5,0)+IF(F680="企业官网",5,0))</f>
        <v/>
      </c>
      <c r="S680" s="10">
        <f>IF(Q680="A","价格与起订量有优势，建议优先询盘",IF(Q680="B","条件较均衡，可作为备选","起订量或价格需要进一步确认"))</f>
        <v/>
      </c>
      <c r="T680" s="10" t="inlineStr">
        <is>
          <t>未联系</t>
        </is>
      </c>
      <c r="U680" s="10" t="inlineStr">
        <is>
          <t>虚构演示数据</t>
        </is>
      </c>
    </row>
    <row r="681" ht="21" customHeight="1">
      <c r="A681" s="10" t="inlineStr">
        <is>
          <t>GYS-0677</t>
        </is>
      </c>
      <c r="B681" s="10" t="inlineStr">
        <is>
          <t>义乌鞋靴配件供应链0677有限公司（演示）</t>
        </is>
      </c>
      <c r="C681" s="10" t="inlineStr">
        <is>
          <t>鞋靴配件</t>
        </is>
      </c>
      <c r="D681" s="10" t="inlineStr">
        <is>
          <t>防磨脚贴</t>
        </is>
      </c>
      <c r="E681" s="10" t="inlineStr">
        <is>
          <t>浙江义乌</t>
        </is>
      </c>
      <c r="F681" s="10" t="inlineStr">
        <is>
          <t>义乌购</t>
        </is>
      </c>
      <c r="G681" s="10" t="inlineStr">
        <is>
          <t>赵经理</t>
        </is>
      </c>
      <c r="H681" s="10" t="inlineStr">
        <is>
          <t>000-0000-0677</t>
        </is>
      </c>
      <c r="I681" s="10" t="inlineStr">
        <is>
          <t>DEMO_GYS_0677</t>
        </is>
      </c>
      <c r="J681" s="11" t="n">
        <v>3.7</v>
      </c>
      <c r="K681" s="11" t="n">
        <v>14.4</v>
      </c>
      <c r="L681" s="12" t="n">
        <v>50</v>
      </c>
      <c r="M681" s="10" t="inlineStr">
        <is>
          <t>是</t>
        </is>
      </c>
      <c r="N681" s="10" t="inlineStr">
        <is>
          <t>是</t>
        </is>
      </c>
      <c r="O681" s="10" t="inlineStr">
        <is>
          <t>supplier0677@example.com</t>
        </is>
      </c>
      <c r="P681" s="10" t="inlineStr">
        <is>
          <t>https://example.com/supplier/0677</t>
        </is>
      </c>
      <c r="Q681" s="10">
        <f>IF(R681&gt;=85,"A",IF(R681&gt;=70,"B","C"))</f>
        <v/>
      </c>
      <c r="R681" s="13">
        <f>MIN(100,50+IF(M681="是",10,0)+IF(N681="是",10,0)+IF(L681&lt;=100,10,IF(L681&lt;=300,5,0))+IF(J681&lt;=20,10,IF(J681&lt;=50,5,0))+IF(K681-J681&lt;=20,5,0)+IF(F681="企业官网",5,0))</f>
        <v/>
      </c>
      <c r="S681" s="10">
        <f>IF(Q681="A","价格与起订量有优势，建议优先询盘",IF(Q681="B","条件较均衡，可作为备选","起订量或价格需要进一步确认"))</f>
        <v/>
      </c>
      <c r="T681" s="10" t="inlineStr">
        <is>
          <t>未联系</t>
        </is>
      </c>
      <c r="U681" s="10" t="inlineStr">
        <is>
          <t>虚构演示数据</t>
        </is>
      </c>
    </row>
    <row r="682" ht="21" customHeight="1">
      <c r="A682" s="10" t="inlineStr">
        <is>
          <t>GYS-0678</t>
        </is>
      </c>
      <c r="B682" s="10" t="inlineStr">
        <is>
          <t>台州食品包装供应链0678有限公司（演示）</t>
        </is>
      </c>
      <c r="C682" s="10" t="inlineStr">
        <is>
          <t>食品包装</t>
        </is>
      </c>
      <c r="D682" s="10" t="inlineStr">
        <is>
          <t>密封包装袋</t>
        </is>
      </c>
      <c r="E682" s="10" t="inlineStr">
        <is>
          <t>浙江台州</t>
        </is>
      </c>
      <c r="F682" s="10" t="inlineStr">
        <is>
          <t>慧聪网</t>
        </is>
      </c>
      <c r="G682" s="10" t="inlineStr">
        <is>
          <t>周经理</t>
        </is>
      </c>
      <c r="H682" s="10" t="inlineStr">
        <is>
          <t>000-0000-0678</t>
        </is>
      </c>
      <c r="I682" s="10" t="inlineStr">
        <is>
          <t>DEMO_GYS_0678</t>
        </is>
      </c>
      <c r="J682" s="11" t="n">
        <v>5.4</v>
      </c>
      <c r="K682" s="11" t="n">
        <v>17.2</v>
      </c>
      <c r="L682" s="12" t="n">
        <v>20</v>
      </c>
      <c r="M682" s="10" t="inlineStr">
        <is>
          <t>是</t>
        </is>
      </c>
      <c r="N682" s="10" t="inlineStr">
        <is>
          <t>否</t>
        </is>
      </c>
      <c r="O682" s="10" t="inlineStr">
        <is>
          <t>supplier0678@example.com</t>
        </is>
      </c>
      <c r="P682" s="10" t="inlineStr">
        <is>
          <t>https://example.com/supplier/0678</t>
        </is>
      </c>
      <c r="Q682" s="10">
        <f>IF(R682&gt;=85,"A",IF(R682&gt;=70,"B","C"))</f>
        <v/>
      </c>
      <c r="R682" s="13">
        <f>MIN(100,50+IF(M682="是",10,0)+IF(N682="是",10,0)+IF(L682&lt;=100,10,IF(L682&lt;=300,5,0))+IF(J682&lt;=20,10,IF(J682&lt;=50,5,0))+IF(K682-J682&lt;=20,5,0)+IF(F682="企业官网",5,0))</f>
        <v/>
      </c>
      <c r="S682" s="10">
        <f>IF(Q682="A","价格与起订量有优势，建议优先询盘",IF(Q682="B","条件较均衡，可作为备选","起订量或价格需要进一步确认"))</f>
        <v/>
      </c>
      <c r="T682" s="10" t="inlineStr">
        <is>
          <t>未联系</t>
        </is>
      </c>
      <c r="U682" s="10" t="inlineStr">
        <is>
          <t>虚构演示数据</t>
        </is>
      </c>
    </row>
    <row r="683" ht="21" customHeight="1">
      <c r="A683" s="10" t="inlineStr">
        <is>
          <t>GYS-0679</t>
        </is>
      </c>
      <c r="B683" s="10" t="inlineStr">
        <is>
          <t>东莞户外照明供应链0679有限公司（演示）</t>
        </is>
      </c>
      <c r="C683" s="10" t="inlineStr">
        <is>
          <t>户外照明</t>
        </is>
      </c>
      <c r="D683" s="10" t="inlineStr">
        <is>
          <t>便携露营灯</t>
        </is>
      </c>
      <c r="E683" s="10" t="inlineStr">
        <is>
          <t>广东东莞</t>
        </is>
      </c>
      <c r="F683" s="10" t="inlineStr">
        <is>
          <t>1688</t>
        </is>
      </c>
      <c r="G683" s="10" t="inlineStr">
        <is>
          <t>吴经理</t>
        </is>
      </c>
      <c r="H683" s="10" t="inlineStr">
        <is>
          <t>000-0000-0679</t>
        </is>
      </c>
      <c r="I683" s="10" t="inlineStr">
        <is>
          <t>DEMO_GYS_0679</t>
        </is>
      </c>
      <c r="J683" s="11" t="n">
        <v>7.1</v>
      </c>
      <c r="K683" s="11" t="n">
        <v>20</v>
      </c>
      <c r="L683" s="12" t="n">
        <v>500</v>
      </c>
      <c r="M683" s="10" t="inlineStr">
        <is>
          <t>是</t>
        </is>
      </c>
      <c r="N683" s="10" t="inlineStr">
        <is>
          <t>是</t>
        </is>
      </c>
      <c r="O683" s="10" t="inlineStr">
        <is>
          <t>supplier0679@example.com</t>
        </is>
      </c>
      <c r="P683" s="10" t="inlineStr">
        <is>
          <t>https://example.com/supplier/0679</t>
        </is>
      </c>
      <c r="Q683" s="10">
        <f>IF(R683&gt;=85,"A",IF(R683&gt;=70,"B","C"))</f>
        <v/>
      </c>
      <c r="R683" s="13">
        <f>MIN(100,50+IF(M683="是",10,0)+IF(N683="是",10,0)+IF(L683&lt;=100,10,IF(L683&lt;=300,5,0))+IF(J683&lt;=20,10,IF(J683&lt;=50,5,0))+IF(K683-J683&lt;=20,5,0)+IF(F683="企业官网",5,0))</f>
        <v/>
      </c>
      <c r="S683" s="10">
        <f>IF(Q683="A","价格与起订量有优势，建议优先询盘",IF(Q683="B","条件较均衡，可作为备选","起订量或价格需要进一步确认"))</f>
        <v/>
      </c>
      <c r="T683" s="10" t="inlineStr">
        <is>
          <t>未联系</t>
        </is>
      </c>
      <c r="U683" s="10" t="inlineStr">
        <is>
          <t>虚构演示数据</t>
        </is>
      </c>
    </row>
    <row r="684" ht="21" customHeight="1">
      <c r="A684" s="10" t="inlineStr">
        <is>
          <t>GYS-0680</t>
        </is>
      </c>
      <c r="B684" s="10" t="inlineStr">
        <is>
          <t>厦门健康用品供应链0680有限公司（演示）</t>
        </is>
      </c>
      <c r="C684" s="10" t="inlineStr">
        <is>
          <t>健康用品</t>
        </is>
      </c>
      <c r="D684" s="10" t="inlineStr">
        <is>
          <t>热敷眼罩</t>
        </is>
      </c>
      <c r="E684" s="10" t="inlineStr">
        <is>
          <t>福建厦门</t>
        </is>
      </c>
      <c r="F684" s="10" t="inlineStr">
        <is>
          <t>中国制造网</t>
        </is>
      </c>
      <c r="G684" s="10" t="inlineStr">
        <is>
          <t>陈经理</t>
        </is>
      </c>
      <c r="H684" s="10" t="inlineStr">
        <is>
          <t>000-0000-0680</t>
        </is>
      </c>
      <c r="I684" s="10" t="inlineStr">
        <is>
          <t>DEMO_GYS_0680</t>
        </is>
      </c>
      <c r="J684" s="11" t="n">
        <v>8.800000000000001</v>
      </c>
      <c r="K684" s="11" t="n">
        <v>22.8</v>
      </c>
      <c r="L684" s="12" t="n">
        <v>300</v>
      </c>
      <c r="M684" s="10" t="inlineStr">
        <is>
          <t>否</t>
        </is>
      </c>
      <c r="N684" s="10" t="inlineStr">
        <is>
          <t>是</t>
        </is>
      </c>
      <c r="O684" s="10" t="inlineStr">
        <is>
          <t>supplier0680@example.com</t>
        </is>
      </c>
      <c r="P684" s="10" t="inlineStr">
        <is>
          <t>https://example.com/supplier/0680</t>
        </is>
      </c>
      <c r="Q684" s="10">
        <f>IF(R684&gt;=85,"A",IF(R684&gt;=70,"B","C"))</f>
        <v/>
      </c>
      <c r="R684" s="13">
        <f>MIN(100,50+IF(M684="是",10,0)+IF(N684="是",10,0)+IF(L684&lt;=100,10,IF(L684&lt;=300,5,0))+IF(J684&lt;=20,10,IF(J684&lt;=50,5,0))+IF(K684-J684&lt;=20,5,0)+IF(F684="企业官网",5,0))</f>
        <v/>
      </c>
      <c r="S684" s="10">
        <f>IF(Q684="A","价格与起订量有优势，建议优先询盘",IF(Q684="B","条件较均衡，可作为备选","起订量或价格需要进一步确认"))</f>
        <v/>
      </c>
      <c r="T684" s="10" t="inlineStr">
        <is>
          <t>未联系</t>
        </is>
      </c>
      <c r="U684" s="10" t="inlineStr">
        <is>
          <t>虚构演示数据</t>
        </is>
      </c>
    </row>
    <row r="685" ht="21" customHeight="1">
      <c r="A685" s="10" t="inlineStr">
        <is>
          <t>GYS-0681</t>
        </is>
      </c>
      <c r="B685" s="10" t="inlineStr">
        <is>
          <t>临沂服饰内衣供应链0681有限公司（演示）</t>
        </is>
      </c>
      <c r="C685" s="10" t="inlineStr">
        <is>
          <t>服饰内衣</t>
        </is>
      </c>
      <c r="D685" s="10" t="inlineStr">
        <is>
          <t>防滑袜</t>
        </is>
      </c>
      <c r="E685" s="10" t="inlineStr">
        <is>
          <t>山东临沂</t>
        </is>
      </c>
      <c r="F685" s="10" t="inlineStr">
        <is>
          <t>企业官网</t>
        </is>
      </c>
      <c r="G685" s="10" t="inlineStr">
        <is>
          <t>林经理</t>
        </is>
      </c>
      <c r="H685" s="10" t="inlineStr">
        <is>
          <t>000-0000-0681</t>
        </is>
      </c>
      <c r="I685" s="10" t="inlineStr">
        <is>
          <t>DEMO_GYS_0681</t>
        </is>
      </c>
      <c r="J685" s="11" t="n">
        <v>10.5</v>
      </c>
      <c r="K685" s="11" t="n">
        <v>25.6</v>
      </c>
      <c r="L685" s="12" t="n">
        <v>200</v>
      </c>
      <c r="M685" s="10" t="inlineStr">
        <is>
          <t>是</t>
        </is>
      </c>
      <c r="N685" s="10" t="inlineStr">
        <is>
          <t>否</t>
        </is>
      </c>
      <c r="O685" s="10" t="inlineStr">
        <is>
          <t>supplier0681@example.com</t>
        </is>
      </c>
      <c r="P685" s="10" t="inlineStr">
        <is>
          <t>https://example.com/supplier/0681</t>
        </is>
      </c>
      <c r="Q685" s="10">
        <f>IF(R685&gt;=85,"A",IF(R685&gt;=70,"B","C"))</f>
        <v/>
      </c>
      <c r="R685" s="13">
        <f>MIN(100,50+IF(M685="是",10,0)+IF(N685="是",10,0)+IF(L685&lt;=100,10,IF(L685&lt;=300,5,0))+IF(J685&lt;=20,10,IF(J685&lt;=50,5,0))+IF(K685-J685&lt;=20,5,0)+IF(F685="企业官网",5,0))</f>
        <v/>
      </c>
      <c r="S685" s="10">
        <f>IF(Q685="A","价格与起订量有优势，建议优先询盘",IF(Q685="B","条件较均衡，可作为备选","起订量或价格需要进一步确认"))</f>
        <v/>
      </c>
      <c r="T685" s="10" t="inlineStr">
        <is>
          <t>未联系</t>
        </is>
      </c>
      <c r="U685" s="10" t="inlineStr">
        <is>
          <t>虚构演示数据</t>
        </is>
      </c>
    </row>
    <row r="686" ht="21" customHeight="1">
      <c r="A686" s="10" t="inlineStr">
        <is>
          <t>GYS-0682</t>
        </is>
      </c>
      <c r="B686" s="10" t="inlineStr">
        <is>
          <t>南昌家居日用供应链0682有限公司（演示）</t>
        </is>
      </c>
      <c r="C686" s="10" t="inlineStr">
        <is>
          <t>家居日用</t>
        </is>
      </c>
      <c r="D686" s="10" t="inlineStr">
        <is>
          <t>折叠收纳箱</t>
        </is>
      </c>
      <c r="E686" s="10" t="inlineStr">
        <is>
          <t>江西南昌</t>
        </is>
      </c>
      <c r="F686" s="10" t="inlineStr">
        <is>
          <t>义乌购</t>
        </is>
      </c>
      <c r="G686" s="10" t="inlineStr">
        <is>
          <t>王经理</t>
        </is>
      </c>
      <c r="H686" s="10" t="inlineStr">
        <is>
          <t>000-0000-0682</t>
        </is>
      </c>
      <c r="I686" s="10" t="inlineStr">
        <is>
          <t>DEMO_GYS_0682</t>
        </is>
      </c>
      <c r="J686" s="11" t="n">
        <v>12.2</v>
      </c>
      <c r="K686" s="11" t="n">
        <v>28.4</v>
      </c>
      <c r="L686" s="12" t="n">
        <v>100</v>
      </c>
      <c r="M686" s="10" t="inlineStr">
        <is>
          <t>是</t>
        </is>
      </c>
      <c r="N686" s="10" t="inlineStr">
        <is>
          <t>是</t>
        </is>
      </c>
      <c r="O686" s="10" t="inlineStr">
        <is>
          <t>supplier0682@example.com</t>
        </is>
      </c>
      <c r="P686" s="10" t="inlineStr">
        <is>
          <t>https://example.com/supplier/0682</t>
        </is>
      </c>
      <c r="Q686" s="10">
        <f>IF(R686&gt;=85,"A",IF(R686&gt;=70,"B","C"))</f>
        <v/>
      </c>
      <c r="R686" s="13">
        <f>MIN(100,50+IF(M686="是",10,0)+IF(N686="是",10,0)+IF(L686&lt;=100,10,IF(L686&lt;=300,5,0))+IF(J686&lt;=20,10,IF(J686&lt;=50,5,0))+IF(K686-J686&lt;=20,5,0)+IF(F686="企业官网",5,0))</f>
        <v/>
      </c>
      <c r="S686" s="10">
        <f>IF(Q686="A","价格与起订量有优势，建议优先询盘",IF(Q686="B","条件较均衡，可作为备选","起订量或价格需要进一步确认"))</f>
        <v/>
      </c>
      <c r="T686" s="10" t="inlineStr">
        <is>
          <t>未联系</t>
        </is>
      </c>
      <c r="U686" s="10" t="inlineStr">
        <is>
          <t>虚构演示数据</t>
        </is>
      </c>
    </row>
    <row r="687" ht="21" customHeight="1">
      <c r="A687" s="10" t="inlineStr">
        <is>
          <t>GYS-0683</t>
        </is>
      </c>
      <c r="B687" s="10" t="inlineStr">
        <is>
          <t>温州个护清洁供应链0683有限公司（演示）</t>
        </is>
      </c>
      <c r="C687" s="10" t="inlineStr">
        <is>
          <t>个护清洁</t>
        </is>
      </c>
      <c r="D687" s="10" t="inlineStr">
        <is>
          <t>便携洗脸巾</t>
        </is>
      </c>
      <c r="E687" s="10" t="inlineStr">
        <is>
          <t>浙江温州</t>
        </is>
      </c>
      <c r="F687" s="10" t="inlineStr">
        <is>
          <t>慧聪网</t>
        </is>
      </c>
      <c r="G687" s="10" t="inlineStr">
        <is>
          <t>李经理</t>
        </is>
      </c>
      <c r="H687" s="10" t="inlineStr">
        <is>
          <t>000-0000-0683</t>
        </is>
      </c>
      <c r="I687" s="10" t="inlineStr">
        <is>
          <t>DEMO_GYS_0683</t>
        </is>
      </c>
      <c r="J687" s="11" t="n">
        <v>13.9</v>
      </c>
      <c r="K687" s="11" t="n">
        <v>31.2</v>
      </c>
      <c r="L687" s="12" t="n">
        <v>50</v>
      </c>
      <c r="M687" s="10" t="inlineStr">
        <is>
          <t>是</t>
        </is>
      </c>
      <c r="N687" s="10" t="inlineStr">
        <is>
          <t>是</t>
        </is>
      </c>
      <c r="O687" s="10" t="inlineStr">
        <is>
          <t>supplier0683@example.com</t>
        </is>
      </c>
      <c r="P687" s="10" t="inlineStr">
        <is>
          <t>https://example.com/supplier/0683</t>
        </is>
      </c>
      <c r="Q687" s="10">
        <f>IF(R687&gt;=85,"A",IF(R687&gt;=70,"B","C"))</f>
        <v/>
      </c>
      <c r="R687" s="13">
        <f>MIN(100,50+IF(M687="是",10,0)+IF(N687="是",10,0)+IF(L687&lt;=100,10,IF(L687&lt;=300,5,0))+IF(J687&lt;=20,10,IF(J687&lt;=50,5,0))+IF(K687-J687&lt;=20,5,0)+IF(F687="企业官网",5,0))</f>
        <v/>
      </c>
      <c r="S687" s="10">
        <f>IF(Q687="A","价格与起订量有优势，建议优先询盘",IF(Q687="B","条件较均衡，可作为备选","起订量或价格需要进一步确认"))</f>
        <v/>
      </c>
      <c r="T687" s="10" t="inlineStr">
        <is>
          <t>未联系</t>
        </is>
      </c>
      <c r="U687" s="10" t="inlineStr">
        <is>
          <t>虚构演示数据</t>
        </is>
      </c>
    </row>
    <row r="688" ht="21" customHeight="1">
      <c r="A688" s="10" t="inlineStr">
        <is>
          <t>GYS-0684</t>
        </is>
      </c>
      <c r="B688" s="10" t="inlineStr">
        <is>
          <t>广州厨房用品供应链0684有限公司（演示）</t>
        </is>
      </c>
      <c r="C688" s="10" t="inlineStr">
        <is>
          <t>厨房用品</t>
        </is>
      </c>
      <c r="D688" s="10" t="inlineStr">
        <is>
          <t>硅胶保鲜盒</t>
        </is>
      </c>
      <c r="E688" s="10" t="inlineStr">
        <is>
          <t>广东广州</t>
        </is>
      </c>
      <c r="F688" s="10" t="inlineStr">
        <is>
          <t>1688</t>
        </is>
      </c>
      <c r="G688" s="10" t="inlineStr">
        <is>
          <t>张经理</t>
        </is>
      </c>
      <c r="H688" s="10" t="inlineStr">
        <is>
          <t>000-0000-0684</t>
        </is>
      </c>
      <c r="I688" s="10" t="inlineStr">
        <is>
          <t>DEMO_GYS_0684</t>
        </is>
      </c>
      <c r="J688" s="11" t="n">
        <v>15.6</v>
      </c>
      <c r="K688" s="11" t="n">
        <v>34</v>
      </c>
      <c r="L688" s="12" t="n">
        <v>20</v>
      </c>
      <c r="M688" s="10" t="inlineStr">
        <is>
          <t>否</t>
        </is>
      </c>
      <c r="N688" s="10" t="inlineStr">
        <is>
          <t>否</t>
        </is>
      </c>
      <c r="O688" s="10" t="inlineStr">
        <is>
          <t>supplier0684@example.com</t>
        </is>
      </c>
      <c r="P688" s="10" t="inlineStr">
        <is>
          <t>https://example.com/supplier/0684</t>
        </is>
      </c>
      <c r="Q688" s="10">
        <f>IF(R688&gt;=85,"A",IF(R688&gt;=70,"B","C"))</f>
        <v/>
      </c>
      <c r="R688" s="13">
        <f>MIN(100,50+IF(M688="是",10,0)+IF(N688="是",10,0)+IF(L688&lt;=100,10,IF(L688&lt;=300,5,0))+IF(J688&lt;=20,10,IF(J688&lt;=50,5,0))+IF(K688-J688&lt;=20,5,0)+IF(F688="企业官网",5,0))</f>
        <v/>
      </c>
      <c r="S688" s="10">
        <f>IF(Q688="A","价格与起订量有优势，建议优先询盘",IF(Q688="B","条件较均衡，可作为备选","起订量或价格需要进一步确认"))</f>
        <v/>
      </c>
      <c r="T688" s="10" t="inlineStr">
        <is>
          <t>未联系</t>
        </is>
      </c>
      <c r="U688" s="10" t="inlineStr">
        <is>
          <t>虚构演示数据</t>
        </is>
      </c>
    </row>
    <row r="689" ht="21" customHeight="1">
      <c r="A689" s="10" t="inlineStr">
        <is>
          <t>GYS-0685</t>
        </is>
      </c>
      <c r="B689" s="10" t="inlineStr">
        <is>
          <t>泉州数码配件供应链0685有限公司（演示）</t>
        </is>
      </c>
      <c r="C689" s="10" t="inlineStr">
        <is>
          <t>数码配件</t>
        </is>
      </c>
      <c r="D689" s="10" t="inlineStr">
        <is>
          <t>磁吸手机支架</t>
        </is>
      </c>
      <c r="E689" s="10" t="inlineStr">
        <is>
          <t>福建泉州</t>
        </is>
      </c>
      <c r="F689" s="10" t="inlineStr">
        <is>
          <t>中国制造网</t>
        </is>
      </c>
      <c r="G689" s="10" t="inlineStr">
        <is>
          <t>刘经理</t>
        </is>
      </c>
      <c r="H689" s="10" t="inlineStr">
        <is>
          <t>000-0000-0685</t>
        </is>
      </c>
      <c r="I689" s="10" t="inlineStr">
        <is>
          <t>DEMO_GYS_0685</t>
        </is>
      </c>
      <c r="J689" s="11" t="n">
        <v>17.3</v>
      </c>
      <c r="K689" s="11" t="n">
        <v>36.8</v>
      </c>
      <c r="L689" s="12" t="n">
        <v>500</v>
      </c>
      <c r="M689" s="10" t="inlineStr">
        <is>
          <t>是</t>
        </is>
      </c>
      <c r="N689" s="10" t="inlineStr">
        <is>
          <t>是</t>
        </is>
      </c>
      <c r="O689" s="10" t="inlineStr">
        <is>
          <t>supplier0685@example.com</t>
        </is>
      </c>
      <c r="P689" s="10" t="inlineStr">
        <is>
          <t>https://example.com/supplier/0685</t>
        </is>
      </c>
      <c r="Q689" s="10">
        <f>IF(R689&gt;=85,"A",IF(R689&gt;=70,"B","C"))</f>
        <v/>
      </c>
      <c r="R689" s="13">
        <f>MIN(100,50+IF(M689="是",10,0)+IF(N689="是",10,0)+IF(L689&lt;=100,10,IF(L689&lt;=300,5,0))+IF(J689&lt;=20,10,IF(J689&lt;=50,5,0))+IF(K689-J689&lt;=20,5,0)+IF(F689="企业官网",5,0))</f>
        <v/>
      </c>
      <c r="S689" s="10">
        <f>IF(Q689="A","价格与起订量有优势，建议优先询盘",IF(Q689="B","条件较均衡，可作为备选","起订量或价格需要进一步确认"))</f>
        <v/>
      </c>
      <c r="T689" s="10" t="inlineStr">
        <is>
          <t>未联系</t>
        </is>
      </c>
      <c r="U689" s="10" t="inlineStr">
        <is>
          <t>虚构演示数据</t>
        </is>
      </c>
    </row>
    <row r="690" ht="21" customHeight="1">
      <c r="A690" s="10" t="inlineStr">
        <is>
          <t>GYS-0686</t>
        </is>
      </c>
      <c r="B690" s="10" t="inlineStr">
        <is>
          <t>南通宠物用品供应链0686有限公司（演示）</t>
        </is>
      </c>
      <c r="C690" s="10" t="inlineStr">
        <is>
          <t>宠物用品</t>
        </is>
      </c>
      <c r="D690" s="10" t="inlineStr">
        <is>
          <t>宠物清洁手套</t>
        </is>
      </c>
      <c r="E690" s="10" t="inlineStr">
        <is>
          <t>江苏南通</t>
        </is>
      </c>
      <c r="F690" s="10" t="inlineStr">
        <is>
          <t>企业官网</t>
        </is>
      </c>
      <c r="G690" s="10" t="inlineStr">
        <is>
          <t>黄经理</t>
        </is>
      </c>
      <c r="H690" s="10" t="inlineStr">
        <is>
          <t>000-0000-0686</t>
        </is>
      </c>
      <c r="I690" s="10" t="inlineStr">
        <is>
          <t>DEMO_GYS_0686</t>
        </is>
      </c>
      <c r="J690" s="11" t="n">
        <v>19</v>
      </c>
      <c r="K690" s="11" t="n">
        <v>39.6</v>
      </c>
      <c r="L690" s="12" t="n">
        <v>300</v>
      </c>
      <c r="M690" s="10" t="inlineStr">
        <is>
          <t>是</t>
        </is>
      </c>
      <c r="N690" s="10" t="inlineStr">
        <is>
          <t>是</t>
        </is>
      </c>
      <c r="O690" s="10" t="inlineStr">
        <is>
          <t>supplier0686@example.com</t>
        </is>
      </c>
      <c r="P690" s="10" t="inlineStr">
        <is>
          <t>https://example.com/supplier/0686</t>
        </is>
      </c>
      <c r="Q690" s="10">
        <f>IF(R690&gt;=85,"A",IF(R690&gt;=70,"B","C"))</f>
        <v/>
      </c>
      <c r="R690" s="13">
        <f>MIN(100,50+IF(M690="是",10,0)+IF(N690="是",10,0)+IF(L690&lt;=100,10,IF(L690&lt;=300,5,0))+IF(J690&lt;=20,10,IF(J690&lt;=50,5,0))+IF(K690-J690&lt;=20,5,0)+IF(F690="企业官网",5,0))</f>
        <v/>
      </c>
      <c r="S690" s="10">
        <f>IF(Q690="A","价格与起订量有优势，建议优先询盘",IF(Q690="B","条件较均衡，可作为备选","起订量或价格需要进一步确认"))</f>
        <v/>
      </c>
      <c r="T690" s="10" t="inlineStr">
        <is>
          <t>未联系</t>
        </is>
      </c>
      <c r="U690" s="10" t="inlineStr">
        <is>
          <t>虚构演示数据</t>
        </is>
      </c>
    </row>
    <row r="691" ht="21" customHeight="1">
      <c r="A691" s="10" t="inlineStr">
        <is>
          <t>GYS-0687</t>
        </is>
      </c>
      <c r="B691" s="10" t="inlineStr">
        <is>
          <t>郑州母婴用品供应链0687有限公司（演示）</t>
        </is>
      </c>
      <c r="C691" s="10" t="inlineStr">
        <is>
          <t>母婴用品</t>
        </is>
      </c>
      <c r="D691" s="10" t="inlineStr">
        <is>
          <t>婴儿防撞条</t>
        </is>
      </c>
      <c r="E691" s="10" t="inlineStr">
        <is>
          <t>河南郑州</t>
        </is>
      </c>
      <c r="F691" s="10" t="inlineStr">
        <is>
          <t>义乌购</t>
        </is>
      </c>
      <c r="G691" s="10" t="inlineStr">
        <is>
          <t>赵经理</t>
        </is>
      </c>
      <c r="H691" s="10" t="inlineStr">
        <is>
          <t>000-0000-0687</t>
        </is>
      </c>
      <c r="I691" s="10" t="inlineStr">
        <is>
          <t>DEMO_GYS_0687</t>
        </is>
      </c>
      <c r="J691" s="11" t="n">
        <v>20.7</v>
      </c>
      <c r="K691" s="11" t="n">
        <v>42.4</v>
      </c>
      <c r="L691" s="12" t="n">
        <v>200</v>
      </c>
      <c r="M691" s="10" t="inlineStr">
        <is>
          <t>是</t>
        </is>
      </c>
      <c r="N691" s="10" t="inlineStr">
        <is>
          <t>否</t>
        </is>
      </c>
      <c r="O691" s="10" t="inlineStr">
        <is>
          <t>supplier0687@example.com</t>
        </is>
      </c>
      <c r="P691" s="10" t="inlineStr">
        <is>
          <t>https://example.com/supplier/0687</t>
        </is>
      </c>
      <c r="Q691" s="10">
        <f>IF(R691&gt;=85,"A",IF(R691&gt;=70,"B","C"))</f>
        <v/>
      </c>
      <c r="R691" s="13">
        <f>MIN(100,50+IF(M691="是",10,0)+IF(N691="是",10,0)+IF(L691&lt;=100,10,IF(L691&lt;=300,5,0))+IF(J691&lt;=20,10,IF(J691&lt;=50,5,0))+IF(K691-J691&lt;=20,5,0)+IF(F691="企业官网",5,0))</f>
        <v/>
      </c>
      <c r="S691" s="10">
        <f>IF(Q691="A","价格与起订量有优势，建议优先询盘",IF(Q691="B","条件较均衡，可作为备选","起订量或价格需要进一步确认"))</f>
        <v/>
      </c>
      <c r="T691" s="10" t="inlineStr">
        <is>
          <t>未联系</t>
        </is>
      </c>
      <c r="U691" s="10" t="inlineStr">
        <is>
          <t>虚构演示数据</t>
        </is>
      </c>
    </row>
    <row r="692" ht="21" customHeight="1">
      <c r="A692" s="10" t="inlineStr">
        <is>
          <t>GYS-0688</t>
        </is>
      </c>
      <c r="B692" s="10" t="inlineStr">
        <is>
          <t>宁波运动户外供应链0688有限公司（演示）</t>
        </is>
      </c>
      <c r="C692" s="10" t="inlineStr">
        <is>
          <t>运动户外</t>
        </is>
      </c>
      <c r="D692" s="10" t="inlineStr">
        <is>
          <t>弹力训练带</t>
        </is>
      </c>
      <c r="E692" s="10" t="inlineStr">
        <is>
          <t>浙江宁波</t>
        </is>
      </c>
      <c r="F692" s="10" t="inlineStr">
        <is>
          <t>慧聪网</t>
        </is>
      </c>
      <c r="G692" s="10" t="inlineStr">
        <is>
          <t>周经理</t>
        </is>
      </c>
      <c r="H692" s="10" t="inlineStr">
        <is>
          <t>000-0000-0688</t>
        </is>
      </c>
      <c r="I692" s="10" t="inlineStr">
        <is>
          <t>DEMO_GYS_0688</t>
        </is>
      </c>
      <c r="J692" s="11" t="n">
        <v>22.4</v>
      </c>
      <c r="K692" s="11" t="n">
        <v>27.2</v>
      </c>
      <c r="L692" s="12" t="n">
        <v>100</v>
      </c>
      <c r="M692" s="10" t="inlineStr">
        <is>
          <t>否</t>
        </is>
      </c>
      <c r="N692" s="10" t="inlineStr">
        <is>
          <t>是</t>
        </is>
      </c>
      <c r="O692" s="10" t="inlineStr">
        <is>
          <t>supplier0688@example.com</t>
        </is>
      </c>
      <c r="P692" s="10" t="inlineStr">
        <is>
          <t>https://example.com/supplier/0688</t>
        </is>
      </c>
      <c r="Q692" s="10">
        <f>IF(R692&gt;=85,"A",IF(R692&gt;=70,"B","C"))</f>
        <v/>
      </c>
      <c r="R692" s="13">
        <f>MIN(100,50+IF(M692="是",10,0)+IF(N692="是",10,0)+IF(L692&lt;=100,10,IF(L692&lt;=300,5,0))+IF(J692&lt;=20,10,IF(J692&lt;=50,5,0))+IF(K692-J692&lt;=20,5,0)+IF(F692="企业官网",5,0))</f>
        <v/>
      </c>
      <c r="S692" s="10">
        <f>IF(Q692="A","价格与起订量有优势，建议优先询盘",IF(Q692="B","条件较均衡，可作为备选","起订量或价格需要进一步确认"))</f>
        <v/>
      </c>
      <c r="T692" s="10" t="inlineStr">
        <is>
          <t>未联系</t>
        </is>
      </c>
      <c r="U692" s="10" t="inlineStr">
        <is>
          <t>虚构演示数据</t>
        </is>
      </c>
    </row>
    <row r="693" ht="21" customHeight="1">
      <c r="A693" s="10" t="inlineStr">
        <is>
          <t>GYS-0689</t>
        </is>
      </c>
      <c r="B693" s="10" t="inlineStr">
        <is>
          <t>深圳办公文具供应链0689有限公司（演示）</t>
        </is>
      </c>
      <c r="C693" s="10" t="inlineStr">
        <is>
          <t>办公文具</t>
        </is>
      </c>
      <c r="D693" s="10" t="inlineStr">
        <is>
          <t>桌面收纳架</t>
        </is>
      </c>
      <c r="E693" s="10" t="inlineStr">
        <is>
          <t>广东深圳</t>
        </is>
      </c>
      <c r="F693" s="10" t="inlineStr">
        <is>
          <t>1688</t>
        </is>
      </c>
      <c r="G693" s="10" t="inlineStr">
        <is>
          <t>吴经理</t>
        </is>
      </c>
      <c r="H693" s="10" t="inlineStr">
        <is>
          <t>000-0000-0689</t>
        </is>
      </c>
      <c r="I693" s="10" t="inlineStr">
        <is>
          <t>DEMO_GYS_0689</t>
        </is>
      </c>
      <c r="J693" s="11" t="n">
        <v>24.1</v>
      </c>
      <c r="K693" s="11" t="n">
        <v>30</v>
      </c>
      <c r="L693" s="12" t="n">
        <v>50</v>
      </c>
      <c r="M693" s="10" t="inlineStr">
        <is>
          <t>是</t>
        </is>
      </c>
      <c r="N693" s="10" t="inlineStr">
        <is>
          <t>是</t>
        </is>
      </c>
      <c r="O693" s="10" t="inlineStr">
        <is>
          <t>supplier0689@example.com</t>
        </is>
      </c>
      <c r="P693" s="10" t="inlineStr">
        <is>
          <t>https://example.com/supplier/0689</t>
        </is>
      </c>
      <c r="Q693" s="10">
        <f>IF(R693&gt;=85,"A",IF(R693&gt;=70,"B","C"))</f>
        <v/>
      </c>
      <c r="R693" s="13">
        <f>MIN(100,50+IF(M693="是",10,0)+IF(N693="是",10,0)+IF(L693&lt;=100,10,IF(L693&lt;=300,5,0))+IF(J693&lt;=20,10,IF(J693&lt;=50,5,0))+IF(K693-J693&lt;=20,5,0)+IF(F693="企业官网",5,0))</f>
        <v/>
      </c>
      <c r="S693" s="10">
        <f>IF(Q693="A","价格与起订量有优势，建议优先询盘",IF(Q693="B","条件较均衡，可作为备选","起订量或价格需要进一步确认"))</f>
        <v/>
      </c>
      <c r="T693" s="10" t="inlineStr">
        <is>
          <t>未联系</t>
        </is>
      </c>
      <c r="U693" s="10" t="inlineStr">
        <is>
          <t>虚构演示数据</t>
        </is>
      </c>
    </row>
    <row r="694" ht="21" customHeight="1">
      <c r="A694" s="10" t="inlineStr">
        <is>
          <t>GYS-0690</t>
        </is>
      </c>
      <c r="B694" s="10" t="inlineStr">
        <is>
          <t>佛山汽车用品供应链0690有限公司（演示）</t>
        </is>
      </c>
      <c r="C694" s="10" t="inlineStr">
        <is>
          <t>汽车用品</t>
        </is>
      </c>
      <c r="D694" s="10" t="inlineStr">
        <is>
          <t>车载香薰</t>
        </is>
      </c>
      <c r="E694" s="10" t="inlineStr">
        <is>
          <t>广东佛山</t>
        </is>
      </c>
      <c r="F694" s="10" t="inlineStr">
        <is>
          <t>中国制造网</t>
        </is>
      </c>
      <c r="G694" s="10" t="inlineStr">
        <is>
          <t>陈经理</t>
        </is>
      </c>
      <c r="H694" s="10" t="inlineStr">
        <is>
          <t>000-0000-0690</t>
        </is>
      </c>
      <c r="I694" s="10" t="inlineStr">
        <is>
          <t>DEMO_GYS_0690</t>
        </is>
      </c>
      <c r="J694" s="11" t="n">
        <v>25.8</v>
      </c>
      <c r="K694" s="11" t="n">
        <v>32.8</v>
      </c>
      <c r="L694" s="12" t="n">
        <v>20</v>
      </c>
      <c r="M694" s="10" t="inlineStr">
        <is>
          <t>是</t>
        </is>
      </c>
      <c r="N694" s="10" t="inlineStr">
        <is>
          <t>否</t>
        </is>
      </c>
      <c r="O694" s="10" t="inlineStr">
        <is>
          <t>supplier0690@example.com</t>
        </is>
      </c>
      <c r="P694" s="10" t="inlineStr">
        <is>
          <t>https://example.com/supplier/0690</t>
        </is>
      </c>
      <c r="Q694" s="10">
        <f>IF(R694&gt;=85,"A",IF(R694&gt;=70,"B","C"))</f>
        <v/>
      </c>
      <c r="R694" s="13">
        <f>MIN(100,50+IF(M694="是",10,0)+IF(N694="是",10,0)+IF(L694&lt;=100,10,IF(L694&lt;=300,5,0))+IF(J694&lt;=20,10,IF(J694&lt;=50,5,0))+IF(K694-J694&lt;=20,5,0)+IF(F694="企业官网",5,0))</f>
        <v/>
      </c>
      <c r="S694" s="10">
        <f>IF(Q694="A","价格与起订量有优势，建议优先询盘",IF(Q694="B","条件较均衡，可作为备选","起订量或价格需要进一步确认"))</f>
        <v/>
      </c>
      <c r="T694" s="10" t="inlineStr">
        <is>
          <t>未联系</t>
        </is>
      </c>
      <c r="U694" s="10" t="inlineStr">
        <is>
          <t>虚构演示数据</t>
        </is>
      </c>
    </row>
    <row r="695" ht="21" customHeight="1">
      <c r="A695" s="10" t="inlineStr">
        <is>
          <t>GYS-0691</t>
        </is>
      </c>
      <c r="B695" s="10" t="inlineStr">
        <is>
          <t>苏州美容工具供应链0691有限公司（演示）</t>
        </is>
      </c>
      <c r="C695" s="10" t="inlineStr">
        <is>
          <t>美容工具</t>
        </is>
      </c>
      <c r="D695" s="10" t="inlineStr">
        <is>
          <t>便携化妆镜</t>
        </is>
      </c>
      <c r="E695" s="10" t="inlineStr">
        <is>
          <t>江苏苏州</t>
        </is>
      </c>
      <c r="F695" s="10" t="inlineStr">
        <is>
          <t>企业官网</t>
        </is>
      </c>
      <c r="G695" s="10" t="inlineStr">
        <is>
          <t>林经理</t>
        </is>
      </c>
      <c r="H695" s="10" t="inlineStr">
        <is>
          <t>000-0000-0691</t>
        </is>
      </c>
      <c r="I695" s="10" t="inlineStr">
        <is>
          <t>DEMO_GYS_0691</t>
        </is>
      </c>
      <c r="J695" s="11" t="n">
        <v>27.5</v>
      </c>
      <c r="K695" s="11" t="n">
        <v>35.6</v>
      </c>
      <c r="L695" s="12" t="n">
        <v>500</v>
      </c>
      <c r="M695" s="10" t="inlineStr">
        <is>
          <t>是</t>
        </is>
      </c>
      <c r="N695" s="10" t="inlineStr">
        <is>
          <t>是</t>
        </is>
      </c>
      <c r="O695" s="10" t="inlineStr">
        <is>
          <t>supplier0691@example.com</t>
        </is>
      </c>
      <c r="P695" s="10" t="inlineStr">
        <is>
          <t>https://example.com/supplier/0691</t>
        </is>
      </c>
      <c r="Q695" s="10">
        <f>IF(R695&gt;=85,"A",IF(R695&gt;=70,"B","C"))</f>
        <v/>
      </c>
      <c r="R695" s="13">
        <f>MIN(100,50+IF(M695="是",10,0)+IF(N695="是",10,0)+IF(L695&lt;=100,10,IF(L695&lt;=300,5,0))+IF(J695&lt;=20,10,IF(J695&lt;=50,5,0))+IF(K695-J695&lt;=20,5,0)+IF(F695="企业官网",5,0))</f>
        <v/>
      </c>
      <c r="S695" s="10">
        <f>IF(Q695="A","价格与起订量有优势，建议优先询盘",IF(Q695="B","条件较均衡，可作为备选","起订量或价格需要进一步确认"))</f>
        <v/>
      </c>
      <c r="T695" s="10" t="inlineStr">
        <is>
          <t>未联系</t>
        </is>
      </c>
      <c r="U695" s="10" t="inlineStr">
        <is>
          <t>虚构演示数据</t>
        </is>
      </c>
    </row>
    <row r="696" ht="21" customHeight="1">
      <c r="A696" s="10" t="inlineStr">
        <is>
          <t>GYS-0692</t>
        </is>
      </c>
      <c r="B696" s="10" t="inlineStr">
        <is>
          <t>白沟旅行用品供应链0692有限公司（演示）</t>
        </is>
      </c>
      <c r="C696" s="10" t="inlineStr">
        <is>
          <t>旅行用品</t>
        </is>
      </c>
      <c r="D696" s="10" t="inlineStr">
        <is>
          <t>压缩收纳袋</t>
        </is>
      </c>
      <c r="E696" s="10" t="inlineStr">
        <is>
          <t>河北白沟</t>
        </is>
      </c>
      <c r="F696" s="10" t="inlineStr">
        <is>
          <t>义乌购</t>
        </is>
      </c>
      <c r="G696" s="10" t="inlineStr">
        <is>
          <t>王经理</t>
        </is>
      </c>
      <c r="H696" s="10" t="inlineStr">
        <is>
          <t>000-0000-0692</t>
        </is>
      </c>
      <c r="I696" s="10" t="inlineStr">
        <is>
          <t>DEMO_GYS_0692</t>
        </is>
      </c>
      <c r="J696" s="11" t="n">
        <v>29.2</v>
      </c>
      <c r="K696" s="11" t="n">
        <v>38.4</v>
      </c>
      <c r="L696" s="12" t="n">
        <v>300</v>
      </c>
      <c r="M696" s="10" t="inlineStr">
        <is>
          <t>否</t>
        </is>
      </c>
      <c r="N696" s="10" t="inlineStr">
        <is>
          <t>是</t>
        </is>
      </c>
      <c r="O696" s="10" t="inlineStr">
        <is>
          <t>supplier0692@example.com</t>
        </is>
      </c>
      <c r="P696" s="10" t="inlineStr">
        <is>
          <t>https://example.com/supplier/0692</t>
        </is>
      </c>
      <c r="Q696" s="10">
        <f>IF(R696&gt;=85,"A",IF(R696&gt;=70,"B","C"))</f>
        <v/>
      </c>
      <c r="R696" s="13">
        <f>MIN(100,50+IF(M696="是",10,0)+IF(N696="是",10,0)+IF(L696&lt;=100,10,IF(L696&lt;=300,5,0))+IF(J696&lt;=20,10,IF(J696&lt;=50,5,0))+IF(K696-J696&lt;=20,5,0)+IF(F696="企业官网",5,0))</f>
        <v/>
      </c>
      <c r="S696" s="10">
        <f>IF(Q696="A","价格与起订量有优势，建议优先询盘",IF(Q696="B","条件较均衡，可作为备选","起订量或价格需要进一步确认"))</f>
        <v/>
      </c>
      <c r="T696" s="10" t="inlineStr">
        <is>
          <t>未联系</t>
        </is>
      </c>
      <c r="U696" s="10" t="inlineStr">
        <is>
          <t>虚构演示数据</t>
        </is>
      </c>
    </row>
    <row r="697" ht="21" customHeight="1">
      <c r="A697" s="10" t="inlineStr">
        <is>
          <t>GYS-0693</t>
        </is>
      </c>
      <c r="B697" s="10" t="inlineStr">
        <is>
          <t>义乌清洁工具供应链0693有限公司（演示）</t>
        </is>
      </c>
      <c r="C697" s="10" t="inlineStr">
        <is>
          <t>清洁工具</t>
        </is>
      </c>
      <c r="D697" s="10" t="inlineStr">
        <is>
          <t>免手洗拖把</t>
        </is>
      </c>
      <c r="E697" s="10" t="inlineStr">
        <is>
          <t>浙江义乌</t>
        </is>
      </c>
      <c r="F697" s="10" t="inlineStr">
        <is>
          <t>慧聪网</t>
        </is>
      </c>
      <c r="G697" s="10" t="inlineStr">
        <is>
          <t>李经理</t>
        </is>
      </c>
      <c r="H697" s="10" t="inlineStr">
        <is>
          <t>000-0000-0693</t>
        </is>
      </c>
      <c r="I697" s="10" t="inlineStr">
        <is>
          <t>DEMO_GYS_0693</t>
        </is>
      </c>
      <c r="J697" s="11" t="n">
        <v>30.9</v>
      </c>
      <c r="K697" s="11" t="n">
        <v>41.2</v>
      </c>
      <c r="L697" s="12" t="n">
        <v>200</v>
      </c>
      <c r="M697" s="10" t="inlineStr">
        <is>
          <t>是</t>
        </is>
      </c>
      <c r="N697" s="10" t="inlineStr">
        <is>
          <t>否</t>
        </is>
      </c>
      <c r="O697" s="10" t="inlineStr">
        <is>
          <t>supplier0693@example.com</t>
        </is>
      </c>
      <c r="P697" s="10" t="inlineStr">
        <is>
          <t>https://example.com/supplier/0693</t>
        </is>
      </c>
      <c r="Q697" s="10">
        <f>IF(R697&gt;=85,"A",IF(R697&gt;=70,"B","C"))</f>
        <v/>
      </c>
      <c r="R697" s="13">
        <f>MIN(100,50+IF(M697="是",10,0)+IF(N697="是",10,0)+IF(L697&lt;=100,10,IF(L697&lt;=300,5,0))+IF(J697&lt;=20,10,IF(J697&lt;=50,5,0))+IF(K697-J697&lt;=20,5,0)+IF(F697="企业官网",5,0))</f>
        <v/>
      </c>
      <c r="S697" s="10">
        <f>IF(Q697="A","价格与起订量有优势，建议优先询盘",IF(Q697="B","条件较均衡，可作为备选","起订量或价格需要进一步确认"))</f>
        <v/>
      </c>
      <c r="T697" s="10" t="inlineStr">
        <is>
          <t>未联系</t>
        </is>
      </c>
      <c r="U697" s="10" t="inlineStr">
        <is>
          <t>虚构演示数据</t>
        </is>
      </c>
    </row>
    <row r="698" ht="21" customHeight="1">
      <c r="A698" s="10" t="inlineStr">
        <is>
          <t>GYS-0694</t>
        </is>
      </c>
      <c r="B698" s="10" t="inlineStr">
        <is>
          <t>台州小家电供应链0694有限公司（演示）</t>
        </is>
      </c>
      <c r="C698" s="10" t="inlineStr">
        <is>
          <t>小家电</t>
        </is>
      </c>
      <c r="D698" s="10" t="inlineStr">
        <is>
          <t>迷你加湿器</t>
        </is>
      </c>
      <c r="E698" s="10" t="inlineStr">
        <is>
          <t>浙江台州</t>
        </is>
      </c>
      <c r="F698" s="10" t="inlineStr">
        <is>
          <t>1688</t>
        </is>
      </c>
      <c r="G698" s="10" t="inlineStr">
        <is>
          <t>张经理</t>
        </is>
      </c>
      <c r="H698" s="10" t="inlineStr">
        <is>
          <t>000-0000-0694</t>
        </is>
      </c>
      <c r="I698" s="10" t="inlineStr">
        <is>
          <t>DEMO_GYS_0694</t>
        </is>
      </c>
      <c r="J698" s="11" t="n">
        <v>32.6</v>
      </c>
      <c r="K698" s="11" t="n">
        <v>44</v>
      </c>
      <c r="L698" s="12" t="n">
        <v>100</v>
      </c>
      <c r="M698" s="10" t="inlineStr">
        <is>
          <t>是</t>
        </is>
      </c>
      <c r="N698" s="10" t="inlineStr">
        <is>
          <t>是</t>
        </is>
      </c>
      <c r="O698" s="10" t="inlineStr">
        <is>
          <t>supplier0694@example.com</t>
        </is>
      </c>
      <c r="P698" s="10" t="inlineStr">
        <is>
          <t>https://example.com/supplier/0694</t>
        </is>
      </c>
      <c r="Q698" s="10">
        <f>IF(R698&gt;=85,"A",IF(R698&gt;=70,"B","C"))</f>
        <v/>
      </c>
      <c r="R698" s="13">
        <f>MIN(100,50+IF(M698="是",10,0)+IF(N698="是",10,0)+IF(L698&lt;=100,10,IF(L698&lt;=300,5,0))+IF(J698&lt;=20,10,IF(J698&lt;=50,5,0))+IF(K698-J698&lt;=20,5,0)+IF(F698="企业官网",5,0))</f>
        <v/>
      </c>
      <c r="S698" s="10">
        <f>IF(Q698="A","价格与起订量有优势，建议优先询盘",IF(Q698="B","条件较均衡，可作为备选","起订量或价格需要进一步确认"))</f>
        <v/>
      </c>
      <c r="T698" s="10" t="inlineStr">
        <is>
          <t>未联系</t>
        </is>
      </c>
      <c r="U698" s="10" t="inlineStr">
        <is>
          <t>虚构演示数据</t>
        </is>
      </c>
    </row>
    <row r="699" ht="21" customHeight="1">
      <c r="A699" s="10" t="inlineStr">
        <is>
          <t>GYS-0695</t>
        </is>
      </c>
      <c r="B699" s="10" t="inlineStr">
        <is>
          <t>东莞礼品包装供应链0695有限公司（演示）</t>
        </is>
      </c>
      <c r="C699" s="10" t="inlineStr">
        <is>
          <t>礼品包装</t>
        </is>
      </c>
      <c r="D699" s="10" t="inlineStr">
        <is>
          <t>节日礼盒</t>
        </is>
      </c>
      <c r="E699" s="10" t="inlineStr">
        <is>
          <t>广东东莞</t>
        </is>
      </c>
      <c r="F699" s="10" t="inlineStr">
        <is>
          <t>中国制造网</t>
        </is>
      </c>
      <c r="G699" s="10" t="inlineStr">
        <is>
          <t>刘经理</t>
        </is>
      </c>
      <c r="H699" s="10" t="inlineStr">
        <is>
          <t>000-0000-0695</t>
        </is>
      </c>
      <c r="I699" s="10" t="inlineStr">
        <is>
          <t>DEMO_GYS_0695</t>
        </is>
      </c>
      <c r="J699" s="11" t="n">
        <v>34.3</v>
      </c>
      <c r="K699" s="11" t="n">
        <v>46.8</v>
      </c>
      <c r="L699" s="12" t="n">
        <v>50</v>
      </c>
      <c r="M699" s="10" t="inlineStr">
        <is>
          <t>是</t>
        </is>
      </c>
      <c r="N699" s="10" t="inlineStr">
        <is>
          <t>是</t>
        </is>
      </c>
      <c r="O699" s="10" t="inlineStr">
        <is>
          <t>supplier0695@example.com</t>
        </is>
      </c>
      <c r="P699" s="10" t="inlineStr">
        <is>
          <t>https://example.com/supplier/0695</t>
        </is>
      </c>
      <c r="Q699" s="10">
        <f>IF(R699&gt;=85,"A",IF(R699&gt;=70,"B","C"))</f>
        <v/>
      </c>
      <c r="R699" s="13">
        <f>MIN(100,50+IF(M699="是",10,0)+IF(N699="是",10,0)+IF(L699&lt;=100,10,IF(L699&lt;=300,5,0))+IF(J699&lt;=20,10,IF(J699&lt;=50,5,0))+IF(K699-J699&lt;=20,5,0)+IF(F699="企业官网",5,0))</f>
        <v/>
      </c>
      <c r="S699" s="10">
        <f>IF(Q699="A","价格与起订量有优势，建议优先询盘",IF(Q699="B","条件较均衡，可作为备选","起订量或价格需要进一步确认"))</f>
        <v/>
      </c>
      <c r="T699" s="10" t="inlineStr">
        <is>
          <t>未联系</t>
        </is>
      </c>
      <c r="U699" s="10" t="inlineStr">
        <is>
          <t>虚构演示数据</t>
        </is>
      </c>
    </row>
    <row r="700" ht="21" customHeight="1">
      <c r="A700" s="10" t="inlineStr">
        <is>
          <t>GYS-0696</t>
        </is>
      </c>
      <c r="B700" s="10" t="inlineStr">
        <is>
          <t>厦门五金工具供应链0696有限公司（演示）</t>
        </is>
      </c>
      <c r="C700" s="10" t="inlineStr">
        <is>
          <t>五金工具</t>
        </is>
      </c>
      <c r="D700" s="10" t="inlineStr">
        <is>
          <t>多功能螺丝刀</t>
        </is>
      </c>
      <c r="E700" s="10" t="inlineStr">
        <is>
          <t>福建厦门</t>
        </is>
      </c>
      <c r="F700" s="10" t="inlineStr">
        <is>
          <t>企业官网</t>
        </is>
      </c>
      <c r="G700" s="10" t="inlineStr">
        <is>
          <t>黄经理</t>
        </is>
      </c>
      <c r="H700" s="10" t="inlineStr">
        <is>
          <t>000-0000-0696</t>
        </is>
      </c>
      <c r="I700" s="10" t="inlineStr">
        <is>
          <t>DEMO_GYS_0696</t>
        </is>
      </c>
      <c r="J700" s="11" t="n">
        <v>36</v>
      </c>
      <c r="K700" s="11" t="n">
        <v>49.6</v>
      </c>
      <c r="L700" s="12" t="n">
        <v>20</v>
      </c>
      <c r="M700" s="10" t="inlineStr">
        <is>
          <t>否</t>
        </is>
      </c>
      <c r="N700" s="10" t="inlineStr">
        <is>
          <t>否</t>
        </is>
      </c>
      <c r="O700" s="10" t="inlineStr">
        <is>
          <t>supplier0696@example.com</t>
        </is>
      </c>
      <c r="P700" s="10" t="inlineStr">
        <is>
          <t>https://example.com/supplier/0696</t>
        </is>
      </c>
      <c r="Q700" s="10">
        <f>IF(R700&gt;=85,"A",IF(R700&gt;=70,"B","C"))</f>
        <v/>
      </c>
      <c r="R700" s="13">
        <f>MIN(100,50+IF(M700="是",10,0)+IF(N700="是",10,0)+IF(L700&lt;=100,10,IF(L700&lt;=300,5,0))+IF(J700&lt;=20,10,IF(J700&lt;=50,5,0))+IF(K700-J700&lt;=20,5,0)+IF(F700="企业官网",5,0))</f>
        <v/>
      </c>
      <c r="S700" s="10">
        <f>IF(Q700="A","价格与起订量有优势，建议优先询盘",IF(Q700="B","条件较均衡，可作为备选","起订量或价格需要进一步确认"))</f>
        <v/>
      </c>
      <c r="T700" s="10" t="inlineStr">
        <is>
          <t>未联系</t>
        </is>
      </c>
      <c r="U700" s="10" t="inlineStr">
        <is>
          <t>虚构演示数据</t>
        </is>
      </c>
    </row>
    <row r="701" ht="21" customHeight="1">
      <c r="A701" s="10" t="inlineStr">
        <is>
          <t>GYS-0697</t>
        </is>
      </c>
      <c r="B701" s="10" t="inlineStr">
        <is>
          <t>临沂鞋靴配件供应链0697有限公司（演示）</t>
        </is>
      </c>
      <c r="C701" s="10" t="inlineStr">
        <is>
          <t>鞋靴配件</t>
        </is>
      </c>
      <c r="D701" s="10" t="inlineStr">
        <is>
          <t>防磨脚贴</t>
        </is>
      </c>
      <c r="E701" s="10" t="inlineStr">
        <is>
          <t>山东临沂</t>
        </is>
      </c>
      <c r="F701" s="10" t="inlineStr">
        <is>
          <t>义乌购</t>
        </is>
      </c>
      <c r="G701" s="10" t="inlineStr">
        <is>
          <t>赵经理</t>
        </is>
      </c>
      <c r="H701" s="10" t="inlineStr">
        <is>
          <t>000-0000-0697</t>
        </is>
      </c>
      <c r="I701" s="10" t="inlineStr">
        <is>
          <t>DEMO_GYS_0697</t>
        </is>
      </c>
      <c r="J701" s="11" t="n">
        <v>37.7</v>
      </c>
      <c r="K701" s="11" t="n">
        <v>52.4</v>
      </c>
      <c r="L701" s="12" t="n">
        <v>500</v>
      </c>
      <c r="M701" s="10" t="inlineStr">
        <is>
          <t>是</t>
        </is>
      </c>
      <c r="N701" s="10" t="inlineStr">
        <is>
          <t>是</t>
        </is>
      </c>
      <c r="O701" s="10" t="inlineStr">
        <is>
          <t>supplier0697@example.com</t>
        </is>
      </c>
      <c r="P701" s="10" t="inlineStr">
        <is>
          <t>https://example.com/supplier/0697</t>
        </is>
      </c>
      <c r="Q701" s="10">
        <f>IF(R701&gt;=85,"A",IF(R701&gt;=70,"B","C"))</f>
        <v/>
      </c>
      <c r="R701" s="13">
        <f>MIN(100,50+IF(M701="是",10,0)+IF(N701="是",10,0)+IF(L701&lt;=100,10,IF(L701&lt;=300,5,0))+IF(J701&lt;=20,10,IF(J701&lt;=50,5,0))+IF(K701-J701&lt;=20,5,0)+IF(F701="企业官网",5,0))</f>
        <v/>
      </c>
      <c r="S701" s="10">
        <f>IF(Q701="A","价格与起订量有优势，建议优先询盘",IF(Q701="B","条件较均衡，可作为备选","起订量或价格需要进一步确认"))</f>
        <v/>
      </c>
      <c r="T701" s="10" t="inlineStr">
        <is>
          <t>未联系</t>
        </is>
      </c>
      <c r="U701" s="10" t="inlineStr">
        <is>
          <t>虚构演示数据</t>
        </is>
      </c>
    </row>
    <row r="702" ht="21" customHeight="1">
      <c r="A702" s="10" t="inlineStr">
        <is>
          <t>GYS-0698</t>
        </is>
      </c>
      <c r="B702" s="10" t="inlineStr">
        <is>
          <t>南昌食品包装供应链0698有限公司（演示）</t>
        </is>
      </c>
      <c r="C702" s="10" t="inlineStr">
        <is>
          <t>食品包装</t>
        </is>
      </c>
      <c r="D702" s="10" t="inlineStr">
        <is>
          <t>密封包装袋</t>
        </is>
      </c>
      <c r="E702" s="10" t="inlineStr">
        <is>
          <t>江西南昌</t>
        </is>
      </c>
      <c r="F702" s="10" t="inlineStr">
        <is>
          <t>慧聪网</t>
        </is>
      </c>
      <c r="G702" s="10" t="inlineStr">
        <is>
          <t>周经理</t>
        </is>
      </c>
      <c r="H702" s="10" t="inlineStr">
        <is>
          <t>000-0000-0698</t>
        </is>
      </c>
      <c r="I702" s="10" t="inlineStr">
        <is>
          <t>DEMO_GYS_0698</t>
        </is>
      </c>
      <c r="J702" s="11" t="n">
        <v>39.4</v>
      </c>
      <c r="K702" s="11" t="n">
        <v>55.2</v>
      </c>
      <c r="L702" s="12" t="n">
        <v>300</v>
      </c>
      <c r="M702" s="10" t="inlineStr">
        <is>
          <t>是</t>
        </is>
      </c>
      <c r="N702" s="10" t="inlineStr">
        <is>
          <t>是</t>
        </is>
      </c>
      <c r="O702" s="10" t="inlineStr">
        <is>
          <t>supplier0698@example.com</t>
        </is>
      </c>
      <c r="P702" s="10" t="inlineStr">
        <is>
          <t>https://example.com/supplier/0698</t>
        </is>
      </c>
      <c r="Q702" s="10">
        <f>IF(R702&gt;=85,"A",IF(R702&gt;=70,"B","C"))</f>
        <v/>
      </c>
      <c r="R702" s="13">
        <f>MIN(100,50+IF(M702="是",10,0)+IF(N702="是",10,0)+IF(L702&lt;=100,10,IF(L702&lt;=300,5,0))+IF(J702&lt;=20,10,IF(J702&lt;=50,5,0))+IF(K702-J702&lt;=20,5,0)+IF(F702="企业官网",5,0))</f>
        <v/>
      </c>
      <c r="S702" s="10">
        <f>IF(Q702="A","价格与起订量有优势，建议优先询盘",IF(Q702="B","条件较均衡，可作为备选","起订量或价格需要进一步确认"))</f>
        <v/>
      </c>
      <c r="T702" s="10" t="inlineStr">
        <is>
          <t>未联系</t>
        </is>
      </c>
      <c r="U702" s="10" t="inlineStr">
        <is>
          <t>虚构演示数据</t>
        </is>
      </c>
    </row>
    <row r="703" ht="21" customHeight="1">
      <c r="A703" s="10" t="inlineStr">
        <is>
          <t>GYS-0699</t>
        </is>
      </c>
      <c r="B703" s="10" t="inlineStr">
        <is>
          <t>温州户外照明供应链0699有限公司（演示）</t>
        </is>
      </c>
      <c r="C703" s="10" t="inlineStr">
        <is>
          <t>户外照明</t>
        </is>
      </c>
      <c r="D703" s="10" t="inlineStr">
        <is>
          <t>便携露营灯</t>
        </is>
      </c>
      <c r="E703" s="10" t="inlineStr">
        <is>
          <t>浙江温州</t>
        </is>
      </c>
      <c r="F703" s="10" t="inlineStr">
        <is>
          <t>1688</t>
        </is>
      </c>
      <c r="G703" s="10" t="inlineStr">
        <is>
          <t>吴经理</t>
        </is>
      </c>
      <c r="H703" s="10" t="inlineStr">
        <is>
          <t>000-0000-0699</t>
        </is>
      </c>
      <c r="I703" s="10" t="inlineStr">
        <is>
          <t>DEMO_GYS_0699</t>
        </is>
      </c>
      <c r="J703" s="11" t="n">
        <v>41.1</v>
      </c>
      <c r="K703" s="11" t="n">
        <v>58</v>
      </c>
      <c r="L703" s="12" t="n">
        <v>200</v>
      </c>
      <c r="M703" s="10" t="inlineStr">
        <is>
          <t>是</t>
        </is>
      </c>
      <c r="N703" s="10" t="inlineStr">
        <is>
          <t>否</t>
        </is>
      </c>
      <c r="O703" s="10" t="inlineStr">
        <is>
          <t>supplier0699@example.com</t>
        </is>
      </c>
      <c r="P703" s="10" t="inlineStr">
        <is>
          <t>https://example.com/supplier/0699</t>
        </is>
      </c>
      <c r="Q703" s="10">
        <f>IF(R703&gt;=85,"A",IF(R703&gt;=70,"B","C"))</f>
        <v/>
      </c>
      <c r="R703" s="13">
        <f>MIN(100,50+IF(M703="是",10,0)+IF(N703="是",10,0)+IF(L703&lt;=100,10,IF(L703&lt;=300,5,0))+IF(J703&lt;=20,10,IF(J703&lt;=50,5,0))+IF(K703-J703&lt;=20,5,0)+IF(F703="企业官网",5,0))</f>
        <v/>
      </c>
      <c r="S703" s="10">
        <f>IF(Q703="A","价格与起订量有优势，建议优先询盘",IF(Q703="B","条件较均衡，可作为备选","起订量或价格需要进一步确认"))</f>
        <v/>
      </c>
      <c r="T703" s="10" t="inlineStr">
        <is>
          <t>未联系</t>
        </is>
      </c>
      <c r="U703" s="10" t="inlineStr">
        <is>
          <t>虚构演示数据</t>
        </is>
      </c>
    </row>
    <row r="704" ht="21" customHeight="1">
      <c r="A704" s="10" t="inlineStr">
        <is>
          <t>GYS-0700</t>
        </is>
      </c>
      <c r="B704" s="10" t="inlineStr">
        <is>
          <t>广州健康用品供应链0700有限公司（演示）</t>
        </is>
      </c>
      <c r="C704" s="10" t="inlineStr">
        <is>
          <t>健康用品</t>
        </is>
      </c>
      <c r="D704" s="10" t="inlineStr">
        <is>
          <t>热敷眼罩</t>
        </is>
      </c>
      <c r="E704" s="10" t="inlineStr">
        <is>
          <t>广东广州</t>
        </is>
      </c>
      <c r="F704" s="10" t="inlineStr">
        <is>
          <t>中国制造网</t>
        </is>
      </c>
      <c r="G704" s="10" t="inlineStr">
        <is>
          <t>陈经理</t>
        </is>
      </c>
      <c r="H704" s="10" t="inlineStr">
        <is>
          <t>000-0000-0700</t>
        </is>
      </c>
      <c r="I704" s="10" t="inlineStr">
        <is>
          <t>DEMO_GYS_0700</t>
        </is>
      </c>
      <c r="J704" s="11" t="n">
        <v>42.8</v>
      </c>
      <c r="K704" s="11" t="n">
        <v>60.8</v>
      </c>
      <c r="L704" s="12" t="n">
        <v>100</v>
      </c>
      <c r="M704" s="10" t="inlineStr">
        <is>
          <t>否</t>
        </is>
      </c>
      <c r="N704" s="10" t="inlineStr">
        <is>
          <t>是</t>
        </is>
      </c>
      <c r="O704" s="10" t="inlineStr">
        <is>
          <t>supplier0700@example.com</t>
        </is>
      </c>
      <c r="P704" s="10" t="inlineStr">
        <is>
          <t>https://example.com/supplier/0700</t>
        </is>
      </c>
      <c r="Q704" s="10">
        <f>IF(R704&gt;=85,"A",IF(R704&gt;=70,"B","C"))</f>
        <v/>
      </c>
      <c r="R704" s="13">
        <f>MIN(100,50+IF(M704="是",10,0)+IF(N704="是",10,0)+IF(L704&lt;=100,10,IF(L704&lt;=300,5,0))+IF(J704&lt;=20,10,IF(J704&lt;=50,5,0))+IF(K704-J704&lt;=20,5,0)+IF(F704="企业官网",5,0))</f>
        <v/>
      </c>
      <c r="S704" s="10">
        <f>IF(Q704="A","价格与起订量有优势，建议优先询盘",IF(Q704="B","条件较均衡，可作为备选","起订量或价格需要进一步确认"))</f>
        <v/>
      </c>
      <c r="T704" s="10" t="inlineStr">
        <is>
          <t>未联系</t>
        </is>
      </c>
      <c r="U704" s="10" t="inlineStr">
        <is>
          <t>虚构演示数据</t>
        </is>
      </c>
    </row>
    <row r="705" ht="21" customHeight="1">
      <c r="A705" s="10" t="inlineStr">
        <is>
          <t>GYS-0701</t>
        </is>
      </c>
      <c r="B705" s="10" t="inlineStr">
        <is>
          <t>泉州服饰内衣供应链0701有限公司（演示）</t>
        </is>
      </c>
      <c r="C705" s="10" t="inlineStr">
        <is>
          <t>服饰内衣</t>
        </is>
      </c>
      <c r="D705" s="10" t="inlineStr">
        <is>
          <t>防滑袜</t>
        </is>
      </c>
      <c r="E705" s="10" t="inlineStr">
        <is>
          <t>福建泉州</t>
        </is>
      </c>
      <c r="F705" s="10" t="inlineStr">
        <is>
          <t>企业官网</t>
        </is>
      </c>
      <c r="G705" s="10" t="inlineStr">
        <is>
          <t>林经理</t>
        </is>
      </c>
      <c r="H705" s="10" t="inlineStr">
        <is>
          <t>000-0000-0701</t>
        </is>
      </c>
      <c r="I705" s="10" t="inlineStr">
        <is>
          <t>DEMO_GYS_0701</t>
        </is>
      </c>
      <c r="J705" s="11" t="n">
        <v>44.5</v>
      </c>
      <c r="K705" s="11" t="n">
        <v>63.6</v>
      </c>
      <c r="L705" s="12" t="n">
        <v>50</v>
      </c>
      <c r="M705" s="10" t="inlineStr">
        <is>
          <t>是</t>
        </is>
      </c>
      <c r="N705" s="10" t="inlineStr">
        <is>
          <t>是</t>
        </is>
      </c>
      <c r="O705" s="10" t="inlineStr">
        <is>
          <t>supplier0701@example.com</t>
        </is>
      </c>
      <c r="P705" s="10" t="inlineStr">
        <is>
          <t>https://example.com/supplier/0701</t>
        </is>
      </c>
      <c r="Q705" s="10">
        <f>IF(R705&gt;=85,"A",IF(R705&gt;=70,"B","C"))</f>
        <v/>
      </c>
      <c r="R705" s="13">
        <f>MIN(100,50+IF(M705="是",10,0)+IF(N705="是",10,0)+IF(L705&lt;=100,10,IF(L705&lt;=300,5,0))+IF(J705&lt;=20,10,IF(J705&lt;=50,5,0))+IF(K705-J705&lt;=20,5,0)+IF(F705="企业官网",5,0))</f>
        <v/>
      </c>
      <c r="S705" s="10">
        <f>IF(Q705="A","价格与起订量有优势，建议优先询盘",IF(Q705="B","条件较均衡，可作为备选","起订量或价格需要进一步确认"))</f>
        <v/>
      </c>
      <c r="T705" s="10" t="inlineStr">
        <is>
          <t>未联系</t>
        </is>
      </c>
      <c r="U705" s="10" t="inlineStr">
        <is>
          <t>虚构演示数据</t>
        </is>
      </c>
    </row>
    <row r="706" ht="21" customHeight="1">
      <c r="A706" s="10" t="inlineStr">
        <is>
          <t>GYS-0702</t>
        </is>
      </c>
      <c r="B706" s="10" t="inlineStr">
        <is>
          <t>南通家居日用供应链0702有限公司（演示）</t>
        </is>
      </c>
      <c r="C706" s="10" t="inlineStr">
        <is>
          <t>家居日用</t>
        </is>
      </c>
      <c r="D706" s="10" t="inlineStr">
        <is>
          <t>折叠收纳箱</t>
        </is>
      </c>
      <c r="E706" s="10" t="inlineStr">
        <is>
          <t>江苏南通</t>
        </is>
      </c>
      <c r="F706" s="10" t="inlineStr">
        <is>
          <t>义乌购</t>
        </is>
      </c>
      <c r="G706" s="10" t="inlineStr">
        <is>
          <t>王经理</t>
        </is>
      </c>
      <c r="H706" s="10" t="inlineStr">
        <is>
          <t>000-0000-0702</t>
        </is>
      </c>
      <c r="I706" s="10" t="inlineStr">
        <is>
          <t>DEMO_GYS_0702</t>
        </is>
      </c>
      <c r="J706" s="11" t="n">
        <v>46.2</v>
      </c>
      <c r="K706" s="11" t="n">
        <v>66.40000000000001</v>
      </c>
      <c r="L706" s="12" t="n">
        <v>20</v>
      </c>
      <c r="M706" s="10" t="inlineStr">
        <is>
          <t>是</t>
        </is>
      </c>
      <c r="N706" s="10" t="inlineStr">
        <is>
          <t>否</t>
        </is>
      </c>
      <c r="O706" s="10" t="inlineStr">
        <is>
          <t>supplier0702@example.com</t>
        </is>
      </c>
      <c r="P706" s="10" t="inlineStr">
        <is>
          <t>https://example.com/supplier/0702</t>
        </is>
      </c>
      <c r="Q706" s="10">
        <f>IF(R706&gt;=85,"A",IF(R706&gt;=70,"B","C"))</f>
        <v/>
      </c>
      <c r="R706" s="13">
        <f>MIN(100,50+IF(M706="是",10,0)+IF(N706="是",10,0)+IF(L706&lt;=100,10,IF(L706&lt;=300,5,0))+IF(J706&lt;=20,10,IF(J706&lt;=50,5,0))+IF(K706-J706&lt;=20,5,0)+IF(F706="企业官网",5,0))</f>
        <v/>
      </c>
      <c r="S706" s="10">
        <f>IF(Q706="A","价格与起订量有优势，建议优先询盘",IF(Q706="B","条件较均衡，可作为备选","起订量或价格需要进一步确认"))</f>
        <v/>
      </c>
      <c r="T706" s="10" t="inlineStr">
        <is>
          <t>未联系</t>
        </is>
      </c>
      <c r="U706" s="10" t="inlineStr">
        <is>
          <t>虚构演示数据</t>
        </is>
      </c>
    </row>
    <row r="707" ht="21" customHeight="1">
      <c r="A707" s="10" t="inlineStr">
        <is>
          <t>GYS-0703</t>
        </is>
      </c>
      <c r="B707" s="10" t="inlineStr">
        <is>
          <t>郑州个护清洁供应链0703有限公司（演示）</t>
        </is>
      </c>
      <c r="C707" s="10" t="inlineStr">
        <is>
          <t>个护清洁</t>
        </is>
      </c>
      <c r="D707" s="10" t="inlineStr">
        <is>
          <t>便携洗脸巾</t>
        </is>
      </c>
      <c r="E707" s="10" t="inlineStr">
        <is>
          <t>河南郑州</t>
        </is>
      </c>
      <c r="F707" s="10" t="inlineStr">
        <is>
          <t>慧聪网</t>
        </is>
      </c>
      <c r="G707" s="10" t="inlineStr">
        <is>
          <t>李经理</t>
        </is>
      </c>
      <c r="H707" s="10" t="inlineStr">
        <is>
          <t>000-0000-0703</t>
        </is>
      </c>
      <c r="I707" s="10" t="inlineStr">
        <is>
          <t>DEMO_GYS_0703</t>
        </is>
      </c>
      <c r="J707" s="11" t="n">
        <v>47.9</v>
      </c>
      <c r="K707" s="11" t="n">
        <v>69.2</v>
      </c>
      <c r="L707" s="12" t="n">
        <v>500</v>
      </c>
      <c r="M707" s="10" t="inlineStr">
        <is>
          <t>是</t>
        </is>
      </c>
      <c r="N707" s="10" t="inlineStr">
        <is>
          <t>是</t>
        </is>
      </c>
      <c r="O707" s="10" t="inlineStr">
        <is>
          <t>supplier0703@example.com</t>
        </is>
      </c>
      <c r="P707" s="10" t="inlineStr">
        <is>
          <t>https://example.com/supplier/0703</t>
        </is>
      </c>
      <c r="Q707" s="10">
        <f>IF(R707&gt;=85,"A",IF(R707&gt;=70,"B","C"))</f>
        <v/>
      </c>
      <c r="R707" s="13">
        <f>MIN(100,50+IF(M707="是",10,0)+IF(N707="是",10,0)+IF(L707&lt;=100,10,IF(L707&lt;=300,5,0))+IF(J707&lt;=20,10,IF(J707&lt;=50,5,0))+IF(K707-J707&lt;=20,5,0)+IF(F707="企业官网",5,0))</f>
        <v/>
      </c>
      <c r="S707" s="10">
        <f>IF(Q707="A","价格与起订量有优势，建议优先询盘",IF(Q707="B","条件较均衡，可作为备选","起订量或价格需要进一步确认"))</f>
        <v/>
      </c>
      <c r="T707" s="10" t="inlineStr">
        <is>
          <t>未联系</t>
        </is>
      </c>
      <c r="U707" s="10" t="inlineStr">
        <is>
          <t>虚构演示数据</t>
        </is>
      </c>
    </row>
    <row r="708" ht="21" customHeight="1">
      <c r="A708" s="10" t="inlineStr">
        <is>
          <t>GYS-0704</t>
        </is>
      </c>
      <c r="B708" s="10" t="inlineStr">
        <is>
          <t>宁波厨房用品供应链0704有限公司（演示）</t>
        </is>
      </c>
      <c r="C708" s="10" t="inlineStr">
        <is>
          <t>厨房用品</t>
        </is>
      </c>
      <c r="D708" s="10" t="inlineStr">
        <is>
          <t>硅胶保鲜盒</t>
        </is>
      </c>
      <c r="E708" s="10" t="inlineStr">
        <is>
          <t>浙江宁波</t>
        </is>
      </c>
      <c r="F708" s="10" t="inlineStr">
        <is>
          <t>1688</t>
        </is>
      </c>
      <c r="G708" s="10" t="inlineStr">
        <is>
          <t>张经理</t>
        </is>
      </c>
      <c r="H708" s="10" t="inlineStr">
        <is>
          <t>000-0000-0704</t>
        </is>
      </c>
      <c r="I708" s="10" t="inlineStr">
        <is>
          <t>DEMO_GYS_0704</t>
        </is>
      </c>
      <c r="J708" s="11" t="n">
        <v>3.6</v>
      </c>
      <c r="K708" s="11" t="n">
        <v>8</v>
      </c>
      <c r="L708" s="12" t="n">
        <v>300</v>
      </c>
      <c r="M708" s="10" t="inlineStr">
        <is>
          <t>否</t>
        </is>
      </c>
      <c r="N708" s="10" t="inlineStr">
        <is>
          <t>是</t>
        </is>
      </c>
      <c r="O708" s="10" t="inlineStr">
        <is>
          <t>supplier0704@example.com</t>
        </is>
      </c>
      <c r="P708" s="10" t="inlineStr">
        <is>
          <t>https://example.com/supplier/0704</t>
        </is>
      </c>
      <c r="Q708" s="10">
        <f>IF(R708&gt;=85,"A",IF(R708&gt;=70,"B","C"))</f>
        <v/>
      </c>
      <c r="R708" s="13">
        <f>MIN(100,50+IF(M708="是",10,0)+IF(N708="是",10,0)+IF(L708&lt;=100,10,IF(L708&lt;=300,5,0))+IF(J708&lt;=20,10,IF(J708&lt;=50,5,0))+IF(K708-J708&lt;=20,5,0)+IF(F708="企业官网",5,0))</f>
        <v/>
      </c>
      <c r="S708" s="10">
        <f>IF(Q708="A","价格与起订量有优势，建议优先询盘",IF(Q708="B","条件较均衡，可作为备选","起订量或价格需要进一步确认"))</f>
        <v/>
      </c>
      <c r="T708" s="10" t="inlineStr">
        <is>
          <t>未联系</t>
        </is>
      </c>
      <c r="U708" s="10" t="inlineStr">
        <is>
          <t>虚构演示数据</t>
        </is>
      </c>
    </row>
    <row r="709" ht="21" customHeight="1">
      <c r="A709" s="10" t="inlineStr">
        <is>
          <t>GYS-0705</t>
        </is>
      </c>
      <c r="B709" s="10" t="inlineStr">
        <is>
          <t>深圳数码配件供应链0705有限公司（演示）</t>
        </is>
      </c>
      <c r="C709" s="10" t="inlineStr">
        <is>
          <t>数码配件</t>
        </is>
      </c>
      <c r="D709" s="10" t="inlineStr">
        <is>
          <t>磁吸手机支架</t>
        </is>
      </c>
      <c r="E709" s="10" t="inlineStr">
        <is>
          <t>广东深圳</t>
        </is>
      </c>
      <c r="F709" s="10" t="inlineStr">
        <is>
          <t>中国制造网</t>
        </is>
      </c>
      <c r="G709" s="10" t="inlineStr">
        <is>
          <t>刘经理</t>
        </is>
      </c>
      <c r="H709" s="10" t="inlineStr">
        <is>
          <t>000-0000-0705</t>
        </is>
      </c>
      <c r="I709" s="10" t="inlineStr">
        <is>
          <t>DEMO_GYS_0705</t>
        </is>
      </c>
      <c r="J709" s="11" t="n">
        <v>5.3</v>
      </c>
      <c r="K709" s="11" t="n">
        <v>10.8</v>
      </c>
      <c r="L709" s="12" t="n">
        <v>200</v>
      </c>
      <c r="M709" s="10" t="inlineStr">
        <is>
          <t>是</t>
        </is>
      </c>
      <c r="N709" s="10" t="inlineStr">
        <is>
          <t>否</t>
        </is>
      </c>
      <c r="O709" s="10" t="inlineStr">
        <is>
          <t>supplier0705@example.com</t>
        </is>
      </c>
      <c r="P709" s="10" t="inlineStr">
        <is>
          <t>https://example.com/supplier/0705</t>
        </is>
      </c>
      <c r="Q709" s="10">
        <f>IF(R709&gt;=85,"A",IF(R709&gt;=70,"B","C"))</f>
        <v/>
      </c>
      <c r="R709" s="13">
        <f>MIN(100,50+IF(M709="是",10,0)+IF(N709="是",10,0)+IF(L709&lt;=100,10,IF(L709&lt;=300,5,0))+IF(J709&lt;=20,10,IF(J709&lt;=50,5,0))+IF(K709-J709&lt;=20,5,0)+IF(F709="企业官网",5,0))</f>
        <v/>
      </c>
      <c r="S709" s="10">
        <f>IF(Q709="A","价格与起订量有优势，建议优先询盘",IF(Q709="B","条件较均衡，可作为备选","起订量或价格需要进一步确认"))</f>
        <v/>
      </c>
      <c r="T709" s="10" t="inlineStr">
        <is>
          <t>未联系</t>
        </is>
      </c>
      <c r="U709" s="10" t="inlineStr">
        <is>
          <t>虚构演示数据</t>
        </is>
      </c>
    </row>
    <row r="710" ht="21" customHeight="1">
      <c r="A710" s="10" t="inlineStr">
        <is>
          <t>GYS-0706</t>
        </is>
      </c>
      <c r="B710" s="10" t="inlineStr">
        <is>
          <t>佛山宠物用品供应链0706有限公司（演示）</t>
        </is>
      </c>
      <c r="C710" s="10" t="inlineStr">
        <is>
          <t>宠物用品</t>
        </is>
      </c>
      <c r="D710" s="10" t="inlineStr">
        <is>
          <t>宠物清洁手套</t>
        </is>
      </c>
      <c r="E710" s="10" t="inlineStr">
        <is>
          <t>广东佛山</t>
        </is>
      </c>
      <c r="F710" s="10" t="inlineStr">
        <is>
          <t>企业官网</t>
        </is>
      </c>
      <c r="G710" s="10" t="inlineStr">
        <is>
          <t>黄经理</t>
        </is>
      </c>
      <c r="H710" s="10" t="inlineStr">
        <is>
          <t>000-0000-0706</t>
        </is>
      </c>
      <c r="I710" s="10" t="inlineStr">
        <is>
          <t>DEMO_GYS_0706</t>
        </is>
      </c>
      <c r="J710" s="11" t="n">
        <v>7</v>
      </c>
      <c r="K710" s="11" t="n">
        <v>13.6</v>
      </c>
      <c r="L710" s="12" t="n">
        <v>100</v>
      </c>
      <c r="M710" s="10" t="inlineStr">
        <is>
          <t>是</t>
        </is>
      </c>
      <c r="N710" s="10" t="inlineStr">
        <is>
          <t>是</t>
        </is>
      </c>
      <c r="O710" s="10" t="inlineStr">
        <is>
          <t>supplier0706@example.com</t>
        </is>
      </c>
      <c r="P710" s="10" t="inlineStr">
        <is>
          <t>https://example.com/supplier/0706</t>
        </is>
      </c>
      <c r="Q710" s="10">
        <f>IF(R710&gt;=85,"A",IF(R710&gt;=70,"B","C"))</f>
        <v/>
      </c>
      <c r="R710" s="13">
        <f>MIN(100,50+IF(M710="是",10,0)+IF(N710="是",10,0)+IF(L710&lt;=100,10,IF(L710&lt;=300,5,0))+IF(J710&lt;=20,10,IF(J710&lt;=50,5,0))+IF(K710-J710&lt;=20,5,0)+IF(F710="企业官网",5,0))</f>
        <v/>
      </c>
      <c r="S710" s="10">
        <f>IF(Q710="A","价格与起订量有优势，建议优先询盘",IF(Q710="B","条件较均衡，可作为备选","起订量或价格需要进一步确认"))</f>
        <v/>
      </c>
      <c r="T710" s="10" t="inlineStr">
        <is>
          <t>未联系</t>
        </is>
      </c>
      <c r="U710" s="10" t="inlineStr">
        <is>
          <t>虚构演示数据</t>
        </is>
      </c>
    </row>
    <row r="711" ht="21" customHeight="1">
      <c r="A711" s="10" t="inlineStr">
        <is>
          <t>GYS-0707</t>
        </is>
      </c>
      <c r="B711" s="10" t="inlineStr">
        <is>
          <t>苏州母婴用品供应链0707有限公司（演示）</t>
        </is>
      </c>
      <c r="C711" s="10" t="inlineStr">
        <is>
          <t>母婴用品</t>
        </is>
      </c>
      <c r="D711" s="10" t="inlineStr">
        <is>
          <t>婴儿防撞条</t>
        </is>
      </c>
      <c r="E711" s="10" t="inlineStr">
        <is>
          <t>江苏苏州</t>
        </is>
      </c>
      <c r="F711" s="10" t="inlineStr">
        <is>
          <t>义乌购</t>
        </is>
      </c>
      <c r="G711" s="10" t="inlineStr">
        <is>
          <t>赵经理</t>
        </is>
      </c>
      <c r="H711" s="10" t="inlineStr">
        <is>
          <t>000-0000-0707</t>
        </is>
      </c>
      <c r="I711" s="10" t="inlineStr">
        <is>
          <t>DEMO_GYS_0707</t>
        </is>
      </c>
      <c r="J711" s="11" t="n">
        <v>8.699999999999999</v>
      </c>
      <c r="K711" s="11" t="n">
        <v>16.4</v>
      </c>
      <c r="L711" s="12" t="n">
        <v>50</v>
      </c>
      <c r="M711" s="10" t="inlineStr">
        <is>
          <t>是</t>
        </is>
      </c>
      <c r="N711" s="10" t="inlineStr">
        <is>
          <t>是</t>
        </is>
      </c>
      <c r="O711" s="10" t="inlineStr">
        <is>
          <t>supplier0707@example.com</t>
        </is>
      </c>
      <c r="P711" s="10" t="inlineStr">
        <is>
          <t>https://example.com/supplier/0707</t>
        </is>
      </c>
      <c r="Q711" s="10">
        <f>IF(R711&gt;=85,"A",IF(R711&gt;=70,"B","C"))</f>
        <v/>
      </c>
      <c r="R711" s="13">
        <f>MIN(100,50+IF(M711="是",10,0)+IF(N711="是",10,0)+IF(L711&lt;=100,10,IF(L711&lt;=300,5,0))+IF(J711&lt;=20,10,IF(J711&lt;=50,5,0))+IF(K711-J711&lt;=20,5,0)+IF(F711="企业官网",5,0))</f>
        <v/>
      </c>
      <c r="S711" s="10">
        <f>IF(Q711="A","价格与起订量有优势，建议优先询盘",IF(Q711="B","条件较均衡，可作为备选","起订量或价格需要进一步确认"))</f>
        <v/>
      </c>
      <c r="T711" s="10" t="inlineStr">
        <is>
          <t>未联系</t>
        </is>
      </c>
      <c r="U711" s="10" t="inlineStr">
        <is>
          <t>虚构演示数据</t>
        </is>
      </c>
    </row>
    <row r="712" ht="21" customHeight="1">
      <c r="A712" s="10" t="inlineStr">
        <is>
          <t>GYS-0708</t>
        </is>
      </c>
      <c r="B712" s="10" t="inlineStr">
        <is>
          <t>白沟运动户外供应链0708有限公司（演示）</t>
        </is>
      </c>
      <c r="C712" s="10" t="inlineStr">
        <is>
          <t>运动户外</t>
        </is>
      </c>
      <c r="D712" s="10" t="inlineStr">
        <is>
          <t>弹力训练带</t>
        </is>
      </c>
      <c r="E712" s="10" t="inlineStr">
        <is>
          <t>河北白沟</t>
        </is>
      </c>
      <c r="F712" s="10" t="inlineStr">
        <is>
          <t>慧聪网</t>
        </is>
      </c>
      <c r="G712" s="10" t="inlineStr">
        <is>
          <t>周经理</t>
        </is>
      </c>
      <c r="H712" s="10" t="inlineStr">
        <is>
          <t>000-0000-0708</t>
        </is>
      </c>
      <c r="I712" s="10" t="inlineStr">
        <is>
          <t>DEMO_GYS_0708</t>
        </is>
      </c>
      <c r="J712" s="11" t="n">
        <v>10.4</v>
      </c>
      <c r="K712" s="11" t="n">
        <v>19.2</v>
      </c>
      <c r="L712" s="12" t="n">
        <v>20</v>
      </c>
      <c r="M712" s="10" t="inlineStr">
        <is>
          <t>否</t>
        </is>
      </c>
      <c r="N712" s="10" t="inlineStr">
        <is>
          <t>否</t>
        </is>
      </c>
      <c r="O712" s="10" t="inlineStr">
        <is>
          <t>supplier0708@example.com</t>
        </is>
      </c>
      <c r="P712" s="10" t="inlineStr">
        <is>
          <t>https://example.com/supplier/0708</t>
        </is>
      </c>
      <c r="Q712" s="10">
        <f>IF(R712&gt;=85,"A",IF(R712&gt;=70,"B","C"))</f>
        <v/>
      </c>
      <c r="R712" s="13">
        <f>MIN(100,50+IF(M712="是",10,0)+IF(N712="是",10,0)+IF(L712&lt;=100,10,IF(L712&lt;=300,5,0))+IF(J712&lt;=20,10,IF(J712&lt;=50,5,0))+IF(K712-J712&lt;=20,5,0)+IF(F712="企业官网",5,0))</f>
        <v/>
      </c>
      <c r="S712" s="10">
        <f>IF(Q712="A","价格与起订量有优势，建议优先询盘",IF(Q712="B","条件较均衡，可作为备选","起订量或价格需要进一步确认"))</f>
        <v/>
      </c>
      <c r="T712" s="10" t="inlineStr">
        <is>
          <t>未联系</t>
        </is>
      </c>
      <c r="U712" s="10" t="inlineStr">
        <is>
          <t>虚构演示数据</t>
        </is>
      </c>
    </row>
    <row r="713" ht="21" customHeight="1">
      <c r="A713" s="10" t="inlineStr">
        <is>
          <t>GYS-0709</t>
        </is>
      </c>
      <c r="B713" s="10" t="inlineStr">
        <is>
          <t>义乌办公文具供应链0709有限公司（演示）</t>
        </is>
      </c>
      <c r="C713" s="10" t="inlineStr">
        <is>
          <t>办公文具</t>
        </is>
      </c>
      <c r="D713" s="10" t="inlineStr">
        <is>
          <t>桌面收纳架</t>
        </is>
      </c>
      <c r="E713" s="10" t="inlineStr">
        <is>
          <t>浙江义乌</t>
        </is>
      </c>
      <c r="F713" s="10" t="inlineStr">
        <is>
          <t>1688</t>
        </is>
      </c>
      <c r="G713" s="10" t="inlineStr">
        <is>
          <t>吴经理</t>
        </is>
      </c>
      <c r="H713" s="10" t="inlineStr">
        <is>
          <t>000-0000-0709</t>
        </is>
      </c>
      <c r="I713" s="10" t="inlineStr">
        <is>
          <t>DEMO_GYS_0709</t>
        </is>
      </c>
      <c r="J713" s="11" t="n">
        <v>12.1</v>
      </c>
      <c r="K713" s="11" t="n">
        <v>22</v>
      </c>
      <c r="L713" s="12" t="n">
        <v>500</v>
      </c>
      <c r="M713" s="10" t="inlineStr">
        <is>
          <t>是</t>
        </is>
      </c>
      <c r="N713" s="10" t="inlineStr">
        <is>
          <t>是</t>
        </is>
      </c>
      <c r="O713" s="10" t="inlineStr">
        <is>
          <t>supplier0709@example.com</t>
        </is>
      </c>
      <c r="P713" s="10" t="inlineStr">
        <is>
          <t>https://example.com/supplier/0709</t>
        </is>
      </c>
      <c r="Q713" s="10">
        <f>IF(R713&gt;=85,"A",IF(R713&gt;=70,"B","C"))</f>
        <v/>
      </c>
      <c r="R713" s="13">
        <f>MIN(100,50+IF(M713="是",10,0)+IF(N713="是",10,0)+IF(L713&lt;=100,10,IF(L713&lt;=300,5,0))+IF(J713&lt;=20,10,IF(J713&lt;=50,5,0))+IF(K713-J713&lt;=20,5,0)+IF(F713="企业官网",5,0))</f>
        <v/>
      </c>
      <c r="S713" s="10">
        <f>IF(Q713="A","价格与起订量有优势，建议优先询盘",IF(Q713="B","条件较均衡，可作为备选","起订量或价格需要进一步确认"))</f>
        <v/>
      </c>
      <c r="T713" s="10" t="inlineStr">
        <is>
          <t>未联系</t>
        </is>
      </c>
      <c r="U713" s="10" t="inlineStr">
        <is>
          <t>虚构演示数据</t>
        </is>
      </c>
    </row>
    <row r="714" ht="21" customHeight="1">
      <c r="A714" s="10" t="inlineStr">
        <is>
          <t>GYS-0710</t>
        </is>
      </c>
      <c r="B714" s="10" t="inlineStr">
        <is>
          <t>台州汽车用品供应链0710有限公司（演示）</t>
        </is>
      </c>
      <c r="C714" s="10" t="inlineStr">
        <is>
          <t>汽车用品</t>
        </is>
      </c>
      <c r="D714" s="10" t="inlineStr">
        <is>
          <t>车载香薰</t>
        </is>
      </c>
      <c r="E714" s="10" t="inlineStr">
        <is>
          <t>浙江台州</t>
        </is>
      </c>
      <c r="F714" s="10" t="inlineStr">
        <is>
          <t>中国制造网</t>
        </is>
      </c>
      <c r="G714" s="10" t="inlineStr">
        <is>
          <t>陈经理</t>
        </is>
      </c>
      <c r="H714" s="10" t="inlineStr">
        <is>
          <t>000-0000-0710</t>
        </is>
      </c>
      <c r="I714" s="10" t="inlineStr">
        <is>
          <t>DEMO_GYS_0710</t>
        </is>
      </c>
      <c r="J714" s="11" t="n">
        <v>13.8</v>
      </c>
      <c r="K714" s="11" t="n">
        <v>24.8</v>
      </c>
      <c r="L714" s="12" t="n">
        <v>300</v>
      </c>
      <c r="M714" s="10" t="inlineStr">
        <is>
          <t>是</t>
        </is>
      </c>
      <c r="N714" s="10" t="inlineStr">
        <is>
          <t>是</t>
        </is>
      </c>
      <c r="O714" s="10" t="inlineStr">
        <is>
          <t>supplier0710@example.com</t>
        </is>
      </c>
      <c r="P714" s="10" t="inlineStr">
        <is>
          <t>https://example.com/supplier/0710</t>
        </is>
      </c>
      <c r="Q714" s="10">
        <f>IF(R714&gt;=85,"A",IF(R714&gt;=70,"B","C"))</f>
        <v/>
      </c>
      <c r="R714" s="13">
        <f>MIN(100,50+IF(M714="是",10,0)+IF(N714="是",10,0)+IF(L714&lt;=100,10,IF(L714&lt;=300,5,0))+IF(J714&lt;=20,10,IF(J714&lt;=50,5,0))+IF(K714-J714&lt;=20,5,0)+IF(F714="企业官网",5,0))</f>
        <v/>
      </c>
      <c r="S714" s="10">
        <f>IF(Q714="A","价格与起订量有优势，建议优先询盘",IF(Q714="B","条件较均衡，可作为备选","起订量或价格需要进一步确认"))</f>
        <v/>
      </c>
      <c r="T714" s="10" t="inlineStr">
        <is>
          <t>未联系</t>
        </is>
      </c>
      <c r="U714" s="10" t="inlineStr">
        <is>
          <t>虚构演示数据</t>
        </is>
      </c>
    </row>
    <row r="715" ht="21" customHeight="1">
      <c r="A715" s="10" t="inlineStr">
        <is>
          <t>GYS-0711</t>
        </is>
      </c>
      <c r="B715" s="10" t="inlineStr">
        <is>
          <t>东莞美容工具供应链0711有限公司（演示）</t>
        </is>
      </c>
      <c r="C715" s="10" t="inlineStr">
        <is>
          <t>美容工具</t>
        </is>
      </c>
      <c r="D715" s="10" t="inlineStr">
        <is>
          <t>便携化妆镜</t>
        </is>
      </c>
      <c r="E715" s="10" t="inlineStr">
        <is>
          <t>广东东莞</t>
        </is>
      </c>
      <c r="F715" s="10" t="inlineStr">
        <is>
          <t>企业官网</t>
        </is>
      </c>
      <c r="G715" s="10" t="inlineStr">
        <is>
          <t>林经理</t>
        </is>
      </c>
      <c r="H715" s="10" t="inlineStr">
        <is>
          <t>000-0000-0711</t>
        </is>
      </c>
      <c r="I715" s="10" t="inlineStr">
        <is>
          <t>DEMO_GYS_0711</t>
        </is>
      </c>
      <c r="J715" s="11" t="n">
        <v>15.5</v>
      </c>
      <c r="K715" s="11" t="n">
        <v>27.6</v>
      </c>
      <c r="L715" s="12" t="n">
        <v>200</v>
      </c>
      <c r="M715" s="10" t="inlineStr">
        <is>
          <t>是</t>
        </is>
      </c>
      <c r="N715" s="10" t="inlineStr">
        <is>
          <t>否</t>
        </is>
      </c>
      <c r="O715" s="10" t="inlineStr">
        <is>
          <t>supplier0711@example.com</t>
        </is>
      </c>
      <c r="P715" s="10" t="inlineStr">
        <is>
          <t>https://example.com/supplier/0711</t>
        </is>
      </c>
      <c r="Q715" s="10">
        <f>IF(R715&gt;=85,"A",IF(R715&gt;=70,"B","C"))</f>
        <v/>
      </c>
      <c r="R715" s="13">
        <f>MIN(100,50+IF(M715="是",10,0)+IF(N715="是",10,0)+IF(L715&lt;=100,10,IF(L715&lt;=300,5,0))+IF(J715&lt;=20,10,IF(J715&lt;=50,5,0))+IF(K715-J715&lt;=20,5,0)+IF(F715="企业官网",5,0))</f>
        <v/>
      </c>
      <c r="S715" s="10">
        <f>IF(Q715="A","价格与起订量有优势，建议优先询盘",IF(Q715="B","条件较均衡，可作为备选","起订量或价格需要进一步确认"))</f>
        <v/>
      </c>
      <c r="T715" s="10" t="inlineStr">
        <is>
          <t>未联系</t>
        </is>
      </c>
      <c r="U715" s="10" t="inlineStr">
        <is>
          <t>虚构演示数据</t>
        </is>
      </c>
    </row>
    <row r="716" ht="21" customHeight="1">
      <c r="A716" s="10" t="inlineStr">
        <is>
          <t>GYS-0712</t>
        </is>
      </c>
      <c r="B716" s="10" t="inlineStr">
        <is>
          <t>厦门旅行用品供应链0712有限公司（演示）</t>
        </is>
      </c>
      <c r="C716" s="10" t="inlineStr">
        <is>
          <t>旅行用品</t>
        </is>
      </c>
      <c r="D716" s="10" t="inlineStr">
        <is>
          <t>压缩收纳袋</t>
        </is>
      </c>
      <c r="E716" s="10" t="inlineStr">
        <is>
          <t>福建厦门</t>
        </is>
      </c>
      <c r="F716" s="10" t="inlineStr">
        <is>
          <t>义乌购</t>
        </is>
      </c>
      <c r="G716" s="10" t="inlineStr">
        <is>
          <t>王经理</t>
        </is>
      </c>
      <c r="H716" s="10" t="inlineStr">
        <is>
          <t>000-0000-0712</t>
        </is>
      </c>
      <c r="I716" s="10" t="inlineStr">
        <is>
          <t>DEMO_GYS_0712</t>
        </is>
      </c>
      <c r="J716" s="11" t="n">
        <v>17.2</v>
      </c>
      <c r="K716" s="11" t="n">
        <v>30.4</v>
      </c>
      <c r="L716" s="12" t="n">
        <v>100</v>
      </c>
      <c r="M716" s="10" t="inlineStr">
        <is>
          <t>否</t>
        </is>
      </c>
      <c r="N716" s="10" t="inlineStr">
        <is>
          <t>是</t>
        </is>
      </c>
      <c r="O716" s="10" t="inlineStr">
        <is>
          <t>supplier0712@example.com</t>
        </is>
      </c>
      <c r="P716" s="10" t="inlineStr">
        <is>
          <t>https://example.com/supplier/0712</t>
        </is>
      </c>
      <c r="Q716" s="10">
        <f>IF(R716&gt;=85,"A",IF(R716&gt;=70,"B","C"))</f>
        <v/>
      </c>
      <c r="R716" s="13">
        <f>MIN(100,50+IF(M716="是",10,0)+IF(N716="是",10,0)+IF(L716&lt;=100,10,IF(L716&lt;=300,5,0))+IF(J716&lt;=20,10,IF(J716&lt;=50,5,0))+IF(K716-J716&lt;=20,5,0)+IF(F716="企业官网",5,0))</f>
        <v/>
      </c>
      <c r="S716" s="10">
        <f>IF(Q716="A","价格与起订量有优势，建议优先询盘",IF(Q716="B","条件较均衡，可作为备选","起订量或价格需要进一步确认"))</f>
        <v/>
      </c>
      <c r="T716" s="10" t="inlineStr">
        <is>
          <t>未联系</t>
        </is>
      </c>
      <c r="U716" s="10" t="inlineStr">
        <is>
          <t>虚构演示数据</t>
        </is>
      </c>
    </row>
    <row r="717" ht="21" customHeight="1">
      <c r="A717" s="10" t="inlineStr">
        <is>
          <t>GYS-0713</t>
        </is>
      </c>
      <c r="B717" s="10" t="inlineStr">
        <is>
          <t>临沂清洁工具供应链0713有限公司（演示）</t>
        </is>
      </c>
      <c r="C717" s="10" t="inlineStr">
        <is>
          <t>清洁工具</t>
        </is>
      </c>
      <c r="D717" s="10" t="inlineStr">
        <is>
          <t>免手洗拖把</t>
        </is>
      </c>
      <c r="E717" s="10" t="inlineStr">
        <is>
          <t>山东临沂</t>
        </is>
      </c>
      <c r="F717" s="10" t="inlineStr">
        <is>
          <t>慧聪网</t>
        </is>
      </c>
      <c r="G717" s="10" t="inlineStr">
        <is>
          <t>李经理</t>
        </is>
      </c>
      <c r="H717" s="10" t="inlineStr">
        <is>
          <t>000-0000-0713</t>
        </is>
      </c>
      <c r="I717" s="10" t="inlineStr">
        <is>
          <t>DEMO_GYS_0713</t>
        </is>
      </c>
      <c r="J717" s="11" t="n">
        <v>18.9</v>
      </c>
      <c r="K717" s="11" t="n">
        <v>33.2</v>
      </c>
      <c r="L717" s="12" t="n">
        <v>50</v>
      </c>
      <c r="M717" s="10" t="inlineStr">
        <is>
          <t>是</t>
        </is>
      </c>
      <c r="N717" s="10" t="inlineStr">
        <is>
          <t>是</t>
        </is>
      </c>
      <c r="O717" s="10" t="inlineStr">
        <is>
          <t>supplier0713@example.com</t>
        </is>
      </c>
      <c r="P717" s="10" t="inlineStr">
        <is>
          <t>https://example.com/supplier/0713</t>
        </is>
      </c>
      <c r="Q717" s="10">
        <f>IF(R717&gt;=85,"A",IF(R717&gt;=70,"B","C"))</f>
        <v/>
      </c>
      <c r="R717" s="13">
        <f>MIN(100,50+IF(M717="是",10,0)+IF(N717="是",10,0)+IF(L717&lt;=100,10,IF(L717&lt;=300,5,0))+IF(J717&lt;=20,10,IF(J717&lt;=50,5,0))+IF(K717-J717&lt;=20,5,0)+IF(F717="企业官网",5,0))</f>
        <v/>
      </c>
      <c r="S717" s="10">
        <f>IF(Q717="A","价格与起订量有优势，建议优先询盘",IF(Q717="B","条件较均衡，可作为备选","起订量或价格需要进一步确认"))</f>
        <v/>
      </c>
      <c r="T717" s="10" t="inlineStr">
        <is>
          <t>未联系</t>
        </is>
      </c>
      <c r="U717" s="10" t="inlineStr">
        <is>
          <t>虚构演示数据</t>
        </is>
      </c>
    </row>
    <row r="718" ht="21" customHeight="1">
      <c r="A718" s="10" t="inlineStr">
        <is>
          <t>GYS-0714</t>
        </is>
      </c>
      <c r="B718" s="10" t="inlineStr">
        <is>
          <t>南昌小家电供应链0714有限公司（演示）</t>
        </is>
      </c>
      <c r="C718" s="10" t="inlineStr">
        <is>
          <t>小家电</t>
        </is>
      </c>
      <c r="D718" s="10" t="inlineStr">
        <is>
          <t>迷你加湿器</t>
        </is>
      </c>
      <c r="E718" s="10" t="inlineStr">
        <is>
          <t>江西南昌</t>
        </is>
      </c>
      <c r="F718" s="10" t="inlineStr">
        <is>
          <t>1688</t>
        </is>
      </c>
      <c r="G718" s="10" t="inlineStr">
        <is>
          <t>张经理</t>
        </is>
      </c>
      <c r="H718" s="10" t="inlineStr">
        <is>
          <t>000-0000-0714</t>
        </is>
      </c>
      <c r="I718" s="10" t="inlineStr">
        <is>
          <t>DEMO_GYS_0714</t>
        </is>
      </c>
      <c r="J718" s="11" t="n">
        <v>20.6</v>
      </c>
      <c r="K718" s="11" t="n">
        <v>36</v>
      </c>
      <c r="L718" s="12" t="n">
        <v>20</v>
      </c>
      <c r="M718" s="10" t="inlineStr">
        <is>
          <t>是</t>
        </is>
      </c>
      <c r="N718" s="10" t="inlineStr">
        <is>
          <t>否</t>
        </is>
      </c>
      <c r="O718" s="10" t="inlineStr">
        <is>
          <t>supplier0714@example.com</t>
        </is>
      </c>
      <c r="P718" s="10" t="inlineStr">
        <is>
          <t>https://example.com/supplier/0714</t>
        </is>
      </c>
      <c r="Q718" s="10">
        <f>IF(R718&gt;=85,"A",IF(R718&gt;=70,"B","C"))</f>
        <v/>
      </c>
      <c r="R718" s="13">
        <f>MIN(100,50+IF(M718="是",10,0)+IF(N718="是",10,0)+IF(L718&lt;=100,10,IF(L718&lt;=300,5,0))+IF(J718&lt;=20,10,IF(J718&lt;=50,5,0))+IF(K718-J718&lt;=20,5,0)+IF(F718="企业官网",5,0))</f>
        <v/>
      </c>
      <c r="S718" s="10">
        <f>IF(Q718="A","价格与起订量有优势，建议优先询盘",IF(Q718="B","条件较均衡，可作为备选","起订量或价格需要进一步确认"))</f>
        <v/>
      </c>
      <c r="T718" s="10" t="inlineStr">
        <is>
          <t>未联系</t>
        </is>
      </c>
      <c r="U718" s="10" t="inlineStr">
        <is>
          <t>虚构演示数据</t>
        </is>
      </c>
    </row>
    <row r="719" ht="21" customHeight="1">
      <c r="A719" s="10" t="inlineStr">
        <is>
          <t>GYS-0715</t>
        </is>
      </c>
      <c r="B719" s="10" t="inlineStr">
        <is>
          <t>温州礼品包装供应链0715有限公司（演示）</t>
        </is>
      </c>
      <c r="C719" s="10" t="inlineStr">
        <is>
          <t>礼品包装</t>
        </is>
      </c>
      <c r="D719" s="10" t="inlineStr">
        <is>
          <t>节日礼盒</t>
        </is>
      </c>
      <c r="E719" s="10" t="inlineStr">
        <is>
          <t>浙江温州</t>
        </is>
      </c>
      <c r="F719" s="10" t="inlineStr">
        <is>
          <t>中国制造网</t>
        </is>
      </c>
      <c r="G719" s="10" t="inlineStr">
        <is>
          <t>刘经理</t>
        </is>
      </c>
      <c r="H719" s="10" t="inlineStr">
        <is>
          <t>000-0000-0715</t>
        </is>
      </c>
      <c r="I719" s="10" t="inlineStr">
        <is>
          <t>DEMO_GYS_0715</t>
        </is>
      </c>
      <c r="J719" s="11" t="n">
        <v>22.3</v>
      </c>
      <c r="K719" s="11" t="n">
        <v>38.8</v>
      </c>
      <c r="L719" s="12" t="n">
        <v>500</v>
      </c>
      <c r="M719" s="10" t="inlineStr">
        <is>
          <t>是</t>
        </is>
      </c>
      <c r="N719" s="10" t="inlineStr">
        <is>
          <t>是</t>
        </is>
      </c>
      <c r="O719" s="10" t="inlineStr">
        <is>
          <t>supplier0715@example.com</t>
        </is>
      </c>
      <c r="P719" s="10" t="inlineStr">
        <is>
          <t>https://example.com/supplier/0715</t>
        </is>
      </c>
      <c r="Q719" s="10">
        <f>IF(R719&gt;=85,"A",IF(R719&gt;=70,"B","C"))</f>
        <v/>
      </c>
      <c r="R719" s="13">
        <f>MIN(100,50+IF(M719="是",10,0)+IF(N719="是",10,0)+IF(L719&lt;=100,10,IF(L719&lt;=300,5,0))+IF(J719&lt;=20,10,IF(J719&lt;=50,5,0))+IF(K719-J719&lt;=20,5,0)+IF(F719="企业官网",5,0))</f>
        <v/>
      </c>
      <c r="S719" s="10">
        <f>IF(Q719="A","价格与起订量有优势，建议优先询盘",IF(Q719="B","条件较均衡，可作为备选","起订量或价格需要进一步确认"))</f>
        <v/>
      </c>
      <c r="T719" s="10" t="inlineStr">
        <is>
          <t>未联系</t>
        </is>
      </c>
      <c r="U719" s="10" t="inlineStr">
        <is>
          <t>虚构演示数据</t>
        </is>
      </c>
    </row>
    <row r="720" ht="21" customHeight="1">
      <c r="A720" s="10" t="inlineStr">
        <is>
          <t>GYS-0716</t>
        </is>
      </c>
      <c r="B720" s="10" t="inlineStr">
        <is>
          <t>广州五金工具供应链0716有限公司（演示）</t>
        </is>
      </c>
      <c r="C720" s="10" t="inlineStr">
        <is>
          <t>五金工具</t>
        </is>
      </c>
      <c r="D720" s="10" t="inlineStr">
        <is>
          <t>多功能螺丝刀</t>
        </is>
      </c>
      <c r="E720" s="10" t="inlineStr">
        <is>
          <t>广东广州</t>
        </is>
      </c>
      <c r="F720" s="10" t="inlineStr">
        <is>
          <t>企业官网</t>
        </is>
      </c>
      <c r="G720" s="10" t="inlineStr">
        <is>
          <t>黄经理</t>
        </is>
      </c>
      <c r="H720" s="10" t="inlineStr">
        <is>
          <t>000-0000-0716</t>
        </is>
      </c>
      <c r="I720" s="10" t="inlineStr">
        <is>
          <t>DEMO_GYS_0716</t>
        </is>
      </c>
      <c r="J720" s="11" t="n">
        <v>24</v>
      </c>
      <c r="K720" s="11" t="n">
        <v>41.6</v>
      </c>
      <c r="L720" s="12" t="n">
        <v>300</v>
      </c>
      <c r="M720" s="10" t="inlineStr">
        <is>
          <t>否</t>
        </is>
      </c>
      <c r="N720" s="10" t="inlineStr">
        <is>
          <t>是</t>
        </is>
      </c>
      <c r="O720" s="10" t="inlineStr">
        <is>
          <t>supplier0716@example.com</t>
        </is>
      </c>
      <c r="P720" s="10" t="inlineStr">
        <is>
          <t>https://example.com/supplier/0716</t>
        </is>
      </c>
      <c r="Q720" s="10">
        <f>IF(R720&gt;=85,"A",IF(R720&gt;=70,"B","C"))</f>
        <v/>
      </c>
      <c r="R720" s="13">
        <f>MIN(100,50+IF(M720="是",10,0)+IF(N720="是",10,0)+IF(L720&lt;=100,10,IF(L720&lt;=300,5,0))+IF(J720&lt;=20,10,IF(J720&lt;=50,5,0))+IF(K720-J720&lt;=20,5,0)+IF(F720="企业官网",5,0))</f>
        <v/>
      </c>
      <c r="S720" s="10">
        <f>IF(Q720="A","价格与起订量有优势，建议优先询盘",IF(Q720="B","条件较均衡，可作为备选","起订量或价格需要进一步确认"))</f>
        <v/>
      </c>
      <c r="T720" s="10" t="inlineStr">
        <is>
          <t>未联系</t>
        </is>
      </c>
      <c r="U720" s="10" t="inlineStr">
        <is>
          <t>虚构演示数据</t>
        </is>
      </c>
    </row>
    <row r="721" ht="21" customHeight="1">
      <c r="A721" s="10" t="inlineStr">
        <is>
          <t>GYS-0717</t>
        </is>
      </c>
      <c r="B721" s="10" t="inlineStr">
        <is>
          <t>泉州鞋靴配件供应链0717有限公司（演示）</t>
        </is>
      </c>
      <c r="C721" s="10" t="inlineStr">
        <is>
          <t>鞋靴配件</t>
        </is>
      </c>
      <c r="D721" s="10" t="inlineStr">
        <is>
          <t>防磨脚贴</t>
        </is>
      </c>
      <c r="E721" s="10" t="inlineStr">
        <is>
          <t>福建泉州</t>
        </is>
      </c>
      <c r="F721" s="10" t="inlineStr">
        <is>
          <t>义乌购</t>
        </is>
      </c>
      <c r="G721" s="10" t="inlineStr">
        <is>
          <t>赵经理</t>
        </is>
      </c>
      <c r="H721" s="10" t="inlineStr">
        <is>
          <t>000-0000-0717</t>
        </is>
      </c>
      <c r="I721" s="10" t="inlineStr">
        <is>
          <t>DEMO_GYS_0717</t>
        </is>
      </c>
      <c r="J721" s="11" t="n">
        <v>25.7</v>
      </c>
      <c r="K721" s="11" t="n">
        <v>44.4</v>
      </c>
      <c r="L721" s="12" t="n">
        <v>200</v>
      </c>
      <c r="M721" s="10" t="inlineStr">
        <is>
          <t>是</t>
        </is>
      </c>
      <c r="N721" s="10" t="inlineStr">
        <is>
          <t>否</t>
        </is>
      </c>
      <c r="O721" s="10" t="inlineStr">
        <is>
          <t>supplier0717@example.com</t>
        </is>
      </c>
      <c r="P721" s="10" t="inlineStr">
        <is>
          <t>https://example.com/supplier/0717</t>
        </is>
      </c>
      <c r="Q721" s="10">
        <f>IF(R721&gt;=85,"A",IF(R721&gt;=70,"B","C"))</f>
        <v/>
      </c>
      <c r="R721" s="13">
        <f>MIN(100,50+IF(M721="是",10,0)+IF(N721="是",10,0)+IF(L721&lt;=100,10,IF(L721&lt;=300,5,0))+IF(J721&lt;=20,10,IF(J721&lt;=50,5,0))+IF(K721-J721&lt;=20,5,0)+IF(F721="企业官网",5,0))</f>
        <v/>
      </c>
      <c r="S721" s="10">
        <f>IF(Q721="A","价格与起订量有优势，建议优先询盘",IF(Q721="B","条件较均衡，可作为备选","起订量或价格需要进一步确认"))</f>
        <v/>
      </c>
      <c r="T721" s="10" t="inlineStr">
        <is>
          <t>未联系</t>
        </is>
      </c>
      <c r="U721" s="10" t="inlineStr">
        <is>
          <t>虚构演示数据</t>
        </is>
      </c>
    </row>
    <row r="722" ht="21" customHeight="1">
      <c r="A722" s="10" t="inlineStr">
        <is>
          <t>GYS-0718</t>
        </is>
      </c>
      <c r="B722" s="10" t="inlineStr">
        <is>
          <t>南通食品包装供应链0718有限公司（演示）</t>
        </is>
      </c>
      <c r="C722" s="10" t="inlineStr">
        <is>
          <t>食品包装</t>
        </is>
      </c>
      <c r="D722" s="10" t="inlineStr">
        <is>
          <t>密封包装袋</t>
        </is>
      </c>
      <c r="E722" s="10" t="inlineStr">
        <is>
          <t>江苏南通</t>
        </is>
      </c>
      <c r="F722" s="10" t="inlineStr">
        <is>
          <t>慧聪网</t>
        </is>
      </c>
      <c r="G722" s="10" t="inlineStr">
        <is>
          <t>周经理</t>
        </is>
      </c>
      <c r="H722" s="10" t="inlineStr">
        <is>
          <t>000-0000-0718</t>
        </is>
      </c>
      <c r="I722" s="10" t="inlineStr">
        <is>
          <t>DEMO_GYS_0718</t>
        </is>
      </c>
      <c r="J722" s="11" t="n">
        <v>27.4</v>
      </c>
      <c r="K722" s="11" t="n">
        <v>47.2</v>
      </c>
      <c r="L722" s="12" t="n">
        <v>100</v>
      </c>
      <c r="M722" s="10" t="inlineStr">
        <is>
          <t>是</t>
        </is>
      </c>
      <c r="N722" s="10" t="inlineStr">
        <is>
          <t>是</t>
        </is>
      </c>
      <c r="O722" s="10" t="inlineStr">
        <is>
          <t>supplier0718@example.com</t>
        </is>
      </c>
      <c r="P722" s="10" t="inlineStr">
        <is>
          <t>https://example.com/supplier/0718</t>
        </is>
      </c>
      <c r="Q722" s="10">
        <f>IF(R722&gt;=85,"A",IF(R722&gt;=70,"B","C"))</f>
        <v/>
      </c>
      <c r="R722" s="13">
        <f>MIN(100,50+IF(M722="是",10,0)+IF(N722="是",10,0)+IF(L722&lt;=100,10,IF(L722&lt;=300,5,0))+IF(J722&lt;=20,10,IF(J722&lt;=50,5,0))+IF(K722-J722&lt;=20,5,0)+IF(F722="企业官网",5,0))</f>
        <v/>
      </c>
      <c r="S722" s="10">
        <f>IF(Q722="A","价格与起订量有优势，建议优先询盘",IF(Q722="B","条件较均衡，可作为备选","起订量或价格需要进一步确认"))</f>
        <v/>
      </c>
      <c r="T722" s="10" t="inlineStr">
        <is>
          <t>未联系</t>
        </is>
      </c>
      <c r="U722" s="10" t="inlineStr">
        <is>
          <t>虚构演示数据</t>
        </is>
      </c>
    </row>
    <row r="723" ht="21" customHeight="1">
      <c r="A723" s="10" t="inlineStr">
        <is>
          <t>GYS-0719</t>
        </is>
      </c>
      <c r="B723" s="10" t="inlineStr">
        <is>
          <t>郑州户外照明供应链0719有限公司（演示）</t>
        </is>
      </c>
      <c r="C723" s="10" t="inlineStr">
        <is>
          <t>户外照明</t>
        </is>
      </c>
      <c r="D723" s="10" t="inlineStr">
        <is>
          <t>便携露营灯</t>
        </is>
      </c>
      <c r="E723" s="10" t="inlineStr">
        <is>
          <t>河南郑州</t>
        </is>
      </c>
      <c r="F723" s="10" t="inlineStr">
        <is>
          <t>1688</t>
        </is>
      </c>
      <c r="G723" s="10" t="inlineStr">
        <is>
          <t>吴经理</t>
        </is>
      </c>
      <c r="H723" s="10" t="inlineStr">
        <is>
          <t>000-0000-0719</t>
        </is>
      </c>
      <c r="I723" s="10" t="inlineStr">
        <is>
          <t>DEMO_GYS_0719</t>
        </is>
      </c>
      <c r="J723" s="11" t="n">
        <v>29.1</v>
      </c>
      <c r="K723" s="11" t="n">
        <v>50</v>
      </c>
      <c r="L723" s="12" t="n">
        <v>50</v>
      </c>
      <c r="M723" s="10" t="inlineStr">
        <is>
          <t>是</t>
        </is>
      </c>
      <c r="N723" s="10" t="inlineStr">
        <is>
          <t>是</t>
        </is>
      </c>
      <c r="O723" s="10" t="inlineStr">
        <is>
          <t>supplier0719@example.com</t>
        </is>
      </c>
      <c r="P723" s="10" t="inlineStr">
        <is>
          <t>https://example.com/supplier/0719</t>
        </is>
      </c>
      <c r="Q723" s="10">
        <f>IF(R723&gt;=85,"A",IF(R723&gt;=70,"B","C"))</f>
        <v/>
      </c>
      <c r="R723" s="13">
        <f>MIN(100,50+IF(M723="是",10,0)+IF(N723="是",10,0)+IF(L723&lt;=100,10,IF(L723&lt;=300,5,0))+IF(J723&lt;=20,10,IF(J723&lt;=50,5,0))+IF(K723-J723&lt;=20,5,0)+IF(F723="企业官网",5,0))</f>
        <v/>
      </c>
      <c r="S723" s="10">
        <f>IF(Q723="A","价格与起订量有优势，建议优先询盘",IF(Q723="B","条件较均衡，可作为备选","起订量或价格需要进一步确认"))</f>
        <v/>
      </c>
      <c r="T723" s="10" t="inlineStr">
        <is>
          <t>未联系</t>
        </is>
      </c>
      <c r="U723" s="10" t="inlineStr">
        <is>
          <t>虚构演示数据</t>
        </is>
      </c>
    </row>
    <row r="724" ht="21" customHeight="1">
      <c r="A724" s="10" t="inlineStr">
        <is>
          <t>GYS-0720</t>
        </is>
      </c>
      <c r="B724" s="10" t="inlineStr">
        <is>
          <t>宁波健康用品供应链0720有限公司（演示）</t>
        </is>
      </c>
      <c r="C724" s="10" t="inlineStr">
        <is>
          <t>健康用品</t>
        </is>
      </c>
      <c r="D724" s="10" t="inlineStr">
        <is>
          <t>热敷眼罩</t>
        </is>
      </c>
      <c r="E724" s="10" t="inlineStr">
        <is>
          <t>浙江宁波</t>
        </is>
      </c>
      <c r="F724" s="10" t="inlineStr">
        <is>
          <t>中国制造网</t>
        </is>
      </c>
      <c r="G724" s="10" t="inlineStr">
        <is>
          <t>陈经理</t>
        </is>
      </c>
      <c r="H724" s="10" t="inlineStr">
        <is>
          <t>000-0000-0720</t>
        </is>
      </c>
      <c r="I724" s="10" t="inlineStr">
        <is>
          <t>DEMO_GYS_0720</t>
        </is>
      </c>
      <c r="J724" s="11" t="n">
        <v>30.8</v>
      </c>
      <c r="K724" s="11" t="n">
        <v>34.8</v>
      </c>
      <c r="L724" s="12" t="n">
        <v>20</v>
      </c>
      <c r="M724" s="10" t="inlineStr">
        <is>
          <t>否</t>
        </is>
      </c>
      <c r="N724" s="10" t="inlineStr">
        <is>
          <t>否</t>
        </is>
      </c>
      <c r="O724" s="10" t="inlineStr">
        <is>
          <t>supplier0720@example.com</t>
        </is>
      </c>
      <c r="P724" s="10" t="inlineStr">
        <is>
          <t>https://example.com/supplier/0720</t>
        </is>
      </c>
      <c r="Q724" s="10">
        <f>IF(R724&gt;=85,"A",IF(R724&gt;=70,"B","C"))</f>
        <v/>
      </c>
      <c r="R724" s="13">
        <f>MIN(100,50+IF(M724="是",10,0)+IF(N724="是",10,0)+IF(L724&lt;=100,10,IF(L724&lt;=300,5,0))+IF(J724&lt;=20,10,IF(J724&lt;=50,5,0))+IF(K724-J724&lt;=20,5,0)+IF(F724="企业官网",5,0))</f>
        <v/>
      </c>
      <c r="S724" s="10">
        <f>IF(Q724="A","价格与起订量有优势，建议优先询盘",IF(Q724="B","条件较均衡，可作为备选","起订量或价格需要进一步确认"))</f>
        <v/>
      </c>
      <c r="T724" s="10" t="inlineStr">
        <is>
          <t>未联系</t>
        </is>
      </c>
      <c r="U724" s="10" t="inlineStr">
        <is>
          <t>虚构演示数据</t>
        </is>
      </c>
    </row>
    <row r="725" ht="21" customHeight="1">
      <c r="A725" s="10" t="inlineStr">
        <is>
          <t>GYS-0721</t>
        </is>
      </c>
      <c r="B725" s="10" t="inlineStr">
        <is>
          <t>深圳服饰内衣供应链0721有限公司（演示）</t>
        </is>
      </c>
      <c r="C725" s="10" t="inlineStr">
        <is>
          <t>服饰内衣</t>
        </is>
      </c>
      <c r="D725" s="10" t="inlineStr">
        <is>
          <t>防滑袜</t>
        </is>
      </c>
      <c r="E725" s="10" t="inlineStr">
        <is>
          <t>广东深圳</t>
        </is>
      </c>
      <c r="F725" s="10" t="inlineStr">
        <is>
          <t>企业官网</t>
        </is>
      </c>
      <c r="G725" s="10" t="inlineStr">
        <is>
          <t>林经理</t>
        </is>
      </c>
      <c r="H725" s="10" t="inlineStr">
        <is>
          <t>000-0000-0721</t>
        </is>
      </c>
      <c r="I725" s="10" t="inlineStr">
        <is>
          <t>DEMO_GYS_0721</t>
        </is>
      </c>
      <c r="J725" s="11" t="n">
        <v>32.5</v>
      </c>
      <c r="K725" s="11" t="n">
        <v>37.6</v>
      </c>
      <c r="L725" s="12" t="n">
        <v>500</v>
      </c>
      <c r="M725" s="10" t="inlineStr">
        <is>
          <t>是</t>
        </is>
      </c>
      <c r="N725" s="10" t="inlineStr">
        <is>
          <t>是</t>
        </is>
      </c>
      <c r="O725" s="10" t="inlineStr">
        <is>
          <t>supplier0721@example.com</t>
        </is>
      </c>
      <c r="P725" s="10" t="inlineStr">
        <is>
          <t>https://example.com/supplier/0721</t>
        </is>
      </c>
      <c r="Q725" s="10">
        <f>IF(R725&gt;=85,"A",IF(R725&gt;=70,"B","C"))</f>
        <v/>
      </c>
      <c r="R725" s="13">
        <f>MIN(100,50+IF(M725="是",10,0)+IF(N725="是",10,0)+IF(L725&lt;=100,10,IF(L725&lt;=300,5,0))+IF(J725&lt;=20,10,IF(J725&lt;=50,5,0))+IF(K725-J725&lt;=20,5,0)+IF(F725="企业官网",5,0))</f>
        <v/>
      </c>
      <c r="S725" s="10">
        <f>IF(Q725="A","价格与起订量有优势，建议优先询盘",IF(Q725="B","条件较均衡，可作为备选","起订量或价格需要进一步确认"))</f>
        <v/>
      </c>
      <c r="T725" s="10" t="inlineStr">
        <is>
          <t>未联系</t>
        </is>
      </c>
      <c r="U725" s="10" t="inlineStr">
        <is>
          <t>虚构演示数据</t>
        </is>
      </c>
    </row>
    <row r="726" ht="21" customHeight="1">
      <c r="A726" s="10" t="inlineStr">
        <is>
          <t>GYS-0722</t>
        </is>
      </c>
      <c r="B726" s="10" t="inlineStr">
        <is>
          <t>佛山家居日用供应链0722有限公司（演示）</t>
        </is>
      </c>
      <c r="C726" s="10" t="inlineStr">
        <is>
          <t>家居日用</t>
        </is>
      </c>
      <c r="D726" s="10" t="inlineStr">
        <is>
          <t>折叠收纳箱</t>
        </is>
      </c>
      <c r="E726" s="10" t="inlineStr">
        <is>
          <t>广东佛山</t>
        </is>
      </c>
      <c r="F726" s="10" t="inlineStr">
        <is>
          <t>义乌购</t>
        </is>
      </c>
      <c r="G726" s="10" t="inlineStr">
        <is>
          <t>王经理</t>
        </is>
      </c>
      <c r="H726" s="10" t="inlineStr">
        <is>
          <t>000-0000-0722</t>
        </is>
      </c>
      <c r="I726" s="10" t="inlineStr">
        <is>
          <t>DEMO_GYS_0722</t>
        </is>
      </c>
      <c r="J726" s="11" t="n">
        <v>34.2</v>
      </c>
      <c r="K726" s="11" t="n">
        <v>40.4</v>
      </c>
      <c r="L726" s="12" t="n">
        <v>300</v>
      </c>
      <c r="M726" s="10" t="inlineStr">
        <is>
          <t>是</t>
        </is>
      </c>
      <c r="N726" s="10" t="inlineStr">
        <is>
          <t>是</t>
        </is>
      </c>
      <c r="O726" s="10" t="inlineStr">
        <is>
          <t>supplier0722@example.com</t>
        </is>
      </c>
      <c r="P726" s="10" t="inlineStr">
        <is>
          <t>https://example.com/supplier/0722</t>
        </is>
      </c>
      <c r="Q726" s="10">
        <f>IF(R726&gt;=85,"A",IF(R726&gt;=70,"B","C"))</f>
        <v/>
      </c>
      <c r="R726" s="13">
        <f>MIN(100,50+IF(M726="是",10,0)+IF(N726="是",10,0)+IF(L726&lt;=100,10,IF(L726&lt;=300,5,0))+IF(J726&lt;=20,10,IF(J726&lt;=50,5,0))+IF(K726-J726&lt;=20,5,0)+IF(F726="企业官网",5,0))</f>
        <v/>
      </c>
      <c r="S726" s="10">
        <f>IF(Q726="A","价格与起订量有优势，建议优先询盘",IF(Q726="B","条件较均衡，可作为备选","起订量或价格需要进一步确认"))</f>
        <v/>
      </c>
      <c r="T726" s="10" t="inlineStr">
        <is>
          <t>未联系</t>
        </is>
      </c>
      <c r="U726" s="10" t="inlineStr">
        <is>
          <t>虚构演示数据</t>
        </is>
      </c>
    </row>
    <row r="727" ht="21" customHeight="1">
      <c r="A727" s="10" t="inlineStr">
        <is>
          <t>GYS-0723</t>
        </is>
      </c>
      <c r="B727" s="10" t="inlineStr">
        <is>
          <t>苏州个护清洁供应链0723有限公司（演示）</t>
        </is>
      </c>
      <c r="C727" s="10" t="inlineStr">
        <is>
          <t>个护清洁</t>
        </is>
      </c>
      <c r="D727" s="10" t="inlineStr">
        <is>
          <t>便携洗脸巾</t>
        </is>
      </c>
      <c r="E727" s="10" t="inlineStr">
        <is>
          <t>江苏苏州</t>
        </is>
      </c>
      <c r="F727" s="10" t="inlineStr">
        <is>
          <t>慧聪网</t>
        </is>
      </c>
      <c r="G727" s="10" t="inlineStr">
        <is>
          <t>李经理</t>
        </is>
      </c>
      <c r="H727" s="10" t="inlineStr">
        <is>
          <t>000-0000-0723</t>
        </is>
      </c>
      <c r="I727" s="10" t="inlineStr">
        <is>
          <t>DEMO_GYS_0723</t>
        </is>
      </c>
      <c r="J727" s="11" t="n">
        <v>35.9</v>
      </c>
      <c r="K727" s="11" t="n">
        <v>43.2</v>
      </c>
      <c r="L727" s="12" t="n">
        <v>200</v>
      </c>
      <c r="M727" s="10" t="inlineStr">
        <is>
          <t>是</t>
        </is>
      </c>
      <c r="N727" s="10" t="inlineStr">
        <is>
          <t>否</t>
        </is>
      </c>
      <c r="O727" s="10" t="inlineStr">
        <is>
          <t>supplier0723@example.com</t>
        </is>
      </c>
      <c r="P727" s="10" t="inlineStr">
        <is>
          <t>https://example.com/supplier/0723</t>
        </is>
      </c>
      <c r="Q727" s="10">
        <f>IF(R727&gt;=85,"A",IF(R727&gt;=70,"B","C"))</f>
        <v/>
      </c>
      <c r="R727" s="13">
        <f>MIN(100,50+IF(M727="是",10,0)+IF(N727="是",10,0)+IF(L727&lt;=100,10,IF(L727&lt;=300,5,0))+IF(J727&lt;=20,10,IF(J727&lt;=50,5,0))+IF(K727-J727&lt;=20,5,0)+IF(F727="企业官网",5,0))</f>
        <v/>
      </c>
      <c r="S727" s="10">
        <f>IF(Q727="A","价格与起订量有优势，建议优先询盘",IF(Q727="B","条件较均衡，可作为备选","起订量或价格需要进一步确认"))</f>
        <v/>
      </c>
      <c r="T727" s="10" t="inlineStr">
        <is>
          <t>未联系</t>
        </is>
      </c>
      <c r="U727" s="10" t="inlineStr">
        <is>
          <t>虚构演示数据</t>
        </is>
      </c>
    </row>
    <row r="728" ht="21" customHeight="1">
      <c r="A728" s="10" t="inlineStr">
        <is>
          <t>GYS-0724</t>
        </is>
      </c>
      <c r="B728" s="10" t="inlineStr">
        <is>
          <t>白沟厨房用品供应链0724有限公司（演示）</t>
        </is>
      </c>
      <c r="C728" s="10" t="inlineStr">
        <is>
          <t>厨房用品</t>
        </is>
      </c>
      <c r="D728" s="10" t="inlineStr">
        <is>
          <t>硅胶保鲜盒</t>
        </is>
      </c>
      <c r="E728" s="10" t="inlineStr">
        <is>
          <t>河北白沟</t>
        </is>
      </c>
      <c r="F728" s="10" t="inlineStr">
        <is>
          <t>1688</t>
        </is>
      </c>
      <c r="G728" s="10" t="inlineStr">
        <is>
          <t>张经理</t>
        </is>
      </c>
      <c r="H728" s="10" t="inlineStr">
        <is>
          <t>000-0000-0724</t>
        </is>
      </c>
      <c r="I728" s="10" t="inlineStr">
        <is>
          <t>DEMO_GYS_0724</t>
        </is>
      </c>
      <c r="J728" s="11" t="n">
        <v>37.6</v>
      </c>
      <c r="K728" s="11" t="n">
        <v>46</v>
      </c>
      <c r="L728" s="12" t="n">
        <v>100</v>
      </c>
      <c r="M728" s="10" t="inlineStr">
        <is>
          <t>否</t>
        </is>
      </c>
      <c r="N728" s="10" t="inlineStr">
        <is>
          <t>是</t>
        </is>
      </c>
      <c r="O728" s="10" t="inlineStr">
        <is>
          <t>supplier0724@example.com</t>
        </is>
      </c>
      <c r="P728" s="10" t="inlineStr">
        <is>
          <t>https://example.com/supplier/0724</t>
        </is>
      </c>
      <c r="Q728" s="10">
        <f>IF(R728&gt;=85,"A",IF(R728&gt;=70,"B","C"))</f>
        <v/>
      </c>
      <c r="R728" s="13">
        <f>MIN(100,50+IF(M728="是",10,0)+IF(N728="是",10,0)+IF(L728&lt;=100,10,IF(L728&lt;=300,5,0))+IF(J728&lt;=20,10,IF(J728&lt;=50,5,0))+IF(K728-J728&lt;=20,5,0)+IF(F728="企业官网",5,0))</f>
        <v/>
      </c>
      <c r="S728" s="10">
        <f>IF(Q728="A","价格与起订量有优势，建议优先询盘",IF(Q728="B","条件较均衡，可作为备选","起订量或价格需要进一步确认"))</f>
        <v/>
      </c>
      <c r="T728" s="10" t="inlineStr">
        <is>
          <t>未联系</t>
        </is>
      </c>
      <c r="U728" s="10" t="inlineStr">
        <is>
          <t>虚构演示数据</t>
        </is>
      </c>
    </row>
    <row r="729" ht="21" customHeight="1">
      <c r="A729" s="10" t="inlineStr">
        <is>
          <t>GYS-0725</t>
        </is>
      </c>
      <c r="B729" s="10" t="inlineStr">
        <is>
          <t>义乌数码配件供应链0725有限公司（演示）</t>
        </is>
      </c>
      <c r="C729" s="10" t="inlineStr">
        <is>
          <t>数码配件</t>
        </is>
      </c>
      <c r="D729" s="10" t="inlineStr">
        <is>
          <t>磁吸手机支架</t>
        </is>
      </c>
      <c r="E729" s="10" t="inlineStr">
        <is>
          <t>浙江义乌</t>
        </is>
      </c>
      <c r="F729" s="10" t="inlineStr">
        <is>
          <t>中国制造网</t>
        </is>
      </c>
      <c r="G729" s="10" t="inlineStr">
        <is>
          <t>刘经理</t>
        </is>
      </c>
      <c r="H729" s="10" t="inlineStr">
        <is>
          <t>000-0000-0725</t>
        </is>
      </c>
      <c r="I729" s="10" t="inlineStr">
        <is>
          <t>DEMO_GYS_0725</t>
        </is>
      </c>
      <c r="J729" s="11" t="n">
        <v>39.3</v>
      </c>
      <c r="K729" s="11" t="n">
        <v>48.8</v>
      </c>
      <c r="L729" s="12" t="n">
        <v>50</v>
      </c>
      <c r="M729" s="10" t="inlineStr">
        <is>
          <t>是</t>
        </is>
      </c>
      <c r="N729" s="10" t="inlineStr">
        <is>
          <t>是</t>
        </is>
      </c>
      <c r="O729" s="10" t="inlineStr">
        <is>
          <t>supplier0725@example.com</t>
        </is>
      </c>
      <c r="P729" s="10" t="inlineStr">
        <is>
          <t>https://example.com/supplier/0725</t>
        </is>
      </c>
      <c r="Q729" s="10">
        <f>IF(R729&gt;=85,"A",IF(R729&gt;=70,"B","C"))</f>
        <v/>
      </c>
      <c r="R729" s="13">
        <f>MIN(100,50+IF(M729="是",10,0)+IF(N729="是",10,0)+IF(L729&lt;=100,10,IF(L729&lt;=300,5,0))+IF(J729&lt;=20,10,IF(J729&lt;=50,5,0))+IF(K729-J729&lt;=20,5,0)+IF(F729="企业官网",5,0))</f>
        <v/>
      </c>
      <c r="S729" s="10">
        <f>IF(Q729="A","价格与起订量有优势，建议优先询盘",IF(Q729="B","条件较均衡，可作为备选","起订量或价格需要进一步确认"))</f>
        <v/>
      </c>
      <c r="T729" s="10" t="inlineStr">
        <is>
          <t>未联系</t>
        </is>
      </c>
      <c r="U729" s="10" t="inlineStr">
        <is>
          <t>虚构演示数据</t>
        </is>
      </c>
    </row>
    <row r="730" ht="21" customHeight="1">
      <c r="A730" s="10" t="inlineStr">
        <is>
          <t>GYS-0726</t>
        </is>
      </c>
      <c r="B730" s="10" t="inlineStr">
        <is>
          <t>台州宠物用品供应链0726有限公司（演示）</t>
        </is>
      </c>
      <c r="C730" s="10" t="inlineStr">
        <is>
          <t>宠物用品</t>
        </is>
      </c>
      <c r="D730" s="10" t="inlineStr">
        <is>
          <t>宠物清洁手套</t>
        </is>
      </c>
      <c r="E730" s="10" t="inlineStr">
        <is>
          <t>浙江台州</t>
        </is>
      </c>
      <c r="F730" s="10" t="inlineStr">
        <is>
          <t>企业官网</t>
        </is>
      </c>
      <c r="G730" s="10" t="inlineStr">
        <is>
          <t>黄经理</t>
        </is>
      </c>
      <c r="H730" s="10" t="inlineStr">
        <is>
          <t>000-0000-0726</t>
        </is>
      </c>
      <c r="I730" s="10" t="inlineStr">
        <is>
          <t>DEMO_GYS_0726</t>
        </is>
      </c>
      <c r="J730" s="11" t="n">
        <v>41</v>
      </c>
      <c r="K730" s="11" t="n">
        <v>51.6</v>
      </c>
      <c r="L730" s="12" t="n">
        <v>20</v>
      </c>
      <c r="M730" s="10" t="inlineStr">
        <is>
          <t>是</t>
        </is>
      </c>
      <c r="N730" s="10" t="inlineStr">
        <is>
          <t>否</t>
        </is>
      </c>
      <c r="O730" s="10" t="inlineStr">
        <is>
          <t>supplier0726@example.com</t>
        </is>
      </c>
      <c r="P730" s="10" t="inlineStr">
        <is>
          <t>https://example.com/supplier/0726</t>
        </is>
      </c>
      <c r="Q730" s="10">
        <f>IF(R730&gt;=85,"A",IF(R730&gt;=70,"B","C"))</f>
        <v/>
      </c>
      <c r="R730" s="13">
        <f>MIN(100,50+IF(M730="是",10,0)+IF(N730="是",10,0)+IF(L730&lt;=100,10,IF(L730&lt;=300,5,0))+IF(J730&lt;=20,10,IF(J730&lt;=50,5,0))+IF(K730-J730&lt;=20,5,0)+IF(F730="企业官网",5,0))</f>
        <v/>
      </c>
      <c r="S730" s="10">
        <f>IF(Q730="A","价格与起订量有优势，建议优先询盘",IF(Q730="B","条件较均衡，可作为备选","起订量或价格需要进一步确认"))</f>
        <v/>
      </c>
      <c r="T730" s="10" t="inlineStr">
        <is>
          <t>未联系</t>
        </is>
      </c>
      <c r="U730" s="10" t="inlineStr">
        <is>
          <t>虚构演示数据</t>
        </is>
      </c>
    </row>
    <row r="731" ht="21" customHeight="1">
      <c r="A731" s="10" t="inlineStr">
        <is>
          <t>GYS-0727</t>
        </is>
      </c>
      <c r="B731" s="10" t="inlineStr">
        <is>
          <t>东莞母婴用品供应链0727有限公司（演示）</t>
        </is>
      </c>
      <c r="C731" s="10" t="inlineStr">
        <is>
          <t>母婴用品</t>
        </is>
      </c>
      <c r="D731" s="10" t="inlineStr">
        <is>
          <t>婴儿防撞条</t>
        </is>
      </c>
      <c r="E731" s="10" t="inlineStr">
        <is>
          <t>广东东莞</t>
        </is>
      </c>
      <c r="F731" s="10" t="inlineStr">
        <is>
          <t>义乌购</t>
        </is>
      </c>
      <c r="G731" s="10" t="inlineStr">
        <is>
          <t>赵经理</t>
        </is>
      </c>
      <c r="H731" s="10" t="inlineStr">
        <is>
          <t>000-0000-0727</t>
        </is>
      </c>
      <c r="I731" s="10" t="inlineStr">
        <is>
          <t>DEMO_GYS_0727</t>
        </is>
      </c>
      <c r="J731" s="11" t="n">
        <v>42.7</v>
      </c>
      <c r="K731" s="11" t="n">
        <v>54.4</v>
      </c>
      <c r="L731" s="12" t="n">
        <v>500</v>
      </c>
      <c r="M731" s="10" t="inlineStr">
        <is>
          <t>是</t>
        </is>
      </c>
      <c r="N731" s="10" t="inlineStr">
        <is>
          <t>是</t>
        </is>
      </c>
      <c r="O731" s="10" t="inlineStr">
        <is>
          <t>supplier0727@example.com</t>
        </is>
      </c>
      <c r="P731" s="10" t="inlineStr">
        <is>
          <t>https://example.com/supplier/0727</t>
        </is>
      </c>
      <c r="Q731" s="10">
        <f>IF(R731&gt;=85,"A",IF(R731&gt;=70,"B","C"))</f>
        <v/>
      </c>
      <c r="R731" s="13">
        <f>MIN(100,50+IF(M731="是",10,0)+IF(N731="是",10,0)+IF(L731&lt;=100,10,IF(L731&lt;=300,5,0))+IF(J731&lt;=20,10,IF(J731&lt;=50,5,0))+IF(K731-J731&lt;=20,5,0)+IF(F731="企业官网",5,0))</f>
        <v/>
      </c>
      <c r="S731" s="10">
        <f>IF(Q731="A","价格与起订量有优势，建议优先询盘",IF(Q731="B","条件较均衡，可作为备选","起订量或价格需要进一步确认"))</f>
        <v/>
      </c>
      <c r="T731" s="10" t="inlineStr">
        <is>
          <t>未联系</t>
        </is>
      </c>
      <c r="U731" s="10" t="inlineStr">
        <is>
          <t>虚构演示数据</t>
        </is>
      </c>
    </row>
    <row r="732" ht="21" customHeight="1">
      <c r="A732" s="10" t="inlineStr">
        <is>
          <t>GYS-0728</t>
        </is>
      </c>
      <c r="B732" s="10" t="inlineStr">
        <is>
          <t>厦门运动户外供应链0728有限公司（演示）</t>
        </is>
      </c>
      <c r="C732" s="10" t="inlineStr">
        <is>
          <t>运动户外</t>
        </is>
      </c>
      <c r="D732" s="10" t="inlineStr">
        <is>
          <t>弹力训练带</t>
        </is>
      </c>
      <c r="E732" s="10" t="inlineStr">
        <is>
          <t>福建厦门</t>
        </is>
      </c>
      <c r="F732" s="10" t="inlineStr">
        <is>
          <t>慧聪网</t>
        </is>
      </c>
      <c r="G732" s="10" t="inlineStr">
        <is>
          <t>周经理</t>
        </is>
      </c>
      <c r="H732" s="10" t="inlineStr">
        <is>
          <t>000-0000-0728</t>
        </is>
      </c>
      <c r="I732" s="10" t="inlineStr">
        <is>
          <t>DEMO_GYS_0728</t>
        </is>
      </c>
      <c r="J732" s="11" t="n">
        <v>44.4</v>
      </c>
      <c r="K732" s="11" t="n">
        <v>57.2</v>
      </c>
      <c r="L732" s="12" t="n">
        <v>300</v>
      </c>
      <c r="M732" s="10" t="inlineStr">
        <is>
          <t>否</t>
        </is>
      </c>
      <c r="N732" s="10" t="inlineStr">
        <is>
          <t>是</t>
        </is>
      </c>
      <c r="O732" s="10" t="inlineStr">
        <is>
          <t>supplier0728@example.com</t>
        </is>
      </c>
      <c r="P732" s="10" t="inlineStr">
        <is>
          <t>https://example.com/supplier/0728</t>
        </is>
      </c>
      <c r="Q732" s="10">
        <f>IF(R732&gt;=85,"A",IF(R732&gt;=70,"B","C"))</f>
        <v/>
      </c>
      <c r="R732" s="13">
        <f>MIN(100,50+IF(M732="是",10,0)+IF(N732="是",10,0)+IF(L732&lt;=100,10,IF(L732&lt;=300,5,0))+IF(J732&lt;=20,10,IF(J732&lt;=50,5,0))+IF(K732-J732&lt;=20,5,0)+IF(F732="企业官网",5,0))</f>
        <v/>
      </c>
      <c r="S732" s="10">
        <f>IF(Q732="A","价格与起订量有优势，建议优先询盘",IF(Q732="B","条件较均衡，可作为备选","起订量或价格需要进一步确认"))</f>
        <v/>
      </c>
      <c r="T732" s="10" t="inlineStr">
        <is>
          <t>未联系</t>
        </is>
      </c>
      <c r="U732" s="10" t="inlineStr">
        <is>
          <t>虚构演示数据</t>
        </is>
      </c>
    </row>
    <row r="733" ht="21" customHeight="1">
      <c r="A733" s="10" t="inlineStr">
        <is>
          <t>GYS-0729</t>
        </is>
      </c>
      <c r="B733" s="10" t="inlineStr">
        <is>
          <t>临沂办公文具供应链0729有限公司（演示）</t>
        </is>
      </c>
      <c r="C733" s="10" t="inlineStr">
        <is>
          <t>办公文具</t>
        </is>
      </c>
      <c r="D733" s="10" t="inlineStr">
        <is>
          <t>桌面收纳架</t>
        </is>
      </c>
      <c r="E733" s="10" t="inlineStr">
        <is>
          <t>山东临沂</t>
        </is>
      </c>
      <c r="F733" s="10" t="inlineStr">
        <is>
          <t>1688</t>
        </is>
      </c>
      <c r="G733" s="10" t="inlineStr">
        <is>
          <t>吴经理</t>
        </is>
      </c>
      <c r="H733" s="10" t="inlineStr">
        <is>
          <t>000-0000-0729</t>
        </is>
      </c>
      <c r="I733" s="10" t="inlineStr">
        <is>
          <t>DEMO_GYS_0729</t>
        </is>
      </c>
      <c r="J733" s="11" t="n">
        <v>46.1</v>
      </c>
      <c r="K733" s="11" t="n">
        <v>60</v>
      </c>
      <c r="L733" s="12" t="n">
        <v>200</v>
      </c>
      <c r="M733" s="10" t="inlineStr">
        <is>
          <t>是</t>
        </is>
      </c>
      <c r="N733" s="10" t="inlineStr">
        <is>
          <t>否</t>
        </is>
      </c>
      <c r="O733" s="10" t="inlineStr">
        <is>
          <t>supplier0729@example.com</t>
        </is>
      </c>
      <c r="P733" s="10" t="inlineStr">
        <is>
          <t>https://example.com/supplier/0729</t>
        </is>
      </c>
      <c r="Q733" s="10">
        <f>IF(R733&gt;=85,"A",IF(R733&gt;=70,"B","C"))</f>
        <v/>
      </c>
      <c r="R733" s="13">
        <f>MIN(100,50+IF(M733="是",10,0)+IF(N733="是",10,0)+IF(L733&lt;=100,10,IF(L733&lt;=300,5,0))+IF(J733&lt;=20,10,IF(J733&lt;=50,5,0))+IF(K733-J733&lt;=20,5,0)+IF(F733="企业官网",5,0))</f>
        <v/>
      </c>
      <c r="S733" s="10">
        <f>IF(Q733="A","价格与起订量有优势，建议优先询盘",IF(Q733="B","条件较均衡，可作为备选","起订量或价格需要进一步确认"))</f>
        <v/>
      </c>
      <c r="T733" s="10" t="inlineStr">
        <is>
          <t>未联系</t>
        </is>
      </c>
      <c r="U733" s="10" t="inlineStr">
        <is>
          <t>虚构演示数据</t>
        </is>
      </c>
    </row>
    <row r="734" ht="21" customHeight="1">
      <c r="A734" s="10" t="inlineStr">
        <is>
          <t>GYS-0730</t>
        </is>
      </c>
      <c r="B734" s="10" t="inlineStr">
        <is>
          <t>南昌汽车用品供应链0730有限公司（演示）</t>
        </is>
      </c>
      <c r="C734" s="10" t="inlineStr">
        <is>
          <t>汽车用品</t>
        </is>
      </c>
      <c r="D734" s="10" t="inlineStr">
        <is>
          <t>车载香薰</t>
        </is>
      </c>
      <c r="E734" s="10" t="inlineStr">
        <is>
          <t>江西南昌</t>
        </is>
      </c>
      <c r="F734" s="10" t="inlineStr">
        <is>
          <t>中国制造网</t>
        </is>
      </c>
      <c r="G734" s="10" t="inlineStr">
        <is>
          <t>陈经理</t>
        </is>
      </c>
      <c r="H734" s="10" t="inlineStr">
        <is>
          <t>000-0000-0730</t>
        </is>
      </c>
      <c r="I734" s="10" t="inlineStr">
        <is>
          <t>DEMO_GYS_0730</t>
        </is>
      </c>
      <c r="J734" s="11" t="n">
        <v>47.8</v>
      </c>
      <c r="K734" s="11" t="n">
        <v>62.8</v>
      </c>
      <c r="L734" s="12" t="n">
        <v>100</v>
      </c>
      <c r="M734" s="10" t="inlineStr">
        <is>
          <t>是</t>
        </is>
      </c>
      <c r="N734" s="10" t="inlineStr">
        <is>
          <t>是</t>
        </is>
      </c>
      <c r="O734" s="10" t="inlineStr">
        <is>
          <t>supplier0730@example.com</t>
        </is>
      </c>
      <c r="P734" s="10" t="inlineStr">
        <is>
          <t>https://example.com/supplier/0730</t>
        </is>
      </c>
      <c r="Q734" s="10">
        <f>IF(R734&gt;=85,"A",IF(R734&gt;=70,"B","C"))</f>
        <v/>
      </c>
      <c r="R734" s="13">
        <f>MIN(100,50+IF(M734="是",10,0)+IF(N734="是",10,0)+IF(L734&lt;=100,10,IF(L734&lt;=300,5,0))+IF(J734&lt;=20,10,IF(J734&lt;=50,5,0))+IF(K734-J734&lt;=20,5,0)+IF(F734="企业官网",5,0))</f>
        <v/>
      </c>
      <c r="S734" s="10">
        <f>IF(Q734="A","价格与起订量有优势，建议优先询盘",IF(Q734="B","条件较均衡，可作为备选","起订量或价格需要进一步确认"))</f>
        <v/>
      </c>
      <c r="T734" s="10" t="inlineStr">
        <is>
          <t>未联系</t>
        </is>
      </c>
      <c r="U734" s="10" t="inlineStr">
        <is>
          <t>虚构演示数据</t>
        </is>
      </c>
    </row>
    <row r="735" ht="21" customHeight="1">
      <c r="A735" s="10" t="inlineStr">
        <is>
          <t>GYS-0731</t>
        </is>
      </c>
      <c r="B735" s="10" t="inlineStr">
        <is>
          <t>温州美容工具供应链0731有限公司（演示）</t>
        </is>
      </c>
      <c r="C735" s="10" t="inlineStr">
        <is>
          <t>美容工具</t>
        </is>
      </c>
      <c r="D735" s="10" t="inlineStr">
        <is>
          <t>便携化妆镜</t>
        </is>
      </c>
      <c r="E735" s="10" t="inlineStr">
        <is>
          <t>浙江温州</t>
        </is>
      </c>
      <c r="F735" s="10" t="inlineStr">
        <is>
          <t>企业官网</t>
        </is>
      </c>
      <c r="G735" s="10" t="inlineStr">
        <is>
          <t>林经理</t>
        </is>
      </c>
      <c r="H735" s="10" t="inlineStr">
        <is>
          <t>000-0000-0731</t>
        </is>
      </c>
      <c r="I735" s="10" t="inlineStr">
        <is>
          <t>DEMO_GYS_0731</t>
        </is>
      </c>
      <c r="J735" s="11" t="n">
        <v>3.5</v>
      </c>
      <c r="K735" s="11" t="n">
        <v>19.6</v>
      </c>
      <c r="L735" s="12" t="n">
        <v>50</v>
      </c>
      <c r="M735" s="10" t="inlineStr">
        <is>
          <t>是</t>
        </is>
      </c>
      <c r="N735" s="10" t="inlineStr">
        <is>
          <t>是</t>
        </is>
      </c>
      <c r="O735" s="10" t="inlineStr">
        <is>
          <t>supplier0731@example.com</t>
        </is>
      </c>
      <c r="P735" s="10" t="inlineStr">
        <is>
          <t>https://example.com/supplier/0731</t>
        </is>
      </c>
      <c r="Q735" s="10">
        <f>IF(R735&gt;=85,"A",IF(R735&gt;=70,"B","C"))</f>
        <v/>
      </c>
      <c r="R735" s="13">
        <f>MIN(100,50+IF(M735="是",10,0)+IF(N735="是",10,0)+IF(L735&lt;=100,10,IF(L735&lt;=300,5,0))+IF(J735&lt;=20,10,IF(J735&lt;=50,5,0))+IF(K735-J735&lt;=20,5,0)+IF(F735="企业官网",5,0))</f>
        <v/>
      </c>
      <c r="S735" s="10">
        <f>IF(Q735="A","价格与起订量有优势，建议优先询盘",IF(Q735="B","条件较均衡，可作为备选","起订量或价格需要进一步确认"))</f>
        <v/>
      </c>
      <c r="T735" s="10" t="inlineStr">
        <is>
          <t>未联系</t>
        </is>
      </c>
      <c r="U735" s="10" t="inlineStr">
        <is>
          <t>虚构演示数据</t>
        </is>
      </c>
    </row>
    <row r="736" ht="21" customHeight="1">
      <c r="A736" s="10" t="inlineStr">
        <is>
          <t>GYS-0732</t>
        </is>
      </c>
      <c r="B736" s="10" t="inlineStr">
        <is>
          <t>广州旅行用品供应链0732有限公司（演示）</t>
        </is>
      </c>
      <c r="C736" s="10" t="inlineStr">
        <is>
          <t>旅行用品</t>
        </is>
      </c>
      <c r="D736" s="10" t="inlineStr">
        <is>
          <t>压缩收纳袋</t>
        </is>
      </c>
      <c r="E736" s="10" t="inlineStr">
        <is>
          <t>广东广州</t>
        </is>
      </c>
      <c r="F736" s="10" t="inlineStr">
        <is>
          <t>义乌购</t>
        </is>
      </c>
      <c r="G736" s="10" t="inlineStr">
        <is>
          <t>王经理</t>
        </is>
      </c>
      <c r="H736" s="10" t="inlineStr">
        <is>
          <t>000-0000-0732</t>
        </is>
      </c>
      <c r="I736" s="10" t="inlineStr">
        <is>
          <t>DEMO_GYS_0732</t>
        </is>
      </c>
      <c r="J736" s="11" t="n">
        <v>5.2</v>
      </c>
      <c r="K736" s="11" t="n">
        <v>22.4</v>
      </c>
      <c r="L736" s="12" t="n">
        <v>20</v>
      </c>
      <c r="M736" s="10" t="inlineStr">
        <is>
          <t>否</t>
        </is>
      </c>
      <c r="N736" s="10" t="inlineStr">
        <is>
          <t>否</t>
        </is>
      </c>
      <c r="O736" s="10" t="inlineStr">
        <is>
          <t>supplier0732@example.com</t>
        </is>
      </c>
      <c r="P736" s="10" t="inlineStr">
        <is>
          <t>https://example.com/supplier/0732</t>
        </is>
      </c>
      <c r="Q736" s="10">
        <f>IF(R736&gt;=85,"A",IF(R736&gt;=70,"B","C"))</f>
        <v/>
      </c>
      <c r="R736" s="13">
        <f>MIN(100,50+IF(M736="是",10,0)+IF(N736="是",10,0)+IF(L736&lt;=100,10,IF(L736&lt;=300,5,0))+IF(J736&lt;=20,10,IF(J736&lt;=50,5,0))+IF(K736-J736&lt;=20,5,0)+IF(F736="企业官网",5,0))</f>
        <v/>
      </c>
      <c r="S736" s="10">
        <f>IF(Q736="A","价格与起订量有优势，建议优先询盘",IF(Q736="B","条件较均衡，可作为备选","起订量或价格需要进一步确认"))</f>
        <v/>
      </c>
      <c r="T736" s="10" t="inlineStr">
        <is>
          <t>未联系</t>
        </is>
      </c>
      <c r="U736" s="10" t="inlineStr">
        <is>
          <t>虚构演示数据</t>
        </is>
      </c>
    </row>
    <row r="737" ht="21" customHeight="1">
      <c r="A737" s="10" t="inlineStr">
        <is>
          <t>GYS-0733</t>
        </is>
      </c>
      <c r="B737" s="10" t="inlineStr">
        <is>
          <t>泉州清洁工具供应链0733有限公司（演示）</t>
        </is>
      </c>
      <c r="C737" s="10" t="inlineStr">
        <is>
          <t>清洁工具</t>
        </is>
      </c>
      <c r="D737" s="10" t="inlineStr">
        <is>
          <t>免手洗拖把</t>
        </is>
      </c>
      <c r="E737" s="10" t="inlineStr">
        <is>
          <t>福建泉州</t>
        </is>
      </c>
      <c r="F737" s="10" t="inlineStr">
        <is>
          <t>慧聪网</t>
        </is>
      </c>
      <c r="G737" s="10" t="inlineStr">
        <is>
          <t>李经理</t>
        </is>
      </c>
      <c r="H737" s="10" t="inlineStr">
        <is>
          <t>000-0000-0733</t>
        </is>
      </c>
      <c r="I737" s="10" t="inlineStr">
        <is>
          <t>DEMO_GYS_0733</t>
        </is>
      </c>
      <c r="J737" s="11" t="n">
        <v>6.9</v>
      </c>
      <c r="K737" s="11" t="n">
        <v>25.2</v>
      </c>
      <c r="L737" s="12" t="n">
        <v>500</v>
      </c>
      <c r="M737" s="10" t="inlineStr">
        <is>
          <t>是</t>
        </is>
      </c>
      <c r="N737" s="10" t="inlineStr">
        <is>
          <t>是</t>
        </is>
      </c>
      <c r="O737" s="10" t="inlineStr">
        <is>
          <t>supplier0733@example.com</t>
        </is>
      </c>
      <c r="P737" s="10" t="inlineStr">
        <is>
          <t>https://example.com/supplier/0733</t>
        </is>
      </c>
      <c r="Q737" s="10">
        <f>IF(R737&gt;=85,"A",IF(R737&gt;=70,"B","C"))</f>
        <v/>
      </c>
      <c r="R737" s="13">
        <f>MIN(100,50+IF(M737="是",10,0)+IF(N737="是",10,0)+IF(L737&lt;=100,10,IF(L737&lt;=300,5,0))+IF(J737&lt;=20,10,IF(J737&lt;=50,5,0))+IF(K737-J737&lt;=20,5,0)+IF(F737="企业官网",5,0))</f>
        <v/>
      </c>
      <c r="S737" s="10">
        <f>IF(Q737="A","价格与起订量有优势，建议优先询盘",IF(Q737="B","条件较均衡，可作为备选","起订量或价格需要进一步确认"))</f>
        <v/>
      </c>
      <c r="T737" s="10" t="inlineStr">
        <is>
          <t>未联系</t>
        </is>
      </c>
      <c r="U737" s="10" t="inlineStr">
        <is>
          <t>虚构演示数据</t>
        </is>
      </c>
    </row>
    <row r="738" ht="21" customHeight="1">
      <c r="A738" s="10" t="inlineStr">
        <is>
          <t>GYS-0734</t>
        </is>
      </c>
      <c r="B738" s="10" t="inlineStr">
        <is>
          <t>南通小家电供应链0734有限公司（演示）</t>
        </is>
      </c>
      <c r="C738" s="10" t="inlineStr">
        <is>
          <t>小家电</t>
        </is>
      </c>
      <c r="D738" s="10" t="inlineStr">
        <is>
          <t>迷你加湿器</t>
        </is>
      </c>
      <c r="E738" s="10" t="inlineStr">
        <is>
          <t>江苏南通</t>
        </is>
      </c>
      <c r="F738" s="10" t="inlineStr">
        <is>
          <t>1688</t>
        </is>
      </c>
      <c r="G738" s="10" t="inlineStr">
        <is>
          <t>张经理</t>
        </is>
      </c>
      <c r="H738" s="10" t="inlineStr">
        <is>
          <t>000-0000-0734</t>
        </is>
      </c>
      <c r="I738" s="10" t="inlineStr">
        <is>
          <t>DEMO_GYS_0734</t>
        </is>
      </c>
      <c r="J738" s="11" t="n">
        <v>8.6</v>
      </c>
      <c r="K738" s="11" t="n">
        <v>28</v>
      </c>
      <c r="L738" s="12" t="n">
        <v>300</v>
      </c>
      <c r="M738" s="10" t="inlineStr">
        <is>
          <t>是</t>
        </is>
      </c>
      <c r="N738" s="10" t="inlineStr">
        <is>
          <t>是</t>
        </is>
      </c>
      <c r="O738" s="10" t="inlineStr">
        <is>
          <t>supplier0734@example.com</t>
        </is>
      </c>
      <c r="P738" s="10" t="inlineStr">
        <is>
          <t>https://example.com/supplier/0734</t>
        </is>
      </c>
      <c r="Q738" s="10">
        <f>IF(R738&gt;=85,"A",IF(R738&gt;=70,"B","C"))</f>
        <v/>
      </c>
      <c r="R738" s="13">
        <f>MIN(100,50+IF(M738="是",10,0)+IF(N738="是",10,0)+IF(L738&lt;=100,10,IF(L738&lt;=300,5,0))+IF(J738&lt;=20,10,IF(J738&lt;=50,5,0))+IF(K738-J738&lt;=20,5,0)+IF(F738="企业官网",5,0))</f>
        <v/>
      </c>
      <c r="S738" s="10">
        <f>IF(Q738="A","价格与起订量有优势，建议优先询盘",IF(Q738="B","条件较均衡，可作为备选","起订量或价格需要进一步确认"))</f>
        <v/>
      </c>
      <c r="T738" s="10" t="inlineStr">
        <is>
          <t>未联系</t>
        </is>
      </c>
      <c r="U738" s="10" t="inlineStr">
        <is>
          <t>虚构演示数据</t>
        </is>
      </c>
    </row>
    <row r="739" ht="21" customHeight="1">
      <c r="A739" s="10" t="inlineStr">
        <is>
          <t>GYS-0735</t>
        </is>
      </c>
      <c r="B739" s="10" t="inlineStr">
        <is>
          <t>郑州礼品包装供应链0735有限公司（演示）</t>
        </is>
      </c>
      <c r="C739" s="10" t="inlineStr">
        <is>
          <t>礼品包装</t>
        </is>
      </c>
      <c r="D739" s="10" t="inlineStr">
        <is>
          <t>节日礼盒</t>
        </is>
      </c>
      <c r="E739" s="10" t="inlineStr">
        <is>
          <t>河南郑州</t>
        </is>
      </c>
      <c r="F739" s="10" t="inlineStr">
        <is>
          <t>中国制造网</t>
        </is>
      </c>
      <c r="G739" s="10" t="inlineStr">
        <is>
          <t>刘经理</t>
        </is>
      </c>
      <c r="H739" s="10" t="inlineStr">
        <is>
          <t>000-0000-0735</t>
        </is>
      </c>
      <c r="I739" s="10" t="inlineStr">
        <is>
          <t>DEMO_GYS_0735</t>
        </is>
      </c>
      <c r="J739" s="11" t="n">
        <v>10.3</v>
      </c>
      <c r="K739" s="11" t="n">
        <v>30.8</v>
      </c>
      <c r="L739" s="12" t="n">
        <v>200</v>
      </c>
      <c r="M739" s="10" t="inlineStr">
        <is>
          <t>是</t>
        </is>
      </c>
      <c r="N739" s="10" t="inlineStr">
        <is>
          <t>否</t>
        </is>
      </c>
      <c r="O739" s="10" t="inlineStr">
        <is>
          <t>supplier0735@example.com</t>
        </is>
      </c>
      <c r="P739" s="10" t="inlineStr">
        <is>
          <t>https://example.com/supplier/0735</t>
        </is>
      </c>
      <c r="Q739" s="10">
        <f>IF(R739&gt;=85,"A",IF(R739&gt;=70,"B","C"))</f>
        <v/>
      </c>
      <c r="R739" s="13">
        <f>MIN(100,50+IF(M739="是",10,0)+IF(N739="是",10,0)+IF(L739&lt;=100,10,IF(L739&lt;=300,5,0))+IF(J739&lt;=20,10,IF(J739&lt;=50,5,0))+IF(K739-J739&lt;=20,5,0)+IF(F739="企业官网",5,0))</f>
        <v/>
      </c>
      <c r="S739" s="10">
        <f>IF(Q739="A","价格与起订量有优势，建议优先询盘",IF(Q739="B","条件较均衡，可作为备选","起订量或价格需要进一步确认"))</f>
        <v/>
      </c>
      <c r="T739" s="10" t="inlineStr">
        <is>
          <t>未联系</t>
        </is>
      </c>
      <c r="U739" s="10" t="inlineStr">
        <is>
          <t>虚构演示数据</t>
        </is>
      </c>
    </row>
    <row r="740" ht="21" customHeight="1">
      <c r="A740" s="10" t="inlineStr">
        <is>
          <t>GYS-0736</t>
        </is>
      </c>
      <c r="B740" s="10" t="inlineStr">
        <is>
          <t>宁波五金工具供应链0736有限公司（演示）</t>
        </is>
      </c>
      <c r="C740" s="10" t="inlineStr">
        <is>
          <t>五金工具</t>
        </is>
      </c>
      <c r="D740" s="10" t="inlineStr">
        <is>
          <t>多功能螺丝刀</t>
        </is>
      </c>
      <c r="E740" s="10" t="inlineStr">
        <is>
          <t>浙江宁波</t>
        </is>
      </c>
      <c r="F740" s="10" t="inlineStr">
        <is>
          <t>企业官网</t>
        </is>
      </c>
      <c r="G740" s="10" t="inlineStr">
        <is>
          <t>黄经理</t>
        </is>
      </c>
      <c r="H740" s="10" t="inlineStr">
        <is>
          <t>000-0000-0736</t>
        </is>
      </c>
      <c r="I740" s="10" t="inlineStr">
        <is>
          <t>DEMO_GYS_0736</t>
        </is>
      </c>
      <c r="J740" s="11" t="n">
        <v>12</v>
      </c>
      <c r="K740" s="11" t="n">
        <v>33.6</v>
      </c>
      <c r="L740" s="12" t="n">
        <v>100</v>
      </c>
      <c r="M740" s="10" t="inlineStr">
        <is>
          <t>否</t>
        </is>
      </c>
      <c r="N740" s="10" t="inlineStr">
        <is>
          <t>是</t>
        </is>
      </c>
      <c r="O740" s="10" t="inlineStr">
        <is>
          <t>supplier0736@example.com</t>
        </is>
      </c>
      <c r="P740" s="10" t="inlineStr">
        <is>
          <t>https://example.com/supplier/0736</t>
        </is>
      </c>
      <c r="Q740" s="10">
        <f>IF(R740&gt;=85,"A",IF(R740&gt;=70,"B","C"))</f>
        <v/>
      </c>
      <c r="R740" s="13">
        <f>MIN(100,50+IF(M740="是",10,0)+IF(N740="是",10,0)+IF(L740&lt;=100,10,IF(L740&lt;=300,5,0))+IF(J740&lt;=20,10,IF(J740&lt;=50,5,0))+IF(K740-J740&lt;=20,5,0)+IF(F740="企业官网",5,0))</f>
        <v/>
      </c>
      <c r="S740" s="10">
        <f>IF(Q740="A","价格与起订量有优势，建议优先询盘",IF(Q740="B","条件较均衡，可作为备选","起订量或价格需要进一步确认"))</f>
        <v/>
      </c>
      <c r="T740" s="10" t="inlineStr">
        <is>
          <t>未联系</t>
        </is>
      </c>
      <c r="U740" s="10" t="inlineStr">
        <is>
          <t>虚构演示数据</t>
        </is>
      </c>
    </row>
    <row r="741" ht="21" customHeight="1">
      <c r="A741" s="10" t="inlineStr">
        <is>
          <t>GYS-0737</t>
        </is>
      </c>
      <c r="B741" s="10" t="inlineStr">
        <is>
          <t>深圳鞋靴配件供应链0737有限公司（演示）</t>
        </is>
      </c>
      <c r="C741" s="10" t="inlineStr">
        <is>
          <t>鞋靴配件</t>
        </is>
      </c>
      <c r="D741" s="10" t="inlineStr">
        <is>
          <t>防磨脚贴</t>
        </is>
      </c>
      <c r="E741" s="10" t="inlineStr">
        <is>
          <t>广东深圳</t>
        </is>
      </c>
      <c r="F741" s="10" t="inlineStr">
        <is>
          <t>义乌购</t>
        </is>
      </c>
      <c r="G741" s="10" t="inlineStr">
        <is>
          <t>赵经理</t>
        </is>
      </c>
      <c r="H741" s="10" t="inlineStr">
        <is>
          <t>000-0000-0737</t>
        </is>
      </c>
      <c r="I741" s="10" t="inlineStr">
        <is>
          <t>DEMO_GYS_0737</t>
        </is>
      </c>
      <c r="J741" s="11" t="n">
        <v>13.7</v>
      </c>
      <c r="K741" s="11" t="n">
        <v>18.4</v>
      </c>
      <c r="L741" s="12" t="n">
        <v>50</v>
      </c>
      <c r="M741" s="10" t="inlineStr">
        <is>
          <t>是</t>
        </is>
      </c>
      <c r="N741" s="10" t="inlineStr">
        <is>
          <t>是</t>
        </is>
      </c>
      <c r="O741" s="10" t="inlineStr">
        <is>
          <t>supplier0737@example.com</t>
        </is>
      </c>
      <c r="P741" s="10" t="inlineStr">
        <is>
          <t>https://example.com/supplier/0737</t>
        </is>
      </c>
      <c r="Q741" s="10">
        <f>IF(R741&gt;=85,"A",IF(R741&gt;=70,"B","C"))</f>
        <v/>
      </c>
      <c r="R741" s="13">
        <f>MIN(100,50+IF(M741="是",10,0)+IF(N741="是",10,0)+IF(L741&lt;=100,10,IF(L741&lt;=300,5,0))+IF(J741&lt;=20,10,IF(J741&lt;=50,5,0))+IF(K741-J741&lt;=20,5,0)+IF(F741="企业官网",5,0))</f>
        <v/>
      </c>
      <c r="S741" s="10">
        <f>IF(Q741="A","价格与起订量有优势，建议优先询盘",IF(Q741="B","条件较均衡，可作为备选","起订量或价格需要进一步确认"))</f>
        <v/>
      </c>
      <c r="T741" s="10" t="inlineStr">
        <is>
          <t>未联系</t>
        </is>
      </c>
      <c r="U741" s="10" t="inlineStr">
        <is>
          <t>虚构演示数据</t>
        </is>
      </c>
    </row>
    <row r="742" ht="21" customHeight="1">
      <c r="A742" s="10" t="inlineStr">
        <is>
          <t>GYS-0738</t>
        </is>
      </c>
      <c r="B742" s="10" t="inlineStr">
        <is>
          <t>佛山食品包装供应链0738有限公司（演示）</t>
        </is>
      </c>
      <c r="C742" s="10" t="inlineStr">
        <is>
          <t>食品包装</t>
        </is>
      </c>
      <c r="D742" s="10" t="inlineStr">
        <is>
          <t>密封包装袋</t>
        </is>
      </c>
      <c r="E742" s="10" t="inlineStr">
        <is>
          <t>广东佛山</t>
        </is>
      </c>
      <c r="F742" s="10" t="inlineStr">
        <is>
          <t>慧聪网</t>
        </is>
      </c>
      <c r="G742" s="10" t="inlineStr">
        <is>
          <t>周经理</t>
        </is>
      </c>
      <c r="H742" s="10" t="inlineStr">
        <is>
          <t>000-0000-0738</t>
        </is>
      </c>
      <c r="I742" s="10" t="inlineStr">
        <is>
          <t>DEMO_GYS_0738</t>
        </is>
      </c>
      <c r="J742" s="11" t="n">
        <v>15.4</v>
      </c>
      <c r="K742" s="11" t="n">
        <v>21.2</v>
      </c>
      <c r="L742" s="12" t="n">
        <v>20</v>
      </c>
      <c r="M742" s="10" t="inlineStr">
        <is>
          <t>是</t>
        </is>
      </c>
      <c r="N742" s="10" t="inlineStr">
        <is>
          <t>否</t>
        </is>
      </c>
      <c r="O742" s="10" t="inlineStr">
        <is>
          <t>supplier0738@example.com</t>
        </is>
      </c>
      <c r="P742" s="10" t="inlineStr">
        <is>
          <t>https://example.com/supplier/0738</t>
        </is>
      </c>
      <c r="Q742" s="10">
        <f>IF(R742&gt;=85,"A",IF(R742&gt;=70,"B","C"))</f>
        <v/>
      </c>
      <c r="R742" s="13">
        <f>MIN(100,50+IF(M742="是",10,0)+IF(N742="是",10,0)+IF(L742&lt;=100,10,IF(L742&lt;=300,5,0))+IF(J742&lt;=20,10,IF(J742&lt;=50,5,0))+IF(K742-J742&lt;=20,5,0)+IF(F742="企业官网",5,0))</f>
        <v/>
      </c>
      <c r="S742" s="10">
        <f>IF(Q742="A","价格与起订量有优势，建议优先询盘",IF(Q742="B","条件较均衡，可作为备选","起订量或价格需要进一步确认"))</f>
        <v/>
      </c>
      <c r="T742" s="10" t="inlineStr">
        <is>
          <t>未联系</t>
        </is>
      </c>
      <c r="U742" s="10" t="inlineStr">
        <is>
          <t>虚构演示数据</t>
        </is>
      </c>
    </row>
    <row r="743" ht="21" customHeight="1">
      <c r="A743" s="10" t="inlineStr">
        <is>
          <t>GYS-0739</t>
        </is>
      </c>
      <c r="B743" s="10" t="inlineStr">
        <is>
          <t>苏州户外照明供应链0739有限公司（演示）</t>
        </is>
      </c>
      <c r="C743" s="10" t="inlineStr">
        <is>
          <t>户外照明</t>
        </is>
      </c>
      <c r="D743" s="10" t="inlineStr">
        <is>
          <t>便携露营灯</t>
        </is>
      </c>
      <c r="E743" s="10" t="inlineStr">
        <is>
          <t>江苏苏州</t>
        </is>
      </c>
      <c r="F743" s="10" t="inlineStr">
        <is>
          <t>1688</t>
        </is>
      </c>
      <c r="G743" s="10" t="inlineStr">
        <is>
          <t>吴经理</t>
        </is>
      </c>
      <c r="H743" s="10" t="inlineStr">
        <is>
          <t>000-0000-0739</t>
        </is>
      </c>
      <c r="I743" s="10" t="inlineStr">
        <is>
          <t>DEMO_GYS_0739</t>
        </is>
      </c>
      <c r="J743" s="11" t="n">
        <v>17.1</v>
      </c>
      <c r="K743" s="11" t="n">
        <v>24</v>
      </c>
      <c r="L743" s="12" t="n">
        <v>500</v>
      </c>
      <c r="M743" s="10" t="inlineStr">
        <is>
          <t>是</t>
        </is>
      </c>
      <c r="N743" s="10" t="inlineStr">
        <is>
          <t>是</t>
        </is>
      </c>
      <c r="O743" s="10" t="inlineStr">
        <is>
          <t>supplier0739@example.com</t>
        </is>
      </c>
      <c r="P743" s="10" t="inlineStr">
        <is>
          <t>https://example.com/supplier/0739</t>
        </is>
      </c>
      <c r="Q743" s="10">
        <f>IF(R743&gt;=85,"A",IF(R743&gt;=70,"B","C"))</f>
        <v/>
      </c>
      <c r="R743" s="13">
        <f>MIN(100,50+IF(M743="是",10,0)+IF(N743="是",10,0)+IF(L743&lt;=100,10,IF(L743&lt;=300,5,0))+IF(J743&lt;=20,10,IF(J743&lt;=50,5,0))+IF(K743-J743&lt;=20,5,0)+IF(F743="企业官网",5,0))</f>
        <v/>
      </c>
      <c r="S743" s="10">
        <f>IF(Q743="A","价格与起订量有优势，建议优先询盘",IF(Q743="B","条件较均衡，可作为备选","起订量或价格需要进一步确认"))</f>
        <v/>
      </c>
      <c r="T743" s="10" t="inlineStr">
        <is>
          <t>未联系</t>
        </is>
      </c>
      <c r="U743" s="10" t="inlineStr">
        <is>
          <t>虚构演示数据</t>
        </is>
      </c>
    </row>
    <row r="744" ht="21" customHeight="1">
      <c r="A744" s="10" t="inlineStr">
        <is>
          <t>GYS-0740</t>
        </is>
      </c>
      <c r="B744" s="10" t="inlineStr">
        <is>
          <t>白沟健康用品供应链0740有限公司（演示）</t>
        </is>
      </c>
      <c r="C744" s="10" t="inlineStr">
        <is>
          <t>健康用品</t>
        </is>
      </c>
      <c r="D744" s="10" t="inlineStr">
        <is>
          <t>热敷眼罩</t>
        </is>
      </c>
      <c r="E744" s="10" t="inlineStr">
        <is>
          <t>河北白沟</t>
        </is>
      </c>
      <c r="F744" s="10" t="inlineStr">
        <is>
          <t>中国制造网</t>
        </is>
      </c>
      <c r="G744" s="10" t="inlineStr">
        <is>
          <t>陈经理</t>
        </is>
      </c>
      <c r="H744" s="10" t="inlineStr">
        <is>
          <t>000-0000-0740</t>
        </is>
      </c>
      <c r="I744" s="10" t="inlineStr">
        <is>
          <t>DEMO_GYS_0740</t>
        </is>
      </c>
      <c r="J744" s="11" t="n">
        <v>18.8</v>
      </c>
      <c r="K744" s="11" t="n">
        <v>26.8</v>
      </c>
      <c r="L744" s="12" t="n">
        <v>300</v>
      </c>
      <c r="M744" s="10" t="inlineStr">
        <is>
          <t>否</t>
        </is>
      </c>
      <c r="N744" s="10" t="inlineStr">
        <is>
          <t>是</t>
        </is>
      </c>
      <c r="O744" s="10" t="inlineStr">
        <is>
          <t>supplier0740@example.com</t>
        </is>
      </c>
      <c r="P744" s="10" t="inlineStr">
        <is>
          <t>https://example.com/supplier/0740</t>
        </is>
      </c>
      <c r="Q744" s="10">
        <f>IF(R744&gt;=85,"A",IF(R744&gt;=70,"B","C"))</f>
        <v/>
      </c>
      <c r="R744" s="13">
        <f>MIN(100,50+IF(M744="是",10,0)+IF(N744="是",10,0)+IF(L744&lt;=100,10,IF(L744&lt;=300,5,0))+IF(J744&lt;=20,10,IF(J744&lt;=50,5,0))+IF(K744-J744&lt;=20,5,0)+IF(F744="企业官网",5,0))</f>
        <v/>
      </c>
      <c r="S744" s="10">
        <f>IF(Q744="A","价格与起订量有优势，建议优先询盘",IF(Q744="B","条件较均衡，可作为备选","起订量或价格需要进一步确认"))</f>
        <v/>
      </c>
      <c r="T744" s="10" t="inlineStr">
        <is>
          <t>未联系</t>
        </is>
      </c>
      <c r="U744" s="10" t="inlineStr">
        <is>
          <t>虚构演示数据</t>
        </is>
      </c>
    </row>
    <row r="745" ht="21" customHeight="1">
      <c r="A745" s="10" t="inlineStr">
        <is>
          <t>GYS-0741</t>
        </is>
      </c>
      <c r="B745" s="10" t="inlineStr">
        <is>
          <t>义乌服饰内衣供应链0741有限公司（演示）</t>
        </is>
      </c>
      <c r="C745" s="10" t="inlineStr">
        <is>
          <t>服饰内衣</t>
        </is>
      </c>
      <c r="D745" s="10" t="inlineStr">
        <is>
          <t>防滑袜</t>
        </is>
      </c>
      <c r="E745" s="10" t="inlineStr">
        <is>
          <t>浙江义乌</t>
        </is>
      </c>
      <c r="F745" s="10" t="inlineStr">
        <is>
          <t>企业官网</t>
        </is>
      </c>
      <c r="G745" s="10" t="inlineStr">
        <is>
          <t>林经理</t>
        </is>
      </c>
      <c r="H745" s="10" t="inlineStr">
        <is>
          <t>000-0000-0741</t>
        </is>
      </c>
      <c r="I745" s="10" t="inlineStr">
        <is>
          <t>DEMO_GYS_0741</t>
        </is>
      </c>
      <c r="J745" s="11" t="n">
        <v>20.5</v>
      </c>
      <c r="K745" s="11" t="n">
        <v>29.6</v>
      </c>
      <c r="L745" s="12" t="n">
        <v>200</v>
      </c>
      <c r="M745" s="10" t="inlineStr">
        <is>
          <t>是</t>
        </is>
      </c>
      <c r="N745" s="10" t="inlineStr">
        <is>
          <t>否</t>
        </is>
      </c>
      <c r="O745" s="10" t="inlineStr">
        <is>
          <t>supplier0741@example.com</t>
        </is>
      </c>
      <c r="P745" s="10" t="inlineStr">
        <is>
          <t>https://example.com/supplier/0741</t>
        </is>
      </c>
      <c r="Q745" s="10">
        <f>IF(R745&gt;=85,"A",IF(R745&gt;=70,"B","C"))</f>
        <v/>
      </c>
      <c r="R745" s="13">
        <f>MIN(100,50+IF(M745="是",10,0)+IF(N745="是",10,0)+IF(L745&lt;=100,10,IF(L745&lt;=300,5,0))+IF(J745&lt;=20,10,IF(J745&lt;=50,5,0))+IF(K745-J745&lt;=20,5,0)+IF(F745="企业官网",5,0))</f>
        <v/>
      </c>
      <c r="S745" s="10">
        <f>IF(Q745="A","价格与起订量有优势，建议优先询盘",IF(Q745="B","条件较均衡，可作为备选","起订量或价格需要进一步确认"))</f>
        <v/>
      </c>
      <c r="T745" s="10" t="inlineStr">
        <is>
          <t>未联系</t>
        </is>
      </c>
      <c r="U745" s="10" t="inlineStr">
        <is>
          <t>虚构演示数据</t>
        </is>
      </c>
    </row>
    <row r="746" ht="21" customHeight="1">
      <c r="A746" s="10" t="inlineStr">
        <is>
          <t>GYS-0742</t>
        </is>
      </c>
      <c r="B746" s="10" t="inlineStr">
        <is>
          <t>台州家居日用供应链0742有限公司（演示）</t>
        </is>
      </c>
      <c r="C746" s="10" t="inlineStr">
        <is>
          <t>家居日用</t>
        </is>
      </c>
      <c r="D746" s="10" t="inlineStr">
        <is>
          <t>折叠收纳箱</t>
        </is>
      </c>
      <c r="E746" s="10" t="inlineStr">
        <is>
          <t>浙江台州</t>
        </is>
      </c>
      <c r="F746" s="10" t="inlineStr">
        <is>
          <t>义乌购</t>
        </is>
      </c>
      <c r="G746" s="10" t="inlineStr">
        <is>
          <t>王经理</t>
        </is>
      </c>
      <c r="H746" s="10" t="inlineStr">
        <is>
          <t>000-0000-0742</t>
        </is>
      </c>
      <c r="I746" s="10" t="inlineStr">
        <is>
          <t>DEMO_GYS_0742</t>
        </is>
      </c>
      <c r="J746" s="11" t="n">
        <v>22.2</v>
      </c>
      <c r="K746" s="11" t="n">
        <v>32.4</v>
      </c>
      <c r="L746" s="12" t="n">
        <v>100</v>
      </c>
      <c r="M746" s="10" t="inlineStr">
        <is>
          <t>是</t>
        </is>
      </c>
      <c r="N746" s="10" t="inlineStr">
        <is>
          <t>是</t>
        </is>
      </c>
      <c r="O746" s="10" t="inlineStr">
        <is>
          <t>supplier0742@example.com</t>
        </is>
      </c>
      <c r="P746" s="10" t="inlineStr">
        <is>
          <t>https://example.com/supplier/0742</t>
        </is>
      </c>
      <c r="Q746" s="10">
        <f>IF(R746&gt;=85,"A",IF(R746&gt;=70,"B","C"))</f>
        <v/>
      </c>
      <c r="R746" s="13">
        <f>MIN(100,50+IF(M746="是",10,0)+IF(N746="是",10,0)+IF(L746&lt;=100,10,IF(L746&lt;=300,5,0))+IF(J746&lt;=20,10,IF(J746&lt;=50,5,0))+IF(K746-J746&lt;=20,5,0)+IF(F746="企业官网",5,0))</f>
        <v/>
      </c>
      <c r="S746" s="10">
        <f>IF(Q746="A","价格与起订量有优势，建议优先询盘",IF(Q746="B","条件较均衡，可作为备选","起订量或价格需要进一步确认"))</f>
        <v/>
      </c>
      <c r="T746" s="10" t="inlineStr">
        <is>
          <t>未联系</t>
        </is>
      </c>
      <c r="U746" s="10" t="inlineStr">
        <is>
          <t>虚构演示数据</t>
        </is>
      </c>
    </row>
    <row r="747" ht="21" customHeight="1">
      <c r="A747" s="10" t="inlineStr">
        <is>
          <t>GYS-0743</t>
        </is>
      </c>
      <c r="B747" s="10" t="inlineStr">
        <is>
          <t>东莞个护清洁供应链0743有限公司（演示）</t>
        </is>
      </c>
      <c r="C747" s="10" t="inlineStr">
        <is>
          <t>个护清洁</t>
        </is>
      </c>
      <c r="D747" s="10" t="inlineStr">
        <is>
          <t>便携洗脸巾</t>
        </is>
      </c>
      <c r="E747" s="10" t="inlineStr">
        <is>
          <t>广东东莞</t>
        </is>
      </c>
      <c r="F747" s="10" t="inlineStr">
        <is>
          <t>慧聪网</t>
        </is>
      </c>
      <c r="G747" s="10" t="inlineStr">
        <is>
          <t>李经理</t>
        </is>
      </c>
      <c r="H747" s="10" t="inlineStr">
        <is>
          <t>000-0000-0743</t>
        </is>
      </c>
      <c r="I747" s="10" t="inlineStr">
        <is>
          <t>DEMO_GYS_0743</t>
        </is>
      </c>
      <c r="J747" s="11" t="n">
        <v>23.9</v>
      </c>
      <c r="K747" s="11" t="n">
        <v>35.2</v>
      </c>
      <c r="L747" s="12" t="n">
        <v>50</v>
      </c>
      <c r="M747" s="10" t="inlineStr">
        <is>
          <t>是</t>
        </is>
      </c>
      <c r="N747" s="10" t="inlineStr">
        <is>
          <t>是</t>
        </is>
      </c>
      <c r="O747" s="10" t="inlineStr">
        <is>
          <t>supplier0743@example.com</t>
        </is>
      </c>
      <c r="P747" s="10" t="inlineStr">
        <is>
          <t>https://example.com/supplier/0743</t>
        </is>
      </c>
      <c r="Q747" s="10">
        <f>IF(R747&gt;=85,"A",IF(R747&gt;=70,"B","C"))</f>
        <v/>
      </c>
      <c r="R747" s="13">
        <f>MIN(100,50+IF(M747="是",10,0)+IF(N747="是",10,0)+IF(L747&lt;=100,10,IF(L747&lt;=300,5,0))+IF(J747&lt;=20,10,IF(J747&lt;=50,5,0))+IF(K747-J747&lt;=20,5,0)+IF(F747="企业官网",5,0))</f>
        <v/>
      </c>
      <c r="S747" s="10">
        <f>IF(Q747="A","价格与起订量有优势，建议优先询盘",IF(Q747="B","条件较均衡，可作为备选","起订量或价格需要进一步确认"))</f>
        <v/>
      </c>
      <c r="T747" s="10" t="inlineStr">
        <is>
          <t>未联系</t>
        </is>
      </c>
      <c r="U747" s="10" t="inlineStr">
        <is>
          <t>虚构演示数据</t>
        </is>
      </c>
    </row>
    <row r="748" ht="21" customHeight="1">
      <c r="A748" s="10" t="inlineStr">
        <is>
          <t>GYS-0744</t>
        </is>
      </c>
      <c r="B748" s="10" t="inlineStr">
        <is>
          <t>厦门厨房用品供应链0744有限公司（演示）</t>
        </is>
      </c>
      <c r="C748" s="10" t="inlineStr">
        <is>
          <t>厨房用品</t>
        </is>
      </c>
      <c r="D748" s="10" t="inlineStr">
        <is>
          <t>硅胶保鲜盒</t>
        </is>
      </c>
      <c r="E748" s="10" t="inlineStr">
        <is>
          <t>福建厦门</t>
        </is>
      </c>
      <c r="F748" s="10" t="inlineStr">
        <is>
          <t>1688</t>
        </is>
      </c>
      <c r="G748" s="10" t="inlineStr">
        <is>
          <t>张经理</t>
        </is>
      </c>
      <c r="H748" s="10" t="inlineStr">
        <is>
          <t>000-0000-0744</t>
        </is>
      </c>
      <c r="I748" s="10" t="inlineStr">
        <is>
          <t>DEMO_GYS_0744</t>
        </is>
      </c>
      <c r="J748" s="11" t="n">
        <v>25.6</v>
      </c>
      <c r="K748" s="11" t="n">
        <v>38</v>
      </c>
      <c r="L748" s="12" t="n">
        <v>20</v>
      </c>
      <c r="M748" s="10" t="inlineStr">
        <is>
          <t>否</t>
        </is>
      </c>
      <c r="N748" s="10" t="inlineStr">
        <is>
          <t>否</t>
        </is>
      </c>
      <c r="O748" s="10" t="inlineStr">
        <is>
          <t>supplier0744@example.com</t>
        </is>
      </c>
      <c r="P748" s="10" t="inlineStr">
        <is>
          <t>https://example.com/supplier/0744</t>
        </is>
      </c>
      <c r="Q748" s="10">
        <f>IF(R748&gt;=85,"A",IF(R748&gt;=70,"B","C"))</f>
        <v/>
      </c>
      <c r="R748" s="13">
        <f>MIN(100,50+IF(M748="是",10,0)+IF(N748="是",10,0)+IF(L748&lt;=100,10,IF(L748&lt;=300,5,0))+IF(J748&lt;=20,10,IF(J748&lt;=50,5,0))+IF(K748-J748&lt;=20,5,0)+IF(F748="企业官网",5,0))</f>
        <v/>
      </c>
      <c r="S748" s="10">
        <f>IF(Q748="A","价格与起订量有优势，建议优先询盘",IF(Q748="B","条件较均衡，可作为备选","起订量或价格需要进一步确认"))</f>
        <v/>
      </c>
      <c r="T748" s="10" t="inlineStr">
        <is>
          <t>未联系</t>
        </is>
      </c>
      <c r="U748" s="10" t="inlineStr">
        <is>
          <t>虚构演示数据</t>
        </is>
      </c>
    </row>
    <row r="749" ht="21" customHeight="1">
      <c r="A749" s="10" t="inlineStr">
        <is>
          <t>GYS-0745</t>
        </is>
      </c>
      <c r="B749" s="10" t="inlineStr">
        <is>
          <t>临沂数码配件供应链0745有限公司（演示）</t>
        </is>
      </c>
      <c r="C749" s="10" t="inlineStr">
        <is>
          <t>数码配件</t>
        </is>
      </c>
      <c r="D749" s="10" t="inlineStr">
        <is>
          <t>磁吸手机支架</t>
        </is>
      </c>
      <c r="E749" s="10" t="inlineStr">
        <is>
          <t>山东临沂</t>
        </is>
      </c>
      <c r="F749" s="10" t="inlineStr">
        <is>
          <t>中国制造网</t>
        </is>
      </c>
      <c r="G749" s="10" t="inlineStr">
        <is>
          <t>刘经理</t>
        </is>
      </c>
      <c r="H749" s="10" t="inlineStr">
        <is>
          <t>000-0000-0745</t>
        </is>
      </c>
      <c r="I749" s="10" t="inlineStr">
        <is>
          <t>DEMO_GYS_0745</t>
        </is>
      </c>
      <c r="J749" s="11" t="n">
        <v>27.3</v>
      </c>
      <c r="K749" s="11" t="n">
        <v>40.8</v>
      </c>
      <c r="L749" s="12" t="n">
        <v>500</v>
      </c>
      <c r="M749" s="10" t="inlineStr">
        <is>
          <t>是</t>
        </is>
      </c>
      <c r="N749" s="10" t="inlineStr">
        <is>
          <t>是</t>
        </is>
      </c>
      <c r="O749" s="10" t="inlineStr">
        <is>
          <t>supplier0745@example.com</t>
        </is>
      </c>
      <c r="P749" s="10" t="inlineStr">
        <is>
          <t>https://example.com/supplier/0745</t>
        </is>
      </c>
      <c r="Q749" s="10">
        <f>IF(R749&gt;=85,"A",IF(R749&gt;=70,"B","C"))</f>
        <v/>
      </c>
      <c r="R749" s="13">
        <f>MIN(100,50+IF(M749="是",10,0)+IF(N749="是",10,0)+IF(L749&lt;=100,10,IF(L749&lt;=300,5,0))+IF(J749&lt;=20,10,IF(J749&lt;=50,5,0))+IF(K749-J749&lt;=20,5,0)+IF(F749="企业官网",5,0))</f>
        <v/>
      </c>
      <c r="S749" s="10">
        <f>IF(Q749="A","价格与起订量有优势，建议优先询盘",IF(Q749="B","条件较均衡，可作为备选","起订量或价格需要进一步确认"))</f>
        <v/>
      </c>
      <c r="T749" s="10" t="inlineStr">
        <is>
          <t>未联系</t>
        </is>
      </c>
      <c r="U749" s="10" t="inlineStr">
        <is>
          <t>虚构演示数据</t>
        </is>
      </c>
    </row>
    <row r="750" ht="21" customHeight="1">
      <c r="A750" s="10" t="inlineStr">
        <is>
          <t>GYS-0746</t>
        </is>
      </c>
      <c r="B750" s="10" t="inlineStr">
        <is>
          <t>南昌宠物用品供应链0746有限公司（演示）</t>
        </is>
      </c>
      <c r="C750" s="10" t="inlineStr">
        <is>
          <t>宠物用品</t>
        </is>
      </c>
      <c r="D750" s="10" t="inlineStr">
        <is>
          <t>宠物清洁手套</t>
        </is>
      </c>
      <c r="E750" s="10" t="inlineStr">
        <is>
          <t>江西南昌</t>
        </is>
      </c>
      <c r="F750" s="10" t="inlineStr">
        <is>
          <t>企业官网</t>
        </is>
      </c>
      <c r="G750" s="10" t="inlineStr">
        <is>
          <t>黄经理</t>
        </is>
      </c>
      <c r="H750" s="10" t="inlineStr">
        <is>
          <t>000-0000-0746</t>
        </is>
      </c>
      <c r="I750" s="10" t="inlineStr">
        <is>
          <t>DEMO_GYS_0746</t>
        </is>
      </c>
      <c r="J750" s="11" t="n">
        <v>29</v>
      </c>
      <c r="K750" s="11" t="n">
        <v>43.6</v>
      </c>
      <c r="L750" s="12" t="n">
        <v>300</v>
      </c>
      <c r="M750" s="10" t="inlineStr">
        <is>
          <t>是</t>
        </is>
      </c>
      <c r="N750" s="10" t="inlineStr">
        <is>
          <t>是</t>
        </is>
      </c>
      <c r="O750" s="10" t="inlineStr">
        <is>
          <t>supplier0746@example.com</t>
        </is>
      </c>
      <c r="P750" s="10" t="inlineStr">
        <is>
          <t>https://example.com/supplier/0746</t>
        </is>
      </c>
      <c r="Q750" s="10">
        <f>IF(R750&gt;=85,"A",IF(R750&gt;=70,"B","C"))</f>
        <v/>
      </c>
      <c r="R750" s="13">
        <f>MIN(100,50+IF(M750="是",10,0)+IF(N750="是",10,0)+IF(L750&lt;=100,10,IF(L750&lt;=300,5,0))+IF(J750&lt;=20,10,IF(J750&lt;=50,5,0))+IF(K750-J750&lt;=20,5,0)+IF(F750="企业官网",5,0))</f>
        <v/>
      </c>
      <c r="S750" s="10">
        <f>IF(Q750="A","价格与起订量有优势，建议优先询盘",IF(Q750="B","条件较均衡，可作为备选","起订量或价格需要进一步确认"))</f>
        <v/>
      </c>
      <c r="T750" s="10" t="inlineStr">
        <is>
          <t>未联系</t>
        </is>
      </c>
      <c r="U750" s="10" t="inlineStr">
        <is>
          <t>虚构演示数据</t>
        </is>
      </c>
    </row>
    <row r="751" ht="21" customHeight="1">
      <c r="A751" s="10" t="inlineStr">
        <is>
          <t>GYS-0747</t>
        </is>
      </c>
      <c r="B751" s="10" t="inlineStr">
        <is>
          <t>温州母婴用品供应链0747有限公司（演示）</t>
        </is>
      </c>
      <c r="C751" s="10" t="inlineStr">
        <is>
          <t>母婴用品</t>
        </is>
      </c>
      <c r="D751" s="10" t="inlineStr">
        <is>
          <t>婴儿防撞条</t>
        </is>
      </c>
      <c r="E751" s="10" t="inlineStr">
        <is>
          <t>浙江温州</t>
        </is>
      </c>
      <c r="F751" s="10" t="inlineStr">
        <is>
          <t>义乌购</t>
        </is>
      </c>
      <c r="G751" s="10" t="inlineStr">
        <is>
          <t>赵经理</t>
        </is>
      </c>
      <c r="H751" s="10" t="inlineStr">
        <is>
          <t>000-0000-0747</t>
        </is>
      </c>
      <c r="I751" s="10" t="inlineStr">
        <is>
          <t>DEMO_GYS_0747</t>
        </is>
      </c>
      <c r="J751" s="11" t="n">
        <v>30.7</v>
      </c>
      <c r="K751" s="11" t="n">
        <v>46.4</v>
      </c>
      <c r="L751" s="12" t="n">
        <v>200</v>
      </c>
      <c r="M751" s="10" t="inlineStr">
        <is>
          <t>是</t>
        </is>
      </c>
      <c r="N751" s="10" t="inlineStr">
        <is>
          <t>否</t>
        </is>
      </c>
      <c r="O751" s="10" t="inlineStr">
        <is>
          <t>supplier0747@example.com</t>
        </is>
      </c>
      <c r="P751" s="10" t="inlineStr">
        <is>
          <t>https://example.com/supplier/0747</t>
        </is>
      </c>
      <c r="Q751" s="10">
        <f>IF(R751&gt;=85,"A",IF(R751&gt;=70,"B","C"))</f>
        <v/>
      </c>
      <c r="R751" s="13">
        <f>MIN(100,50+IF(M751="是",10,0)+IF(N751="是",10,0)+IF(L751&lt;=100,10,IF(L751&lt;=300,5,0))+IF(J751&lt;=20,10,IF(J751&lt;=50,5,0))+IF(K751-J751&lt;=20,5,0)+IF(F751="企业官网",5,0))</f>
        <v/>
      </c>
      <c r="S751" s="10">
        <f>IF(Q751="A","价格与起订量有优势，建议优先询盘",IF(Q751="B","条件较均衡，可作为备选","起订量或价格需要进一步确认"))</f>
        <v/>
      </c>
      <c r="T751" s="10" t="inlineStr">
        <is>
          <t>未联系</t>
        </is>
      </c>
      <c r="U751" s="10" t="inlineStr">
        <is>
          <t>虚构演示数据</t>
        </is>
      </c>
    </row>
    <row r="752" ht="21" customHeight="1">
      <c r="A752" s="10" t="inlineStr">
        <is>
          <t>GYS-0748</t>
        </is>
      </c>
      <c r="B752" s="10" t="inlineStr">
        <is>
          <t>广州运动户外供应链0748有限公司（演示）</t>
        </is>
      </c>
      <c r="C752" s="10" t="inlineStr">
        <is>
          <t>运动户外</t>
        </is>
      </c>
      <c r="D752" s="10" t="inlineStr">
        <is>
          <t>弹力训练带</t>
        </is>
      </c>
      <c r="E752" s="10" t="inlineStr">
        <is>
          <t>广东广州</t>
        </is>
      </c>
      <c r="F752" s="10" t="inlineStr">
        <is>
          <t>慧聪网</t>
        </is>
      </c>
      <c r="G752" s="10" t="inlineStr">
        <is>
          <t>周经理</t>
        </is>
      </c>
      <c r="H752" s="10" t="inlineStr">
        <is>
          <t>000-0000-0748</t>
        </is>
      </c>
      <c r="I752" s="10" t="inlineStr">
        <is>
          <t>DEMO_GYS_0748</t>
        </is>
      </c>
      <c r="J752" s="11" t="n">
        <v>32.4</v>
      </c>
      <c r="K752" s="11" t="n">
        <v>49.2</v>
      </c>
      <c r="L752" s="12" t="n">
        <v>100</v>
      </c>
      <c r="M752" s="10" t="inlineStr">
        <is>
          <t>否</t>
        </is>
      </c>
      <c r="N752" s="10" t="inlineStr">
        <is>
          <t>是</t>
        </is>
      </c>
      <c r="O752" s="10" t="inlineStr">
        <is>
          <t>supplier0748@example.com</t>
        </is>
      </c>
      <c r="P752" s="10" t="inlineStr">
        <is>
          <t>https://example.com/supplier/0748</t>
        </is>
      </c>
      <c r="Q752" s="10">
        <f>IF(R752&gt;=85,"A",IF(R752&gt;=70,"B","C"))</f>
        <v/>
      </c>
      <c r="R752" s="13">
        <f>MIN(100,50+IF(M752="是",10,0)+IF(N752="是",10,0)+IF(L752&lt;=100,10,IF(L752&lt;=300,5,0))+IF(J752&lt;=20,10,IF(J752&lt;=50,5,0))+IF(K752-J752&lt;=20,5,0)+IF(F752="企业官网",5,0))</f>
        <v/>
      </c>
      <c r="S752" s="10">
        <f>IF(Q752="A","价格与起订量有优势，建议优先询盘",IF(Q752="B","条件较均衡，可作为备选","起订量或价格需要进一步确认"))</f>
        <v/>
      </c>
      <c r="T752" s="10" t="inlineStr">
        <is>
          <t>未联系</t>
        </is>
      </c>
      <c r="U752" s="10" t="inlineStr">
        <is>
          <t>虚构演示数据</t>
        </is>
      </c>
    </row>
    <row r="753" ht="21" customHeight="1">
      <c r="A753" s="10" t="inlineStr">
        <is>
          <t>GYS-0749</t>
        </is>
      </c>
      <c r="B753" s="10" t="inlineStr">
        <is>
          <t>泉州办公文具供应链0749有限公司（演示）</t>
        </is>
      </c>
      <c r="C753" s="10" t="inlineStr">
        <is>
          <t>办公文具</t>
        </is>
      </c>
      <c r="D753" s="10" t="inlineStr">
        <is>
          <t>桌面收纳架</t>
        </is>
      </c>
      <c r="E753" s="10" t="inlineStr">
        <is>
          <t>福建泉州</t>
        </is>
      </c>
      <c r="F753" s="10" t="inlineStr">
        <is>
          <t>1688</t>
        </is>
      </c>
      <c r="G753" s="10" t="inlineStr">
        <is>
          <t>吴经理</t>
        </is>
      </c>
      <c r="H753" s="10" t="inlineStr">
        <is>
          <t>000-0000-0749</t>
        </is>
      </c>
      <c r="I753" s="10" t="inlineStr">
        <is>
          <t>DEMO_GYS_0749</t>
        </is>
      </c>
      <c r="J753" s="11" t="n">
        <v>34.1</v>
      </c>
      <c r="K753" s="11" t="n">
        <v>52</v>
      </c>
      <c r="L753" s="12" t="n">
        <v>50</v>
      </c>
      <c r="M753" s="10" t="inlineStr">
        <is>
          <t>是</t>
        </is>
      </c>
      <c r="N753" s="10" t="inlineStr">
        <is>
          <t>是</t>
        </is>
      </c>
      <c r="O753" s="10" t="inlineStr">
        <is>
          <t>supplier0749@example.com</t>
        </is>
      </c>
      <c r="P753" s="10" t="inlineStr">
        <is>
          <t>https://example.com/supplier/0749</t>
        </is>
      </c>
      <c r="Q753" s="10">
        <f>IF(R753&gt;=85,"A",IF(R753&gt;=70,"B","C"))</f>
        <v/>
      </c>
      <c r="R753" s="13">
        <f>MIN(100,50+IF(M753="是",10,0)+IF(N753="是",10,0)+IF(L753&lt;=100,10,IF(L753&lt;=300,5,0))+IF(J753&lt;=20,10,IF(J753&lt;=50,5,0))+IF(K753-J753&lt;=20,5,0)+IF(F753="企业官网",5,0))</f>
        <v/>
      </c>
      <c r="S753" s="10">
        <f>IF(Q753="A","价格与起订量有优势，建议优先询盘",IF(Q753="B","条件较均衡，可作为备选","起订量或价格需要进一步确认"))</f>
        <v/>
      </c>
      <c r="T753" s="10" t="inlineStr">
        <is>
          <t>未联系</t>
        </is>
      </c>
      <c r="U753" s="10" t="inlineStr">
        <is>
          <t>虚构演示数据</t>
        </is>
      </c>
    </row>
    <row r="754" ht="21" customHeight="1">
      <c r="A754" s="10" t="inlineStr">
        <is>
          <t>GYS-0750</t>
        </is>
      </c>
      <c r="B754" s="10" t="inlineStr">
        <is>
          <t>南通汽车用品供应链0750有限公司（演示）</t>
        </is>
      </c>
      <c r="C754" s="10" t="inlineStr">
        <is>
          <t>汽车用品</t>
        </is>
      </c>
      <c r="D754" s="10" t="inlineStr">
        <is>
          <t>车载香薰</t>
        </is>
      </c>
      <c r="E754" s="10" t="inlineStr">
        <is>
          <t>江苏南通</t>
        </is>
      </c>
      <c r="F754" s="10" t="inlineStr">
        <is>
          <t>中国制造网</t>
        </is>
      </c>
      <c r="G754" s="10" t="inlineStr">
        <is>
          <t>陈经理</t>
        </is>
      </c>
      <c r="H754" s="10" t="inlineStr">
        <is>
          <t>000-0000-0750</t>
        </is>
      </c>
      <c r="I754" s="10" t="inlineStr">
        <is>
          <t>DEMO_GYS_0750</t>
        </is>
      </c>
      <c r="J754" s="11" t="n">
        <v>35.8</v>
      </c>
      <c r="K754" s="11" t="n">
        <v>54.8</v>
      </c>
      <c r="L754" s="12" t="n">
        <v>20</v>
      </c>
      <c r="M754" s="10" t="inlineStr">
        <is>
          <t>是</t>
        </is>
      </c>
      <c r="N754" s="10" t="inlineStr">
        <is>
          <t>否</t>
        </is>
      </c>
      <c r="O754" s="10" t="inlineStr">
        <is>
          <t>supplier0750@example.com</t>
        </is>
      </c>
      <c r="P754" s="10" t="inlineStr">
        <is>
          <t>https://example.com/supplier/0750</t>
        </is>
      </c>
      <c r="Q754" s="10">
        <f>IF(R754&gt;=85,"A",IF(R754&gt;=70,"B","C"))</f>
        <v/>
      </c>
      <c r="R754" s="13">
        <f>MIN(100,50+IF(M754="是",10,0)+IF(N754="是",10,0)+IF(L754&lt;=100,10,IF(L754&lt;=300,5,0))+IF(J754&lt;=20,10,IF(J754&lt;=50,5,0))+IF(K754-J754&lt;=20,5,0)+IF(F754="企业官网",5,0))</f>
        <v/>
      </c>
      <c r="S754" s="10">
        <f>IF(Q754="A","价格与起订量有优势，建议优先询盘",IF(Q754="B","条件较均衡，可作为备选","起订量或价格需要进一步确认"))</f>
        <v/>
      </c>
      <c r="T754" s="10" t="inlineStr">
        <is>
          <t>未联系</t>
        </is>
      </c>
      <c r="U754" s="10" t="inlineStr">
        <is>
          <t>虚构演示数据</t>
        </is>
      </c>
    </row>
    <row r="755" ht="21" customHeight="1">
      <c r="A755" s="10" t="inlineStr">
        <is>
          <t>GYS-0751</t>
        </is>
      </c>
      <c r="B755" s="10" t="inlineStr">
        <is>
          <t>郑州美容工具供应链0751有限公司（演示）</t>
        </is>
      </c>
      <c r="C755" s="10" t="inlineStr">
        <is>
          <t>美容工具</t>
        </is>
      </c>
      <c r="D755" s="10" t="inlineStr">
        <is>
          <t>便携化妆镜</t>
        </is>
      </c>
      <c r="E755" s="10" t="inlineStr">
        <is>
          <t>河南郑州</t>
        </is>
      </c>
      <c r="F755" s="10" t="inlineStr">
        <is>
          <t>企业官网</t>
        </is>
      </c>
      <c r="G755" s="10" t="inlineStr">
        <is>
          <t>林经理</t>
        </is>
      </c>
      <c r="H755" s="10" t="inlineStr">
        <is>
          <t>000-0000-0751</t>
        </is>
      </c>
      <c r="I755" s="10" t="inlineStr">
        <is>
          <t>DEMO_GYS_0751</t>
        </is>
      </c>
      <c r="J755" s="11" t="n">
        <v>37.5</v>
      </c>
      <c r="K755" s="11" t="n">
        <v>57.6</v>
      </c>
      <c r="L755" s="12" t="n">
        <v>500</v>
      </c>
      <c r="M755" s="10" t="inlineStr">
        <is>
          <t>是</t>
        </is>
      </c>
      <c r="N755" s="10" t="inlineStr">
        <is>
          <t>是</t>
        </is>
      </c>
      <c r="O755" s="10" t="inlineStr">
        <is>
          <t>supplier0751@example.com</t>
        </is>
      </c>
      <c r="P755" s="10" t="inlineStr">
        <is>
          <t>https://example.com/supplier/0751</t>
        </is>
      </c>
      <c r="Q755" s="10">
        <f>IF(R755&gt;=85,"A",IF(R755&gt;=70,"B","C"))</f>
        <v/>
      </c>
      <c r="R755" s="13">
        <f>MIN(100,50+IF(M755="是",10,0)+IF(N755="是",10,0)+IF(L755&lt;=100,10,IF(L755&lt;=300,5,0))+IF(J755&lt;=20,10,IF(J755&lt;=50,5,0))+IF(K755-J755&lt;=20,5,0)+IF(F755="企业官网",5,0))</f>
        <v/>
      </c>
      <c r="S755" s="10">
        <f>IF(Q755="A","价格与起订量有优势，建议优先询盘",IF(Q755="B","条件较均衡，可作为备选","起订量或价格需要进一步确认"))</f>
        <v/>
      </c>
      <c r="T755" s="10" t="inlineStr">
        <is>
          <t>未联系</t>
        </is>
      </c>
      <c r="U755" s="10" t="inlineStr">
        <is>
          <t>虚构演示数据</t>
        </is>
      </c>
    </row>
    <row r="756" ht="21" customHeight="1">
      <c r="A756" s="10" t="inlineStr">
        <is>
          <t>GYS-0752</t>
        </is>
      </c>
      <c r="B756" s="10" t="inlineStr">
        <is>
          <t>宁波旅行用品供应链0752有限公司（演示）</t>
        </is>
      </c>
      <c r="C756" s="10" t="inlineStr">
        <is>
          <t>旅行用品</t>
        </is>
      </c>
      <c r="D756" s="10" t="inlineStr">
        <is>
          <t>压缩收纳袋</t>
        </is>
      </c>
      <c r="E756" s="10" t="inlineStr">
        <is>
          <t>浙江宁波</t>
        </is>
      </c>
      <c r="F756" s="10" t="inlineStr">
        <is>
          <t>义乌购</t>
        </is>
      </c>
      <c r="G756" s="10" t="inlineStr">
        <is>
          <t>王经理</t>
        </is>
      </c>
      <c r="H756" s="10" t="inlineStr">
        <is>
          <t>000-0000-0752</t>
        </is>
      </c>
      <c r="I756" s="10" t="inlineStr">
        <is>
          <t>DEMO_GYS_0752</t>
        </is>
      </c>
      <c r="J756" s="11" t="n">
        <v>39.2</v>
      </c>
      <c r="K756" s="11" t="n">
        <v>60.4</v>
      </c>
      <c r="L756" s="12" t="n">
        <v>300</v>
      </c>
      <c r="M756" s="10" t="inlineStr">
        <is>
          <t>否</t>
        </is>
      </c>
      <c r="N756" s="10" t="inlineStr">
        <is>
          <t>是</t>
        </is>
      </c>
      <c r="O756" s="10" t="inlineStr">
        <is>
          <t>supplier0752@example.com</t>
        </is>
      </c>
      <c r="P756" s="10" t="inlineStr">
        <is>
          <t>https://example.com/supplier/0752</t>
        </is>
      </c>
      <c r="Q756" s="10">
        <f>IF(R756&gt;=85,"A",IF(R756&gt;=70,"B","C"))</f>
        <v/>
      </c>
      <c r="R756" s="13">
        <f>MIN(100,50+IF(M756="是",10,0)+IF(N756="是",10,0)+IF(L756&lt;=100,10,IF(L756&lt;=300,5,0))+IF(J756&lt;=20,10,IF(J756&lt;=50,5,0))+IF(K756-J756&lt;=20,5,0)+IF(F756="企业官网",5,0))</f>
        <v/>
      </c>
      <c r="S756" s="10">
        <f>IF(Q756="A","价格与起订量有优势，建议优先询盘",IF(Q756="B","条件较均衡，可作为备选","起订量或价格需要进一步确认"))</f>
        <v/>
      </c>
      <c r="T756" s="10" t="inlineStr">
        <is>
          <t>未联系</t>
        </is>
      </c>
      <c r="U756" s="10" t="inlineStr">
        <is>
          <t>虚构演示数据</t>
        </is>
      </c>
    </row>
    <row r="757" ht="21" customHeight="1">
      <c r="A757" s="10" t="inlineStr">
        <is>
          <t>GYS-0753</t>
        </is>
      </c>
      <c r="B757" s="10" t="inlineStr">
        <is>
          <t>深圳清洁工具供应链0753有限公司（演示）</t>
        </is>
      </c>
      <c r="C757" s="10" t="inlineStr">
        <is>
          <t>清洁工具</t>
        </is>
      </c>
      <c r="D757" s="10" t="inlineStr">
        <is>
          <t>免手洗拖把</t>
        </is>
      </c>
      <c r="E757" s="10" t="inlineStr">
        <is>
          <t>广东深圳</t>
        </is>
      </c>
      <c r="F757" s="10" t="inlineStr">
        <is>
          <t>慧聪网</t>
        </is>
      </c>
      <c r="G757" s="10" t="inlineStr">
        <is>
          <t>李经理</t>
        </is>
      </c>
      <c r="H757" s="10" t="inlineStr">
        <is>
          <t>000-0000-0753</t>
        </is>
      </c>
      <c r="I757" s="10" t="inlineStr">
        <is>
          <t>DEMO_GYS_0753</t>
        </is>
      </c>
      <c r="J757" s="11" t="n">
        <v>40.9</v>
      </c>
      <c r="K757" s="11" t="n">
        <v>45.2</v>
      </c>
      <c r="L757" s="12" t="n">
        <v>200</v>
      </c>
      <c r="M757" s="10" t="inlineStr">
        <is>
          <t>是</t>
        </is>
      </c>
      <c r="N757" s="10" t="inlineStr">
        <is>
          <t>否</t>
        </is>
      </c>
      <c r="O757" s="10" t="inlineStr">
        <is>
          <t>supplier0753@example.com</t>
        </is>
      </c>
      <c r="P757" s="10" t="inlineStr">
        <is>
          <t>https://example.com/supplier/0753</t>
        </is>
      </c>
      <c r="Q757" s="10">
        <f>IF(R757&gt;=85,"A",IF(R757&gt;=70,"B","C"))</f>
        <v/>
      </c>
      <c r="R757" s="13">
        <f>MIN(100,50+IF(M757="是",10,0)+IF(N757="是",10,0)+IF(L757&lt;=100,10,IF(L757&lt;=300,5,0))+IF(J757&lt;=20,10,IF(J757&lt;=50,5,0))+IF(K757-J757&lt;=20,5,0)+IF(F757="企业官网",5,0))</f>
        <v/>
      </c>
      <c r="S757" s="10">
        <f>IF(Q757="A","价格与起订量有优势，建议优先询盘",IF(Q757="B","条件较均衡，可作为备选","起订量或价格需要进一步确认"))</f>
        <v/>
      </c>
      <c r="T757" s="10" t="inlineStr">
        <is>
          <t>未联系</t>
        </is>
      </c>
      <c r="U757" s="10" t="inlineStr">
        <is>
          <t>虚构演示数据</t>
        </is>
      </c>
    </row>
    <row r="758" ht="21" customHeight="1">
      <c r="A758" s="10" t="inlineStr">
        <is>
          <t>GYS-0754</t>
        </is>
      </c>
      <c r="B758" s="10" t="inlineStr">
        <is>
          <t>佛山小家电供应链0754有限公司（演示）</t>
        </is>
      </c>
      <c r="C758" s="10" t="inlineStr">
        <is>
          <t>小家电</t>
        </is>
      </c>
      <c r="D758" s="10" t="inlineStr">
        <is>
          <t>迷你加湿器</t>
        </is>
      </c>
      <c r="E758" s="10" t="inlineStr">
        <is>
          <t>广东佛山</t>
        </is>
      </c>
      <c r="F758" s="10" t="inlineStr">
        <is>
          <t>1688</t>
        </is>
      </c>
      <c r="G758" s="10" t="inlineStr">
        <is>
          <t>张经理</t>
        </is>
      </c>
      <c r="H758" s="10" t="inlineStr">
        <is>
          <t>000-0000-0754</t>
        </is>
      </c>
      <c r="I758" s="10" t="inlineStr">
        <is>
          <t>DEMO_GYS_0754</t>
        </is>
      </c>
      <c r="J758" s="11" t="n">
        <v>42.6</v>
      </c>
      <c r="K758" s="11" t="n">
        <v>48</v>
      </c>
      <c r="L758" s="12" t="n">
        <v>100</v>
      </c>
      <c r="M758" s="10" t="inlineStr">
        <is>
          <t>是</t>
        </is>
      </c>
      <c r="N758" s="10" t="inlineStr">
        <is>
          <t>是</t>
        </is>
      </c>
      <c r="O758" s="10" t="inlineStr">
        <is>
          <t>supplier0754@example.com</t>
        </is>
      </c>
      <c r="P758" s="10" t="inlineStr">
        <is>
          <t>https://example.com/supplier/0754</t>
        </is>
      </c>
      <c r="Q758" s="10">
        <f>IF(R758&gt;=85,"A",IF(R758&gt;=70,"B","C"))</f>
        <v/>
      </c>
      <c r="R758" s="13">
        <f>MIN(100,50+IF(M758="是",10,0)+IF(N758="是",10,0)+IF(L758&lt;=100,10,IF(L758&lt;=300,5,0))+IF(J758&lt;=20,10,IF(J758&lt;=50,5,0))+IF(K758-J758&lt;=20,5,0)+IF(F758="企业官网",5,0))</f>
        <v/>
      </c>
      <c r="S758" s="10">
        <f>IF(Q758="A","价格与起订量有优势，建议优先询盘",IF(Q758="B","条件较均衡，可作为备选","起订量或价格需要进一步确认"))</f>
        <v/>
      </c>
      <c r="T758" s="10" t="inlineStr">
        <is>
          <t>未联系</t>
        </is>
      </c>
      <c r="U758" s="10" t="inlineStr">
        <is>
          <t>虚构演示数据</t>
        </is>
      </c>
    </row>
    <row r="759" ht="21" customHeight="1">
      <c r="A759" s="10" t="inlineStr">
        <is>
          <t>GYS-0755</t>
        </is>
      </c>
      <c r="B759" s="10" t="inlineStr">
        <is>
          <t>苏州礼品包装供应链0755有限公司（演示）</t>
        </is>
      </c>
      <c r="C759" s="10" t="inlineStr">
        <is>
          <t>礼品包装</t>
        </is>
      </c>
      <c r="D759" s="10" t="inlineStr">
        <is>
          <t>节日礼盒</t>
        </is>
      </c>
      <c r="E759" s="10" t="inlineStr">
        <is>
          <t>江苏苏州</t>
        </is>
      </c>
      <c r="F759" s="10" t="inlineStr">
        <is>
          <t>中国制造网</t>
        </is>
      </c>
      <c r="G759" s="10" t="inlineStr">
        <is>
          <t>刘经理</t>
        </is>
      </c>
      <c r="H759" s="10" t="inlineStr">
        <is>
          <t>000-0000-0755</t>
        </is>
      </c>
      <c r="I759" s="10" t="inlineStr">
        <is>
          <t>DEMO_GYS_0755</t>
        </is>
      </c>
      <c r="J759" s="11" t="n">
        <v>44.3</v>
      </c>
      <c r="K759" s="11" t="n">
        <v>50.8</v>
      </c>
      <c r="L759" s="12" t="n">
        <v>50</v>
      </c>
      <c r="M759" s="10" t="inlineStr">
        <is>
          <t>是</t>
        </is>
      </c>
      <c r="N759" s="10" t="inlineStr">
        <is>
          <t>是</t>
        </is>
      </c>
      <c r="O759" s="10" t="inlineStr">
        <is>
          <t>supplier0755@example.com</t>
        </is>
      </c>
      <c r="P759" s="10" t="inlineStr">
        <is>
          <t>https://example.com/supplier/0755</t>
        </is>
      </c>
      <c r="Q759" s="10">
        <f>IF(R759&gt;=85,"A",IF(R759&gt;=70,"B","C"))</f>
        <v/>
      </c>
      <c r="R759" s="13">
        <f>MIN(100,50+IF(M759="是",10,0)+IF(N759="是",10,0)+IF(L759&lt;=100,10,IF(L759&lt;=300,5,0))+IF(J759&lt;=20,10,IF(J759&lt;=50,5,0))+IF(K759-J759&lt;=20,5,0)+IF(F759="企业官网",5,0))</f>
        <v/>
      </c>
      <c r="S759" s="10">
        <f>IF(Q759="A","价格与起订量有优势，建议优先询盘",IF(Q759="B","条件较均衡，可作为备选","起订量或价格需要进一步确认"))</f>
        <v/>
      </c>
      <c r="T759" s="10" t="inlineStr">
        <is>
          <t>未联系</t>
        </is>
      </c>
      <c r="U759" s="10" t="inlineStr">
        <is>
          <t>虚构演示数据</t>
        </is>
      </c>
    </row>
    <row r="760" ht="21" customHeight="1">
      <c r="A760" s="10" t="inlineStr">
        <is>
          <t>GYS-0756</t>
        </is>
      </c>
      <c r="B760" s="10" t="inlineStr">
        <is>
          <t>白沟五金工具供应链0756有限公司（演示）</t>
        </is>
      </c>
      <c r="C760" s="10" t="inlineStr">
        <is>
          <t>五金工具</t>
        </is>
      </c>
      <c r="D760" s="10" t="inlineStr">
        <is>
          <t>多功能螺丝刀</t>
        </is>
      </c>
      <c r="E760" s="10" t="inlineStr">
        <is>
          <t>河北白沟</t>
        </is>
      </c>
      <c r="F760" s="10" t="inlineStr">
        <is>
          <t>企业官网</t>
        </is>
      </c>
      <c r="G760" s="10" t="inlineStr">
        <is>
          <t>黄经理</t>
        </is>
      </c>
      <c r="H760" s="10" t="inlineStr">
        <is>
          <t>000-0000-0756</t>
        </is>
      </c>
      <c r="I760" s="10" t="inlineStr">
        <is>
          <t>DEMO_GYS_0756</t>
        </is>
      </c>
      <c r="J760" s="11" t="n">
        <v>46</v>
      </c>
      <c r="K760" s="11" t="n">
        <v>53.6</v>
      </c>
      <c r="L760" s="12" t="n">
        <v>20</v>
      </c>
      <c r="M760" s="10" t="inlineStr">
        <is>
          <t>否</t>
        </is>
      </c>
      <c r="N760" s="10" t="inlineStr">
        <is>
          <t>否</t>
        </is>
      </c>
      <c r="O760" s="10" t="inlineStr">
        <is>
          <t>supplier0756@example.com</t>
        </is>
      </c>
      <c r="P760" s="10" t="inlineStr">
        <is>
          <t>https://example.com/supplier/0756</t>
        </is>
      </c>
      <c r="Q760" s="10">
        <f>IF(R760&gt;=85,"A",IF(R760&gt;=70,"B","C"))</f>
        <v/>
      </c>
      <c r="R760" s="13">
        <f>MIN(100,50+IF(M760="是",10,0)+IF(N760="是",10,0)+IF(L760&lt;=100,10,IF(L760&lt;=300,5,0))+IF(J760&lt;=20,10,IF(J760&lt;=50,5,0))+IF(K760-J760&lt;=20,5,0)+IF(F760="企业官网",5,0))</f>
        <v/>
      </c>
      <c r="S760" s="10">
        <f>IF(Q760="A","价格与起订量有优势，建议优先询盘",IF(Q760="B","条件较均衡，可作为备选","起订量或价格需要进一步确认"))</f>
        <v/>
      </c>
      <c r="T760" s="10" t="inlineStr">
        <is>
          <t>未联系</t>
        </is>
      </c>
      <c r="U760" s="10" t="inlineStr">
        <is>
          <t>虚构演示数据</t>
        </is>
      </c>
    </row>
    <row r="761" ht="21" customHeight="1">
      <c r="A761" s="10" t="inlineStr">
        <is>
          <t>GYS-0757</t>
        </is>
      </c>
      <c r="B761" s="10" t="inlineStr">
        <is>
          <t>义乌鞋靴配件供应链0757有限公司（演示）</t>
        </is>
      </c>
      <c r="C761" s="10" t="inlineStr">
        <is>
          <t>鞋靴配件</t>
        </is>
      </c>
      <c r="D761" s="10" t="inlineStr">
        <is>
          <t>防磨脚贴</t>
        </is>
      </c>
      <c r="E761" s="10" t="inlineStr">
        <is>
          <t>浙江义乌</t>
        </is>
      </c>
      <c r="F761" s="10" t="inlineStr">
        <is>
          <t>义乌购</t>
        </is>
      </c>
      <c r="G761" s="10" t="inlineStr">
        <is>
          <t>赵经理</t>
        </is>
      </c>
      <c r="H761" s="10" t="inlineStr">
        <is>
          <t>000-0000-0757</t>
        </is>
      </c>
      <c r="I761" s="10" t="inlineStr">
        <is>
          <t>DEMO_GYS_0757</t>
        </is>
      </c>
      <c r="J761" s="11" t="n">
        <v>47.7</v>
      </c>
      <c r="K761" s="11" t="n">
        <v>56.4</v>
      </c>
      <c r="L761" s="12" t="n">
        <v>500</v>
      </c>
      <c r="M761" s="10" t="inlineStr">
        <is>
          <t>是</t>
        </is>
      </c>
      <c r="N761" s="10" t="inlineStr">
        <is>
          <t>是</t>
        </is>
      </c>
      <c r="O761" s="10" t="inlineStr">
        <is>
          <t>supplier0757@example.com</t>
        </is>
      </c>
      <c r="P761" s="10" t="inlineStr">
        <is>
          <t>https://example.com/supplier/0757</t>
        </is>
      </c>
      <c r="Q761" s="10">
        <f>IF(R761&gt;=85,"A",IF(R761&gt;=70,"B","C"))</f>
        <v/>
      </c>
      <c r="R761" s="13">
        <f>MIN(100,50+IF(M761="是",10,0)+IF(N761="是",10,0)+IF(L761&lt;=100,10,IF(L761&lt;=300,5,0))+IF(J761&lt;=20,10,IF(J761&lt;=50,5,0))+IF(K761-J761&lt;=20,5,0)+IF(F761="企业官网",5,0))</f>
        <v/>
      </c>
      <c r="S761" s="10">
        <f>IF(Q761="A","价格与起订量有优势，建议优先询盘",IF(Q761="B","条件较均衡，可作为备选","起订量或价格需要进一步确认"))</f>
        <v/>
      </c>
      <c r="T761" s="10" t="inlineStr">
        <is>
          <t>未联系</t>
        </is>
      </c>
      <c r="U761" s="10" t="inlineStr">
        <is>
          <t>虚构演示数据</t>
        </is>
      </c>
    </row>
    <row r="762" ht="21" customHeight="1">
      <c r="A762" s="10" t="inlineStr">
        <is>
          <t>GYS-0758</t>
        </is>
      </c>
      <c r="B762" s="10" t="inlineStr">
        <is>
          <t>台州食品包装供应链0758有限公司（演示）</t>
        </is>
      </c>
      <c r="C762" s="10" t="inlineStr">
        <is>
          <t>食品包装</t>
        </is>
      </c>
      <c r="D762" s="10" t="inlineStr">
        <is>
          <t>密封包装袋</t>
        </is>
      </c>
      <c r="E762" s="10" t="inlineStr">
        <is>
          <t>浙江台州</t>
        </is>
      </c>
      <c r="F762" s="10" t="inlineStr">
        <is>
          <t>慧聪网</t>
        </is>
      </c>
      <c r="G762" s="10" t="inlineStr">
        <is>
          <t>周经理</t>
        </is>
      </c>
      <c r="H762" s="10" t="inlineStr">
        <is>
          <t>000-0000-0758</t>
        </is>
      </c>
      <c r="I762" s="10" t="inlineStr">
        <is>
          <t>DEMO_GYS_0758</t>
        </is>
      </c>
      <c r="J762" s="11" t="n">
        <v>3.4</v>
      </c>
      <c r="K762" s="11" t="n">
        <v>13.2</v>
      </c>
      <c r="L762" s="12" t="n">
        <v>300</v>
      </c>
      <c r="M762" s="10" t="inlineStr">
        <is>
          <t>是</t>
        </is>
      </c>
      <c r="N762" s="10" t="inlineStr">
        <is>
          <t>是</t>
        </is>
      </c>
      <c r="O762" s="10" t="inlineStr">
        <is>
          <t>supplier0758@example.com</t>
        </is>
      </c>
      <c r="P762" s="10" t="inlineStr">
        <is>
          <t>https://example.com/supplier/0758</t>
        </is>
      </c>
      <c r="Q762" s="10">
        <f>IF(R762&gt;=85,"A",IF(R762&gt;=70,"B","C"))</f>
        <v/>
      </c>
      <c r="R762" s="13">
        <f>MIN(100,50+IF(M762="是",10,0)+IF(N762="是",10,0)+IF(L762&lt;=100,10,IF(L762&lt;=300,5,0))+IF(J762&lt;=20,10,IF(J762&lt;=50,5,0))+IF(K762-J762&lt;=20,5,0)+IF(F762="企业官网",5,0))</f>
        <v/>
      </c>
      <c r="S762" s="10">
        <f>IF(Q762="A","价格与起订量有优势，建议优先询盘",IF(Q762="B","条件较均衡，可作为备选","起订量或价格需要进一步确认"))</f>
        <v/>
      </c>
      <c r="T762" s="10" t="inlineStr">
        <is>
          <t>未联系</t>
        </is>
      </c>
      <c r="U762" s="10" t="inlineStr">
        <is>
          <t>虚构演示数据</t>
        </is>
      </c>
    </row>
    <row r="763" ht="21" customHeight="1">
      <c r="A763" s="10" t="inlineStr">
        <is>
          <t>GYS-0759</t>
        </is>
      </c>
      <c r="B763" s="10" t="inlineStr">
        <is>
          <t>东莞户外照明供应链0759有限公司（演示）</t>
        </is>
      </c>
      <c r="C763" s="10" t="inlineStr">
        <is>
          <t>户外照明</t>
        </is>
      </c>
      <c r="D763" s="10" t="inlineStr">
        <is>
          <t>便携露营灯</t>
        </is>
      </c>
      <c r="E763" s="10" t="inlineStr">
        <is>
          <t>广东东莞</t>
        </is>
      </c>
      <c r="F763" s="10" t="inlineStr">
        <is>
          <t>1688</t>
        </is>
      </c>
      <c r="G763" s="10" t="inlineStr">
        <is>
          <t>吴经理</t>
        </is>
      </c>
      <c r="H763" s="10" t="inlineStr">
        <is>
          <t>000-0000-0759</t>
        </is>
      </c>
      <c r="I763" s="10" t="inlineStr">
        <is>
          <t>DEMO_GYS_0759</t>
        </is>
      </c>
      <c r="J763" s="11" t="n">
        <v>5.1</v>
      </c>
      <c r="K763" s="11" t="n">
        <v>16</v>
      </c>
      <c r="L763" s="12" t="n">
        <v>200</v>
      </c>
      <c r="M763" s="10" t="inlineStr">
        <is>
          <t>是</t>
        </is>
      </c>
      <c r="N763" s="10" t="inlineStr">
        <is>
          <t>否</t>
        </is>
      </c>
      <c r="O763" s="10" t="inlineStr">
        <is>
          <t>supplier0759@example.com</t>
        </is>
      </c>
      <c r="P763" s="10" t="inlineStr">
        <is>
          <t>https://example.com/supplier/0759</t>
        </is>
      </c>
      <c r="Q763" s="10">
        <f>IF(R763&gt;=85,"A",IF(R763&gt;=70,"B","C"))</f>
        <v/>
      </c>
      <c r="R763" s="13">
        <f>MIN(100,50+IF(M763="是",10,0)+IF(N763="是",10,0)+IF(L763&lt;=100,10,IF(L763&lt;=300,5,0))+IF(J763&lt;=20,10,IF(J763&lt;=50,5,0))+IF(K763-J763&lt;=20,5,0)+IF(F763="企业官网",5,0))</f>
        <v/>
      </c>
      <c r="S763" s="10">
        <f>IF(Q763="A","价格与起订量有优势，建议优先询盘",IF(Q763="B","条件较均衡，可作为备选","起订量或价格需要进一步确认"))</f>
        <v/>
      </c>
      <c r="T763" s="10" t="inlineStr">
        <is>
          <t>未联系</t>
        </is>
      </c>
      <c r="U763" s="10" t="inlineStr">
        <is>
          <t>虚构演示数据</t>
        </is>
      </c>
    </row>
    <row r="764" ht="21" customHeight="1">
      <c r="A764" s="10" t="inlineStr">
        <is>
          <t>GYS-0760</t>
        </is>
      </c>
      <c r="B764" s="10" t="inlineStr">
        <is>
          <t>厦门健康用品供应链0760有限公司（演示）</t>
        </is>
      </c>
      <c r="C764" s="10" t="inlineStr">
        <is>
          <t>健康用品</t>
        </is>
      </c>
      <c r="D764" s="10" t="inlineStr">
        <is>
          <t>热敷眼罩</t>
        </is>
      </c>
      <c r="E764" s="10" t="inlineStr">
        <is>
          <t>福建厦门</t>
        </is>
      </c>
      <c r="F764" s="10" t="inlineStr">
        <is>
          <t>中国制造网</t>
        </is>
      </c>
      <c r="G764" s="10" t="inlineStr">
        <is>
          <t>陈经理</t>
        </is>
      </c>
      <c r="H764" s="10" t="inlineStr">
        <is>
          <t>000-0000-0760</t>
        </is>
      </c>
      <c r="I764" s="10" t="inlineStr">
        <is>
          <t>DEMO_GYS_0760</t>
        </is>
      </c>
      <c r="J764" s="11" t="n">
        <v>6.8</v>
      </c>
      <c r="K764" s="11" t="n">
        <v>18.8</v>
      </c>
      <c r="L764" s="12" t="n">
        <v>100</v>
      </c>
      <c r="M764" s="10" t="inlineStr">
        <is>
          <t>否</t>
        </is>
      </c>
      <c r="N764" s="10" t="inlineStr">
        <is>
          <t>是</t>
        </is>
      </c>
      <c r="O764" s="10" t="inlineStr">
        <is>
          <t>supplier0760@example.com</t>
        </is>
      </c>
      <c r="P764" s="10" t="inlineStr">
        <is>
          <t>https://example.com/supplier/0760</t>
        </is>
      </c>
      <c r="Q764" s="10">
        <f>IF(R764&gt;=85,"A",IF(R764&gt;=70,"B","C"))</f>
        <v/>
      </c>
      <c r="R764" s="13">
        <f>MIN(100,50+IF(M764="是",10,0)+IF(N764="是",10,0)+IF(L764&lt;=100,10,IF(L764&lt;=300,5,0))+IF(J764&lt;=20,10,IF(J764&lt;=50,5,0))+IF(K764-J764&lt;=20,5,0)+IF(F764="企业官网",5,0))</f>
        <v/>
      </c>
      <c r="S764" s="10">
        <f>IF(Q764="A","价格与起订量有优势，建议优先询盘",IF(Q764="B","条件较均衡，可作为备选","起订量或价格需要进一步确认"))</f>
        <v/>
      </c>
      <c r="T764" s="10" t="inlineStr">
        <is>
          <t>未联系</t>
        </is>
      </c>
      <c r="U764" s="10" t="inlineStr">
        <is>
          <t>虚构演示数据</t>
        </is>
      </c>
    </row>
    <row r="765" ht="21" customHeight="1">
      <c r="A765" s="10" t="inlineStr">
        <is>
          <t>GYS-0761</t>
        </is>
      </c>
      <c r="B765" s="10" t="inlineStr">
        <is>
          <t>临沂服饰内衣供应链0761有限公司（演示）</t>
        </is>
      </c>
      <c r="C765" s="10" t="inlineStr">
        <is>
          <t>服饰内衣</t>
        </is>
      </c>
      <c r="D765" s="10" t="inlineStr">
        <is>
          <t>防滑袜</t>
        </is>
      </c>
      <c r="E765" s="10" t="inlineStr">
        <is>
          <t>山东临沂</t>
        </is>
      </c>
      <c r="F765" s="10" t="inlineStr">
        <is>
          <t>企业官网</t>
        </is>
      </c>
      <c r="G765" s="10" t="inlineStr">
        <is>
          <t>林经理</t>
        </is>
      </c>
      <c r="H765" s="10" t="inlineStr">
        <is>
          <t>000-0000-0761</t>
        </is>
      </c>
      <c r="I765" s="10" t="inlineStr">
        <is>
          <t>DEMO_GYS_0761</t>
        </is>
      </c>
      <c r="J765" s="11" t="n">
        <v>8.5</v>
      </c>
      <c r="K765" s="11" t="n">
        <v>21.6</v>
      </c>
      <c r="L765" s="12" t="n">
        <v>50</v>
      </c>
      <c r="M765" s="10" t="inlineStr">
        <is>
          <t>是</t>
        </is>
      </c>
      <c r="N765" s="10" t="inlineStr">
        <is>
          <t>是</t>
        </is>
      </c>
      <c r="O765" s="10" t="inlineStr">
        <is>
          <t>supplier0761@example.com</t>
        </is>
      </c>
      <c r="P765" s="10" t="inlineStr">
        <is>
          <t>https://example.com/supplier/0761</t>
        </is>
      </c>
      <c r="Q765" s="10">
        <f>IF(R765&gt;=85,"A",IF(R765&gt;=70,"B","C"))</f>
        <v/>
      </c>
      <c r="R765" s="13">
        <f>MIN(100,50+IF(M765="是",10,0)+IF(N765="是",10,0)+IF(L765&lt;=100,10,IF(L765&lt;=300,5,0))+IF(J765&lt;=20,10,IF(J765&lt;=50,5,0))+IF(K765-J765&lt;=20,5,0)+IF(F765="企业官网",5,0))</f>
        <v/>
      </c>
      <c r="S765" s="10">
        <f>IF(Q765="A","价格与起订量有优势，建议优先询盘",IF(Q765="B","条件较均衡，可作为备选","起订量或价格需要进一步确认"))</f>
        <v/>
      </c>
      <c r="T765" s="10" t="inlineStr">
        <is>
          <t>未联系</t>
        </is>
      </c>
      <c r="U765" s="10" t="inlineStr">
        <is>
          <t>虚构演示数据</t>
        </is>
      </c>
    </row>
    <row r="766" ht="21" customHeight="1">
      <c r="A766" s="10" t="inlineStr">
        <is>
          <t>GYS-0762</t>
        </is>
      </c>
      <c r="B766" s="10" t="inlineStr">
        <is>
          <t>南昌家居日用供应链0762有限公司（演示）</t>
        </is>
      </c>
      <c r="C766" s="10" t="inlineStr">
        <is>
          <t>家居日用</t>
        </is>
      </c>
      <c r="D766" s="10" t="inlineStr">
        <is>
          <t>折叠收纳箱</t>
        </is>
      </c>
      <c r="E766" s="10" t="inlineStr">
        <is>
          <t>江西南昌</t>
        </is>
      </c>
      <c r="F766" s="10" t="inlineStr">
        <is>
          <t>义乌购</t>
        </is>
      </c>
      <c r="G766" s="10" t="inlineStr">
        <is>
          <t>王经理</t>
        </is>
      </c>
      <c r="H766" s="10" t="inlineStr">
        <is>
          <t>000-0000-0762</t>
        </is>
      </c>
      <c r="I766" s="10" t="inlineStr">
        <is>
          <t>DEMO_GYS_0762</t>
        </is>
      </c>
      <c r="J766" s="11" t="n">
        <v>10.2</v>
      </c>
      <c r="K766" s="11" t="n">
        <v>24.4</v>
      </c>
      <c r="L766" s="12" t="n">
        <v>20</v>
      </c>
      <c r="M766" s="10" t="inlineStr">
        <is>
          <t>是</t>
        </is>
      </c>
      <c r="N766" s="10" t="inlineStr">
        <is>
          <t>否</t>
        </is>
      </c>
      <c r="O766" s="10" t="inlineStr">
        <is>
          <t>supplier0762@example.com</t>
        </is>
      </c>
      <c r="P766" s="10" t="inlineStr">
        <is>
          <t>https://example.com/supplier/0762</t>
        </is>
      </c>
      <c r="Q766" s="10">
        <f>IF(R766&gt;=85,"A",IF(R766&gt;=70,"B","C"))</f>
        <v/>
      </c>
      <c r="R766" s="13">
        <f>MIN(100,50+IF(M766="是",10,0)+IF(N766="是",10,0)+IF(L766&lt;=100,10,IF(L766&lt;=300,5,0))+IF(J766&lt;=20,10,IF(J766&lt;=50,5,0))+IF(K766-J766&lt;=20,5,0)+IF(F766="企业官网",5,0))</f>
        <v/>
      </c>
      <c r="S766" s="10">
        <f>IF(Q766="A","价格与起订量有优势，建议优先询盘",IF(Q766="B","条件较均衡，可作为备选","起订量或价格需要进一步确认"))</f>
        <v/>
      </c>
      <c r="T766" s="10" t="inlineStr">
        <is>
          <t>未联系</t>
        </is>
      </c>
      <c r="U766" s="10" t="inlineStr">
        <is>
          <t>虚构演示数据</t>
        </is>
      </c>
    </row>
    <row r="767" ht="21" customHeight="1">
      <c r="A767" s="10" t="inlineStr">
        <is>
          <t>GYS-0763</t>
        </is>
      </c>
      <c r="B767" s="10" t="inlineStr">
        <is>
          <t>温州个护清洁供应链0763有限公司（演示）</t>
        </is>
      </c>
      <c r="C767" s="10" t="inlineStr">
        <is>
          <t>个护清洁</t>
        </is>
      </c>
      <c r="D767" s="10" t="inlineStr">
        <is>
          <t>便携洗脸巾</t>
        </is>
      </c>
      <c r="E767" s="10" t="inlineStr">
        <is>
          <t>浙江温州</t>
        </is>
      </c>
      <c r="F767" s="10" t="inlineStr">
        <is>
          <t>慧聪网</t>
        </is>
      </c>
      <c r="G767" s="10" t="inlineStr">
        <is>
          <t>李经理</t>
        </is>
      </c>
      <c r="H767" s="10" t="inlineStr">
        <is>
          <t>000-0000-0763</t>
        </is>
      </c>
      <c r="I767" s="10" t="inlineStr">
        <is>
          <t>DEMO_GYS_0763</t>
        </is>
      </c>
      <c r="J767" s="11" t="n">
        <v>11.9</v>
      </c>
      <c r="K767" s="11" t="n">
        <v>27.2</v>
      </c>
      <c r="L767" s="12" t="n">
        <v>500</v>
      </c>
      <c r="M767" s="10" t="inlineStr">
        <is>
          <t>是</t>
        </is>
      </c>
      <c r="N767" s="10" t="inlineStr">
        <is>
          <t>是</t>
        </is>
      </c>
      <c r="O767" s="10" t="inlineStr">
        <is>
          <t>supplier0763@example.com</t>
        </is>
      </c>
      <c r="P767" s="10" t="inlineStr">
        <is>
          <t>https://example.com/supplier/0763</t>
        </is>
      </c>
      <c r="Q767" s="10">
        <f>IF(R767&gt;=85,"A",IF(R767&gt;=70,"B","C"))</f>
        <v/>
      </c>
      <c r="R767" s="13">
        <f>MIN(100,50+IF(M767="是",10,0)+IF(N767="是",10,0)+IF(L767&lt;=100,10,IF(L767&lt;=300,5,0))+IF(J767&lt;=20,10,IF(J767&lt;=50,5,0))+IF(K767-J767&lt;=20,5,0)+IF(F767="企业官网",5,0))</f>
        <v/>
      </c>
      <c r="S767" s="10">
        <f>IF(Q767="A","价格与起订量有优势，建议优先询盘",IF(Q767="B","条件较均衡，可作为备选","起订量或价格需要进一步确认"))</f>
        <v/>
      </c>
      <c r="T767" s="10" t="inlineStr">
        <is>
          <t>未联系</t>
        </is>
      </c>
      <c r="U767" s="10" t="inlineStr">
        <is>
          <t>虚构演示数据</t>
        </is>
      </c>
    </row>
    <row r="768" ht="21" customHeight="1">
      <c r="A768" s="10" t="inlineStr">
        <is>
          <t>GYS-0764</t>
        </is>
      </c>
      <c r="B768" s="10" t="inlineStr">
        <is>
          <t>广州厨房用品供应链0764有限公司（演示）</t>
        </is>
      </c>
      <c r="C768" s="10" t="inlineStr">
        <is>
          <t>厨房用品</t>
        </is>
      </c>
      <c r="D768" s="10" t="inlineStr">
        <is>
          <t>硅胶保鲜盒</t>
        </is>
      </c>
      <c r="E768" s="10" t="inlineStr">
        <is>
          <t>广东广州</t>
        </is>
      </c>
      <c r="F768" s="10" t="inlineStr">
        <is>
          <t>1688</t>
        </is>
      </c>
      <c r="G768" s="10" t="inlineStr">
        <is>
          <t>张经理</t>
        </is>
      </c>
      <c r="H768" s="10" t="inlineStr">
        <is>
          <t>000-0000-0764</t>
        </is>
      </c>
      <c r="I768" s="10" t="inlineStr">
        <is>
          <t>DEMO_GYS_0764</t>
        </is>
      </c>
      <c r="J768" s="11" t="n">
        <v>13.6</v>
      </c>
      <c r="K768" s="11" t="n">
        <v>30</v>
      </c>
      <c r="L768" s="12" t="n">
        <v>300</v>
      </c>
      <c r="M768" s="10" t="inlineStr">
        <is>
          <t>否</t>
        </is>
      </c>
      <c r="N768" s="10" t="inlineStr">
        <is>
          <t>是</t>
        </is>
      </c>
      <c r="O768" s="10" t="inlineStr">
        <is>
          <t>supplier0764@example.com</t>
        </is>
      </c>
      <c r="P768" s="10" t="inlineStr">
        <is>
          <t>https://example.com/supplier/0764</t>
        </is>
      </c>
      <c r="Q768" s="10">
        <f>IF(R768&gt;=85,"A",IF(R768&gt;=70,"B","C"))</f>
        <v/>
      </c>
      <c r="R768" s="13">
        <f>MIN(100,50+IF(M768="是",10,0)+IF(N768="是",10,0)+IF(L768&lt;=100,10,IF(L768&lt;=300,5,0))+IF(J768&lt;=20,10,IF(J768&lt;=50,5,0))+IF(K768-J768&lt;=20,5,0)+IF(F768="企业官网",5,0))</f>
        <v/>
      </c>
      <c r="S768" s="10">
        <f>IF(Q768="A","价格与起订量有优势，建议优先询盘",IF(Q768="B","条件较均衡，可作为备选","起订量或价格需要进一步确认"))</f>
        <v/>
      </c>
      <c r="T768" s="10" t="inlineStr">
        <is>
          <t>未联系</t>
        </is>
      </c>
      <c r="U768" s="10" t="inlineStr">
        <is>
          <t>虚构演示数据</t>
        </is>
      </c>
    </row>
    <row r="769" ht="21" customHeight="1">
      <c r="A769" s="10" t="inlineStr">
        <is>
          <t>GYS-0765</t>
        </is>
      </c>
      <c r="B769" s="10" t="inlineStr">
        <is>
          <t>泉州数码配件供应链0765有限公司（演示）</t>
        </is>
      </c>
      <c r="C769" s="10" t="inlineStr">
        <is>
          <t>数码配件</t>
        </is>
      </c>
      <c r="D769" s="10" t="inlineStr">
        <is>
          <t>磁吸手机支架</t>
        </is>
      </c>
      <c r="E769" s="10" t="inlineStr">
        <is>
          <t>福建泉州</t>
        </is>
      </c>
      <c r="F769" s="10" t="inlineStr">
        <is>
          <t>中国制造网</t>
        </is>
      </c>
      <c r="G769" s="10" t="inlineStr">
        <is>
          <t>刘经理</t>
        </is>
      </c>
      <c r="H769" s="10" t="inlineStr">
        <is>
          <t>000-0000-0765</t>
        </is>
      </c>
      <c r="I769" s="10" t="inlineStr">
        <is>
          <t>DEMO_GYS_0765</t>
        </is>
      </c>
      <c r="J769" s="11" t="n">
        <v>15.3</v>
      </c>
      <c r="K769" s="11" t="n">
        <v>32.8</v>
      </c>
      <c r="L769" s="12" t="n">
        <v>200</v>
      </c>
      <c r="M769" s="10" t="inlineStr">
        <is>
          <t>是</t>
        </is>
      </c>
      <c r="N769" s="10" t="inlineStr">
        <is>
          <t>否</t>
        </is>
      </c>
      <c r="O769" s="10" t="inlineStr">
        <is>
          <t>supplier0765@example.com</t>
        </is>
      </c>
      <c r="P769" s="10" t="inlineStr">
        <is>
          <t>https://example.com/supplier/0765</t>
        </is>
      </c>
      <c r="Q769" s="10">
        <f>IF(R769&gt;=85,"A",IF(R769&gt;=70,"B","C"))</f>
        <v/>
      </c>
      <c r="R769" s="13">
        <f>MIN(100,50+IF(M769="是",10,0)+IF(N769="是",10,0)+IF(L769&lt;=100,10,IF(L769&lt;=300,5,0))+IF(J769&lt;=20,10,IF(J769&lt;=50,5,0))+IF(K769-J769&lt;=20,5,0)+IF(F769="企业官网",5,0))</f>
        <v/>
      </c>
      <c r="S769" s="10">
        <f>IF(Q769="A","价格与起订量有优势，建议优先询盘",IF(Q769="B","条件较均衡，可作为备选","起订量或价格需要进一步确认"))</f>
        <v/>
      </c>
      <c r="T769" s="10" t="inlineStr">
        <is>
          <t>未联系</t>
        </is>
      </c>
      <c r="U769" s="10" t="inlineStr">
        <is>
          <t>虚构演示数据</t>
        </is>
      </c>
    </row>
    <row r="770" ht="21" customHeight="1">
      <c r="A770" s="10" t="inlineStr">
        <is>
          <t>GYS-0766</t>
        </is>
      </c>
      <c r="B770" s="10" t="inlineStr">
        <is>
          <t>南通宠物用品供应链0766有限公司（演示）</t>
        </is>
      </c>
      <c r="C770" s="10" t="inlineStr">
        <is>
          <t>宠物用品</t>
        </is>
      </c>
      <c r="D770" s="10" t="inlineStr">
        <is>
          <t>宠物清洁手套</t>
        </is>
      </c>
      <c r="E770" s="10" t="inlineStr">
        <is>
          <t>江苏南通</t>
        </is>
      </c>
      <c r="F770" s="10" t="inlineStr">
        <is>
          <t>企业官网</t>
        </is>
      </c>
      <c r="G770" s="10" t="inlineStr">
        <is>
          <t>黄经理</t>
        </is>
      </c>
      <c r="H770" s="10" t="inlineStr">
        <is>
          <t>000-0000-0766</t>
        </is>
      </c>
      <c r="I770" s="10" t="inlineStr">
        <is>
          <t>DEMO_GYS_0766</t>
        </is>
      </c>
      <c r="J770" s="11" t="n">
        <v>17</v>
      </c>
      <c r="K770" s="11" t="n">
        <v>35.6</v>
      </c>
      <c r="L770" s="12" t="n">
        <v>100</v>
      </c>
      <c r="M770" s="10" t="inlineStr">
        <is>
          <t>是</t>
        </is>
      </c>
      <c r="N770" s="10" t="inlineStr">
        <is>
          <t>是</t>
        </is>
      </c>
      <c r="O770" s="10" t="inlineStr">
        <is>
          <t>supplier0766@example.com</t>
        </is>
      </c>
      <c r="P770" s="10" t="inlineStr">
        <is>
          <t>https://example.com/supplier/0766</t>
        </is>
      </c>
      <c r="Q770" s="10">
        <f>IF(R770&gt;=85,"A",IF(R770&gt;=70,"B","C"))</f>
        <v/>
      </c>
      <c r="R770" s="13">
        <f>MIN(100,50+IF(M770="是",10,0)+IF(N770="是",10,0)+IF(L770&lt;=100,10,IF(L770&lt;=300,5,0))+IF(J770&lt;=20,10,IF(J770&lt;=50,5,0))+IF(K770-J770&lt;=20,5,0)+IF(F770="企业官网",5,0))</f>
        <v/>
      </c>
      <c r="S770" s="10">
        <f>IF(Q770="A","价格与起订量有优势，建议优先询盘",IF(Q770="B","条件较均衡，可作为备选","起订量或价格需要进一步确认"))</f>
        <v/>
      </c>
      <c r="T770" s="10" t="inlineStr">
        <is>
          <t>未联系</t>
        </is>
      </c>
      <c r="U770" s="10" t="inlineStr">
        <is>
          <t>虚构演示数据</t>
        </is>
      </c>
    </row>
    <row r="771" ht="21" customHeight="1">
      <c r="A771" s="10" t="inlineStr">
        <is>
          <t>GYS-0767</t>
        </is>
      </c>
      <c r="B771" s="10" t="inlineStr">
        <is>
          <t>郑州母婴用品供应链0767有限公司（演示）</t>
        </is>
      </c>
      <c r="C771" s="10" t="inlineStr">
        <is>
          <t>母婴用品</t>
        </is>
      </c>
      <c r="D771" s="10" t="inlineStr">
        <is>
          <t>婴儿防撞条</t>
        </is>
      </c>
      <c r="E771" s="10" t="inlineStr">
        <is>
          <t>河南郑州</t>
        </is>
      </c>
      <c r="F771" s="10" t="inlineStr">
        <is>
          <t>义乌购</t>
        </is>
      </c>
      <c r="G771" s="10" t="inlineStr">
        <is>
          <t>赵经理</t>
        </is>
      </c>
      <c r="H771" s="10" t="inlineStr">
        <is>
          <t>000-0000-0767</t>
        </is>
      </c>
      <c r="I771" s="10" t="inlineStr">
        <is>
          <t>DEMO_GYS_0767</t>
        </is>
      </c>
      <c r="J771" s="11" t="n">
        <v>18.7</v>
      </c>
      <c r="K771" s="11" t="n">
        <v>38.4</v>
      </c>
      <c r="L771" s="12" t="n">
        <v>50</v>
      </c>
      <c r="M771" s="10" t="inlineStr">
        <is>
          <t>是</t>
        </is>
      </c>
      <c r="N771" s="10" t="inlineStr">
        <is>
          <t>是</t>
        </is>
      </c>
      <c r="O771" s="10" t="inlineStr">
        <is>
          <t>supplier0767@example.com</t>
        </is>
      </c>
      <c r="P771" s="10" t="inlineStr">
        <is>
          <t>https://example.com/supplier/0767</t>
        </is>
      </c>
      <c r="Q771" s="10">
        <f>IF(R771&gt;=85,"A",IF(R771&gt;=70,"B","C"))</f>
        <v/>
      </c>
      <c r="R771" s="13">
        <f>MIN(100,50+IF(M771="是",10,0)+IF(N771="是",10,0)+IF(L771&lt;=100,10,IF(L771&lt;=300,5,0))+IF(J771&lt;=20,10,IF(J771&lt;=50,5,0))+IF(K771-J771&lt;=20,5,0)+IF(F771="企业官网",5,0))</f>
        <v/>
      </c>
      <c r="S771" s="10">
        <f>IF(Q771="A","价格与起订量有优势，建议优先询盘",IF(Q771="B","条件较均衡，可作为备选","起订量或价格需要进一步确认"))</f>
        <v/>
      </c>
      <c r="T771" s="10" t="inlineStr">
        <is>
          <t>未联系</t>
        </is>
      </c>
      <c r="U771" s="10" t="inlineStr">
        <is>
          <t>虚构演示数据</t>
        </is>
      </c>
    </row>
    <row r="772" ht="21" customHeight="1">
      <c r="A772" s="10" t="inlineStr">
        <is>
          <t>GYS-0768</t>
        </is>
      </c>
      <c r="B772" s="10" t="inlineStr">
        <is>
          <t>宁波运动户外供应链0768有限公司（演示）</t>
        </is>
      </c>
      <c r="C772" s="10" t="inlineStr">
        <is>
          <t>运动户外</t>
        </is>
      </c>
      <c r="D772" s="10" t="inlineStr">
        <is>
          <t>弹力训练带</t>
        </is>
      </c>
      <c r="E772" s="10" t="inlineStr">
        <is>
          <t>浙江宁波</t>
        </is>
      </c>
      <c r="F772" s="10" t="inlineStr">
        <is>
          <t>慧聪网</t>
        </is>
      </c>
      <c r="G772" s="10" t="inlineStr">
        <is>
          <t>周经理</t>
        </is>
      </c>
      <c r="H772" s="10" t="inlineStr">
        <is>
          <t>000-0000-0768</t>
        </is>
      </c>
      <c r="I772" s="10" t="inlineStr">
        <is>
          <t>DEMO_GYS_0768</t>
        </is>
      </c>
      <c r="J772" s="11" t="n">
        <v>20.4</v>
      </c>
      <c r="K772" s="11" t="n">
        <v>41.2</v>
      </c>
      <c r="L772" s="12" t="n">
        <v>20</v>
      </c>
      <c r="M772" s="10" t="inlineStr">
        <is>
          <t>否</t>
        </is>
      </c>
      <c r="N772" s="10" t="inlineStr">
        <is>
          <t>否</t>
        </is>
      </c>
      <c r="O772" s="10" t="inlineStr">
        <is>
          <t>supplier0768@example.com</t>
        </is>
      </c>
      <c r="P772" s="10" t="inlineStr">
        <is>
          <t>https://example.com/supplier/0768</t>
        </is>
      </c>
      <c r="Q772" s="10">
        <f>IF(R772&gt;=85,"A",IF(R772&gt;=70,"B","C"))</f>
        <v/>
      </c>
      <c r="R772" s="13">
        <f>MIN(100,50+IF(M772="是",10,0)+IF(N772="是",10,0)+IF(L772&lt;=100,10,IF(L772&lt;=300,5,0))+IF(J772&lt;=20,10,IF(J772&lt;=50,5,0))+IF(K772-J772&lt;=20,5,0)+IF(F772="企业官网",5,0))</f>
        <v/>
      </c>
      <c r="S772" s="10">
        <f>IF(Q772="A","价格与起订量有优势，建议优先询盘",IF(Q772="B","条件较均衡，可作为备选","起订量或价格需要进一步确认"))</f>
        <v/>
      </c>
      <c r="T772" s="10" t="inlineStr">
        <is>
          <t>未联系</t>
        </is>
      </c>
      <c r="U772" s="10" t="inlineStr">
        <is>
          <t>虚构演示数据</t>
        </is>
      </c>
    </row>
    <row r="773" ht="21" customHeight="1">
      <c r="A773" s="10" t="inlineStr">
        <is>
          <t>GYS-0769</t>
        </is>
      </c>
      <c r="B773" s="10" t="inlineStr">
        <is>
          <t>深圳办公文具供应链0769有限公司（演示）</t>
        </is>
      </c>
      <c r="C773" s="10" t="inlineStr">
        <is>
          <t>办公文具</t>
        </is>
      </c>
      <c r="D773" s="10" t="inlineStr">
        <is>
          <t>桌面收纳架</t>
        </is>
      </c>
      <c r="E773" s="10" t="inlineStr">
        <is>
          <t>广东深圳</t>
        </is>
      </c>
      <c r="F773" s="10" t="inlineStr">
        <is>
          <t>1688</t>
        </is>
      </c>
      <c r="G773" s="10" t="inlineStr">
        <is>
          <t>吴经理</t>
        </is>
      </c>
      <c r="H773" s="10" t="inlineStr">
        <is>
          <t>000-0000-0769</t>
        </is>
      </c>
      <c r="I773" s="10" t="inlineStr">
        <is>
          <t>DEMO_GYS_0769</t>
        </is>
      </c>
      <c r="J773" s="11" t="n">
        <v>22.1</v>
      </c>
      <c r="K773" s="11" t="n">
        <v>44</v>
      </c>
      <c r="L773" s="12" t="n">
        <v>500</v>
      </c>
      <c r="M773" s="10" t="inlineStr">
        <is>
          <t>是</t>
        </is>
      </c>
      <c r="N773" s="10" t="inlineStr">
        <is>
          <t>是</t>
        </is>
      </c>
      <c r="O773" s="10" t="inlineStr">
        <is>
          <t>supplier0769@example.com</t>
        </is>
      </c>
      <c r="P773" s="10" t="inlineStr">
        <is>
          <t>https://example.com/supplier/0769</t>
        </is>
      </c>
      <c r="Q773" s="10">
        <f>IF(R773&gt;=85,"A",IF(R773&gt;=70,"B","C"))</f>
        <v/>
      </c>
      <c r="R773" s="13">
        <f>MIN(100,50+IF(M773="是",10,0)+IF(N773="是",10,0)+IF(L773&lt;=100,10,IF(L773&lt;=300,5,0))+IF(J773&lt;=20,10,IF(J773&lt;=50,5,0))+IF(K773-J773&lt;=20,5,0)+IF(F773="企业官网",5,0))</f>
        <v/>
      </c>
      <c r="S773" s="10">
        <f>IF(Q773="A","价格与起订量有优势，建议优先询盘",IF(Q773="B","条件较均衡，可作为备选","起订量或价格需要进一步确认"))</f>
        <v/>
      </c>
      <c r="T773" s="10" t="inlineStr">
        <is>
          <t>未联系</t>
        </is>
      </c>
      <c r="U773" s="10" t="inlineStr">
        <is>
          <t>虚构演示数据</t>
        </is>
      </c>
    </row>
    <row r="774" ht="21" customHeight="1">
      <c r="A774" s="10" t="inlineStr">
        <is>
          <t>GYS-0770</t>
        </is>
      </c>
      <c r="B774" s="10" t="inlineStr">
        <is>
          <t>佛山汽车用品供应链0770有限公司（演示）</t>
        </is>
      </c>
      <c r="C774" s="10" t="inlineStr">
        <is>
          <t>汽车用品</t>
        </is>
      </c>
      <c r="D774" s="10" t="inlineStr">
        <is>
          <t>车载香薰</t>
        </is>
      </c>
      <c r="E774" s="10" t="inlineStr">
        <is>
          <t>广东佛山</t>
        </is>
      </c>
      <c r="F774" s="10" t="inlineStr">
        <is>
          <t>中国制造网</t>
        </is>
      </c>
      <c r="G774" s="10" t="inlineStr">
        <is>
          <t>陈经理</t>
        </is>
      </c>
      <c r="H774" s="10" t="inlineStr">
        <is>
          <t>000-0000-0770</t>
        </is>
      </c>
      <c r="I774" s="10" t="inlineStr">
        <is>
          <t>DEMO_GYS_0770</t>
        </is>
      </c>
      <c r="J774" s="11" t="n">
        <v>23.8</v>
      </c>
      <c r="K774" s="11" t="n">
        <v>28.8</v>
      </c>
      <c r="L774" s="12" t="n">
        <v>300</v>
      </c>
      <c r="M774" s="10" t="inlineStr">
        <is>
          <t>是</t>
        </is>
      </c>
      <c r="N774" s="10" t="inlineStr">
        <is>
          <t>是</t>
        </is>
      </c>
      <c r="O774" s="10" t="inlineStr">
        <is>
          <t>supplier0770@example.com</t>
        </is>
      </c>
      <c r="P774" s="10" t="inlineStr">
        <is>
          <t>https://example.com/supplier/0770</t>
        </is>
      </c>
      <c r="Q774" s="10">
        <f>IF(R774&gt;=85,"A",IF(R774&gt;=70,"B","C"))</f>
        <v/>
      </c>
      <c r="R774" s="13">
        <f>MIN(100,50+IF(M774="是",10,0)+IF(N774="是",10,0)+IF(L774&lt;=100,10,IF(L774&lt;=300,5,0))+IF(J774&lt;=20,10,IF(J774&lt;=50,5,0))+IF(K774-J774&lt;=20,5,0)+IF(F774="企业官网",5,0))</f>
        <v/>
      </c>
      <c r="S774" s="10">
        <f>IF(Q774="A","价格与起订量有优势，建议优先询盘",IF(Q774="B","条件较均衡，可作为备选","起订量或价格需要进一步确认"))</f>
        <v/>
      </c>
      <c r="T774" s="10" t="inlineStr">
        <is>
          <t>未联系</t>
        </is>
      </c>
      <c r="U774" s="10" t="inlineStr">
        <is>
          <t>虚构演示数据</t>
        </is>
      </c>
    </row>
    <row r="775" ht="21" customHeight="1">
      <c r="A775" s="10" t="inlineStr">
        <is>
          <t>GYS-0771</t>
        </is>
      </c>
      <c r="B775" s="10" t="inlineStr">
        <is>
          <t>苏州美容工具供应链0771有限公司（演示）</t>
        </is>
      </c>
      <c r="C775" s="10" t="inlineStr">
        <is>
          <t>美容工具</t>
        </is>
      </c>
      <c r="D775" s="10" t="inlineStr">
        <is>
          <t>便携化妆镜</t>
        </is>
      </c>
      <c r="E775" s="10" t="inlineStr">
        <is>
          <t>江苏苏州</t>
        </is>
      </c>
      <c r="F775" s="10" t="inlineStr">
        <is>
          <t>企业官网</t>
        </is>
      </c>
      <c r="G775" s="10" t="inlineStr">
        <is>
          <t>林经理</t>
        </is>
      </c>
      <c r="H775" s="10" t="inlineStr">
        <is>
          <t>000-0000-0771</t>
        </is>
      </c>
      <c r="I775" s="10" t="inlineStr">
        <is>
          <t>DEMO_GYS_0771</t>
        </is>
      </c>
      <c r="J775" s="11" t="n">
        <v>25.5</v>
      </c>
      <c r="K775" s="11" t="n">
        <v>31.6</v>
      </c>
      <c r="L775" s="12" t="n">
        <v>200</v>
      </c>
      <c r="M775" s="10" t="inlineStr">
        <is>
          <t>是</t>
        </is>
      </c>
      <c r="N775" s="10" t="inlineStr">
        <is>
          <t>否</t>
        </is>
      </c>
      <c r="O775" s="10" t="inlineStr">
        <is>
          <t>supplier0771@example.com</t>
        </is>
      </c>
      <c r="P775" s="10" t="inlineStr">
        <is>
          <t>https://example.com/supplier/0771</t>
        </is>
      </c>
      <c r="Q775" s="10">
        <f>IF(R775&gt;=85,"A",IF(R775&gt;=70,"B","C"))</f>
        <v/>
      </c>
      <c r="R775" s="13">
        <f>MIN(100,50+IF(M775="是",10,0)+IF(N775="是",10,0)+IF(L775&lt;=100,10,IF(L775&lt;=300,5,0))+IF(J775&lt;=20,10,IF(J775&lt;=50,5,0))+IF(K775-J775&lt;=20,5,0)+IF(F775="企业官网",5,0))</f>
        <v/>
      </c>
      <c r="S775" s="10">
        <f>IF(Q775="A","价格与起订量有优势，建议优先询盘",IF(Q775="B","条件较均衡，可作为备选","起订量或价格需要进一步确认"))</f>
        <v/>
      </c>
      <c r="T775" s="10" t="inlineStr">
        <is>
          <t>未联系</t>
        </is>
      </c>
      <c r="U775" s="10" t="inlineStr">
        <is>
          <t>虚构演示数据</t>
        </is>
      </c>
    </row>
    <row r="776" ht="21" customHeight="1">
      <c r="A776" s="10" t="inlineStr">
        <is>
          <t>GYS-0772</t>
        </is>
      </c>
      <c r="B776" s="10" t="inlineStr">
        <is>
          <t>白沟旅行用品供应链0772有限公司（演示）</t>
        </is>
      </c>
      <c r="C776" s="10" t="inlineStr">
        <is>
          <t>旅行用品</t>
        </is>
      </c>
      <c r="D776" s="10" t="inlineStr">
        <is>
          <t>压缩收纳袋</t>
        </is>
      </c>
      <c r="E776" s="10" t="inlineStr">
        <is>
          <t>河北白沟</t>
        </is>
      </c>
      <c r="F776" s="10" t="inlineStr">
        <is>
          <t>义乌购</t>
        </is>
      </c>
      <c r="G776" s="10" t="inlineStr">
        <is>
          <t>王经理</t>
        </is>
      </c>
      <c r="H776" s="10" t="inlineStr">
        <is>
          <t>000-0000-0772</t>
        </is>
      </c>
      <c r="I776" s="10" t="inlineStr">
        <is>
          <t>DEMO_GYS_0772</t>
        </is>
      </c>
      <c r="J776" s="11" t="n">
        <v>27.2</v>
      </c>
      <c r="K776" s="11" t="n">
        <v>34.4</v>
      </c>
      <c r="L776" s="12" t="n">
        <v>100</v>
      </c>
      <c r="M776" s="10" t="inlineStr">
        <is>
          <t>否</t>
        </is>
      </c>
      <c r="N776" s="10" t="inlineStr">
        <is>
          <t>是</t>
        </is>
      </c>
      <c r="O776" s="10" t="inlineStr">
        <is>
          <t>supplier0772@example.com</t>
        </is>
      </c>
      <c r="P776" s="10" t="inlineStr">
        <is>
          <t>https://example.com/supplier/0772</t>
        </is>
      </c>
      <c r="Q776" s="10">
        <f>IF(R776&gt;=85,"A",IF(R776&gt;=70,"B","C"))</f>
        <v/>
      </c>
      <c r="R776" s="13">
        <f>MIN(100,50+IF(M776="是",10,0)+IF(N776="是",10,0)+IF(L776&lt;=100,10,IF(L776&lt;=300,5,0))+IF(J776&lt;=20,10,IF(J776&lt;=50,5,0))+IF(K776-J776&lt;=20,5,0)+IF(F776="企业官网",5,0))</f>
        <v/>
      </c>
      <c r="S776" s="10">
        <f>IF(Q776="A","价格与起订量有优势，建议优先询盘",IF(Q776="B","条件较均衡，可作为备选","起订量或价格需要进一步确认"))</f>
        <v/>
      </c>
      <c r="T776" s="10" t="inlineStr">
        <is>
          <t>未联系</t>
        </is>
      </c>
      <c r="U776" s="10" t="inlineStr">
        <is>
          <t>虚构演示数据</t>
        </is>
      </c>
    </row>
    <row r="777" ht="21" customHeight="1">
      <c r="A777" s="10" t="inlineStr">
        <is>
          <t>GYS-0773</t>
        </is>
      </c>
      <c r="B777" s="10" t="inlineStr">
        <is>
          <t>义乌清洁工具供应链0773有限公司（演示）</t>
        </is>
      </c>
      <c r="C777" s="10" t="inlineStr">
        <is>
          <t>清洁工具</t>
        </is>
      </c>
      <c r="D777" s="10" t="inlineStr">
        <is>
          <t>免手洗拖把</t>
        </is>
      </c>
      <c r="E777" s="10" t="inlineStr">
        <is>
          <t>浙江义乌</t>
        </is>
      </c>
      <c r="F777" s="10" t="inlineStr">
        <is>
          <t>慧聪网</t>
        </is>
      </c>
      <c r="G777" s="10" t="inlineStr">
        <is>
          <t>李经理</t>
        </is>
      </c>
      <c r="H777" s="10" t="inlineStr">
        <is>
          <t>000-0000-0773</t>
        </is>
      </c>
      <c r="I777" s="10" t="inlineStr">
        <is>
          <t>DEMO_GYS_0773</t>
        </is>
      </c>
      <c r="J777" s="11" t="n">
        <v>28.9</v>
      </c>
      <c r="K777" s="11" t="n">
        <v>37.2</v>
      </c>
      <c r="L777" s="12" t="n">
        <v>50</v>
      </c>
      <c r="M777" s="10" t="inlineStr">
        <is>
          <t>是</t>
        </is>
      </c>
      <c r="N777" s="10" t="inlineStr">
        <is>
          <t>是</t>
        </is>
      </c>
      <c r="O777" s="10" t="inlineStr">
        <is>
          <t>supplier0773@example.com</t>
        </is>
      </c>
      <c r="P777" s="10" t="inlineStr">
        <is>
          <t>https://example.com/supplier/0773</t>
        </is>
      </c>
      <c r="Q777" s="10">
        <f>IF(R777&gt;=85,"A",IF(R777&gt;=70,"B","C"))</f>
        <v/>
      </c>
      <c r="R777" s="13">
        <f>MIN(100,50+IF(M777="是",10,0)+IF(N777="是",10,0)+IF(L777&lt;=100,10,IF(L777&lt;=300,5,0))+IF(J777&lt;=20,10,IF(J777&lt;=50,5,0))+IF(K777-J777&lt;=20,5,0)+IF(F777="企业官网",5,0))</f>
        <v/>
      </c>
      <c r="S777" s="10">
        <f>IF(Q777="A","价格与起订量有优势，建议优先询盘",IF(Q777="B","条件较均衡，可作为备选","起订量或价格需要进一步确认"))</f>
        <v/>
      </c>
      <c r="T777" s="10" t="inlineStr">
        <is>
          <t>未联系</t>
        </is>
      </c>
      <c r="U777" s="10" t="inlineStr">
        <is>
          <t>虚构演示数据</t>
        </is>
      </c>
    </row>
    <row r="778" ht="21" customHeight="1">
      <c r="A778" s="10" t="inlineStr">
        <is>
          <t>GYS-0774</t>
        </is>
      </c>
      <c r="B778" s="10" t="inlineStr">
        <is>
          <t>台州小家电供应链0774有限公司（演示）</t>
        </is>
      </c>
      <c r="C778" s="10" t="inlineStr">
        <is>
          <t>小家电</t>
        </is>
      </c>
      <c r="D778" s="10" t="inlineStr">
        <is>
          <t>迷你加湿器</t>
        </is>
      </c>
      <c r="E778" s="10" t="inlineStr">
        <is>
          <t>浙江台州</t>
        </is>
      </c>
      <c r="F778" s="10" t="inlineStr">
        <is>
          <t>1688</t>
        </is>
      </c>
      <c r="G778" s="10" t="inlineStr">
        <is>
          <t>张经理</t>
        </is>
      </c>
      <c r="H778" s="10" t="inlineStr">
        <is>
          <t>000-0000-0774</t>
        </is>
      </c>
      <c r="I778" s="10" t="inlineStr">
        <is>
          <t>DEMO_GYS_0774</t>
        </is>
      </c>
      <c r="J778" s="11" t="n">
        <v>30.6</v>
      </c>
      <c r="K778" s="11" t="n">
        <v>40</v>
      </c>
      <c r="L778" s="12" t="n">
        <v>20</v>
      </c>
      <c r="M778" s="10" t="inlineStr">
        <is>
          <t>是</t>
        </is>
      </c>
      <c r="N778" s="10" t="inlineStr">
        <is>
          <t>否</t>
        </is>
      </c>
      <c r="O778" s="10" t="inlineStr">
        <is>
          <t>supplier0774@example.com</t>
        </is>
      </c>
      <c r="P778" s="10" t="inlineStr">
        <is>
          <t>https://example.com/supplier/0774</t>
        </is>
      </c>
      <c r="Q778" s="10">
        <f>IF(R778&gt;=85,"A",IF(R778&gt;=70,"B","C"))</f>
        <v/>
      </c>
      <c r="R778" s="13">
        <f>MIN(100,50+IF(M778="是",10,0)+IF(N778="是",10,0)+IF(L778&lt;=100,10,IF(L778&lt;=300,5,0))+IF(J778&lt;=20,10,IF(J778&lt;=50,5,0))+IF(K778-J778&lt;=20,5,0)+IF(F778="企业官网",5,0))</f>
        <v/>
      </c>
      <c r="S778" s="10">
        <f>IF(Q778="A","价格与起订量有优势，建议优先询盘",IF(Q778="B","条件较均衡，可作为备选","起订量或价格需要进一步确认"))</f>
        <v/>
      </c>
      <c r="T778" s="10" t="inlineStr">
        <is>
          <t>未联系</t>
        </is>
      </c>
      <c r="U778" s="10" t="inlineStr">
        <is>
          <t>虚构演示数据</t>
        </is>
      </c>
    </row>
    <row r="779" ht="21" customHeight="1">
      <c r="A779" s="10" t="inlineStr">
        <is>
          <t>GYS-0775</t>
        </is>
      </c>
      <c r="B779" s="10" t="inlineStr">
        <is>
          <t>东莞礼品包装供应链0775有限公司（演示）</t>
        </is>
      </c>
      <c r="C779" s="10" t="inlineStr">
        <is>
          <t>礼品包装</t>
        </is>
      </c>
      <c r="D779" s="10" t="inlineStr">
        <is>
          <t>节日礼盒</t>
        </is>
      </c>
      <c r="E779" s="10" t="inlineStr">
        <is>
          <t>广东东莞</t>
        </is>
      </c>
      <c r="F779" s="10" t="inlineStr">
        <is>
          <t>中国制造网</t>
        </is>
      </c>
      <c r="G779" s="10" t="inlineStr">
        <is>
          <t>刘经理</t>
        </is>
      </c>
      <c r="H779" s="10" t="inlineStr">
        <is>
          <t>000-0000-0775</t>
        </is>
      </c>
      <c r="I779" s="10" t="inlineStr">
        <is>
          <t>DEMO_GYS_0775</t>
        </is>
      </c>
      <c r="J779" s="11" t="n">
        <v>32.3</v>
      </c>
      <c r="K779" s="11" t="n">
        <v>42.8</v>
      </c>
      <c r="L779" s="12" t="n">
        <v>500</v>
      </c>
      <c r="M779" s="10" t="inlineStr">
        <is>
          <t>是</t>
        </is>
      </c>
      <c r="N779" s="10" t="inlineStr">
        <is>
          <t>是</t>
        </is>
      </c>
      <c r="O779" s="10" t="inlineStr">
        <is>
          <t>supplier0775@example.com</t>
        </is>
      </c>
      <c r="P779" s="10" t="inlineStr">
        <is>
          <t>https://example.com/supplier/0775</t>
        </is>
      </c>
      <c r="Q779" s="10">
        <f>IF(R779&gt;=85,"A",IF(R779&gt;=70,"B","C"))</f>
        <v/>
      </c>
      <c r="R779" s="13">
        <f>MIN(100,50+IF(M779="是",10,0)+IF(N779="是",10,0)+IF(L779&lt;=100,10,IF(L779&lt;=300,5,0))+IF(J779&lt;=20,10,IF(J779&lt;=50,5,0))+IF(K779-J779&lt;=20,5,0)+IF(F779="企业官网",5,0))</f>
        <v/>
      </c>
      <c r="S779" s="10">
        <f>IF(Q779="A","价格与起订量有优势，建议优先询盘",IF(Q779="B","条件较均衡，可作为备选","起订量或价格需要进一步确认"))</f>
        <v/>
      </c>
      <c r="T779" s="10" t="inlineStr">
        <is>
          <t>未联系</t>
        </is>
      </c>
      <c r="U779" s="10" t="inlineStr">
        <is>
          <t>虚构演示数据</t>
        </is>
      </c>
    </row>
    <row r="780" ht="21" customHeight="1">
      <c r="A780" s="10" t="inlineStr">
        <is>
          <t>GYS-0776</t>
        </is>
      </c>
      <c r="B780" s="10" t="inlineStr">
        <is>
          <t>厦门五金工具供应链0776有限公司（演示）</t>
        </is>
      </c>
      <c r="C780" s="10" t="inlineStr">
        <is>
          <t>五金工具</t>
        </is>
      </c>
      <c r="D780" s="10" t="inlineStr">
        <is>
          <t>多功能螺丝刀</t>
        </is>
      </c>
      <c r="E780" s="10" t="inlineStr">
        <is>
          <t>福建厦门</t>
        </is>
      </c>
      <c r="F780" s="10" t="inlineStr">
        <is>
          <t>企业官网</t>
        </is>
      </c>
      <c r="G780" s="10" t="inlineStr">
        <is>
          <t>黄经理</t>
        </is>
      </c>
      <c r="H780" s="10" t="inlineStr">
        <is>
          <t>000-0000-0776</t>
        </is>
      </c>
      <c r="I780" s="10" t="inlineStr">
        <is>
          <t>DEMO_GYS_0776</t>
        </is>
      </c>
      <c r="J780" s="11" t="n">
        <v>34</v>
      </c>
      <c r="K780" s="11" t="n">
        <v>45.6</v>
      </c>
      <c r="L780" s="12" t="n">
        <v>300</v>
      </c>
      <c r="M780" s="10" t="inlineStr">
        <is>
          <t>否</t>
        </is>
      </c>
      <c r="N780" s="10" t="inlineStr">
        <is>
          <t>是</t>
        </is>
      </c>
      <c r="O780" s="10" t="inlineStr">
        <is>
          <t>supplier0776@example.com</t>
        </is>
      </c>
      <c r="P780" s="10" t="inlineStr">
        <is>
          <t>https://example.com/supplier/0776</t>
        </is>
      </c>
      <c r="Q780" s="10">
        <f>IF(R780&gt;=85,"A",IF(R780&gt;=70,"B","C"))</f>
        <v/>
      </c>
      <c r="R780" s="13">
        <f>MIN(100,50+IF(M780="是",10,0)+IF(N780="是",10,0)+IF(L780&lt;=100,10,IF(L780&lt;=300,5,0))+IF(J780&lt;=20,10,IF(J780&lt;=50,5,0))+IF(K780-J780&lt;=20,5,0)+IF(F780="企业官网",5,0))</f>
        <v/>
      </c>
      <c r="S780" s="10">
        <f>IF(Q780="A","价格与起订量有优势，建议优先询盘",IF(Q780="B","条件较均衡，可作为备选","起订量或价格需要进一步确认"))</f>
        <v/>
      </c>
      <c r="T780" s="10" t="inlineStr">
        <is>
          <t>未联系</t>
        </is>
      </c>
      <c r="U780" s="10" t="inlineStr">
        <is>
          <t>虚构演示数据</t>
        </is>
      </c>
    </row>
    <row r="781" ht="21" customHeight="1">
      <c r="A781" s="10" t="inlineStr">
        <is>
          <t>GYS-0777</t>
        </is>
      </c>
      <c r="B781" s="10" t="inlineStr">
        <is>
          <t>临沂鞋靴配件供应链0777有限公司（演示）</t>
        </is>
      </c>
      <c r="C781" s="10" t="inlineStr">
        <is>
          <t>鞋靴配件</t>
        </is>
      </c>
      <c r="D781" s="10" t="inlineStr">
        <is>
          <t>防磨脚贴</t>
        </is>
      </c>
      <c r="E781" s="10" t="inlineStr">
        <is>
          <t>山东临沂</t>
        </is>
      </c>
      <c r="F781" s="10" t="inlineStr">
        <is>
          <t>义乌购</t>
        </is>
      </c>
      <c r="G781" s="10" t="inlineStr">
        <is>
          <t>赵经理</t>
        </is>
      </c>
      <c r="H781" s="10" t="inlineStr">
        <is>
          <t>000-0000-0777</t>
        </is>
      </c>
      <c r="I781" s="10" t="inlineStr">
        <is>
          <t>DEMO_GYS_0777</t>
        </is>
      </c>
      <c r="J781" s="11" t="n">
        <v>35.7</v>
      </c>
      <c r="K781" s="11" t="n">
        <v>48.4</v>
      </c>
      <c r="L781" s="12" t="n">
        <v>200</v>
      </c>
      <c r="M781" s="10" t="inlineStr">
        <is>
          <t>是</t>
        </is>
      </c>
      <c r="N781" s="10" t="inlineStr">
        <is>
          <t>否</t>
        </is>
      </c>
      <c r="O781" s="10" t="inlineStr">
        <is>
          <t>supplier0777@example.com</t>
        </is>
      </c>
      <c r="P781" s="10" t="inlineStr">
        <is>
          <t>https://example.com/supplier/0777</t>
        </is>
      </c>
      <c r="Q781" s="10">
        <f>IF(R781&gt;=85,"A",IF(R781&gt;=70,"B","C"))</f>
        <v/>
      </c>
      <c r="R781" s="13">
        <f>MIN(100,50+IF(M781="是",10,0)+IF(N781="是",10,0)+IF(L781&lt;=100,10,IF(L781&lt;=300,5,0))+IF(J781&lt;=20,10,IF(J781&lt;=50,5,0))+IF(K781-J781&lt;=20,5,0)+IF(F781="企业官网",5,0))</f>
        <v/>
      </c>
      <c r="S781" s="10">
        <f>IF(Q781="A","价格与起订量有优势，建议优先询盘",IF(Q781="B","条件较均衡，可作为备选","起订量或价格需要进一步确认"))</f>
        <v/>
      </c>
      <c r="T781" s="10" t="inlineStr">
        <is>
          <t>未联系</t>
        </is>
      </c>
      <c r="U781" s="10" t="inlineStr">
        <is>
          <t>虚构演示数据</t>
        </is>
      </c>
    </row>
    <row r="782" ht="21" customHeight="1">
      <c r="A782" s="10" t="inlineStr">
        <is>
          <t>GYS-0778</t>
        </is>
      </c>
      <c r="B782" s="10" t="inlineStr">
        <is>
          <t>南昌食品包装供应链0778有限公司（演示）</t>
        </is>
      </c>
      <c r="C782" s="10" t="inlineStr">
        <is>
          <t>食品包装</t>
        </is>
      </c>
      <c r="D782" s="10" t="inlineStr">
        <is>
          <t>密封包装袋</t>
        </is>
      </c>
      <c r="E782" s="10" t="inlineStr">
        <is>
          <t>江西南昌</t>
        </is>
      </c>
      <c r="F782" s="10" t="inlineStr">
        <is>
          <t>慧聪网</t>
        </is>
      </c>
      <c r="G782" s="10" t="inlineStr">
        <is>
          <t>周经理</t>
        </is>
      </c>
      <c r="H782" s="10" t="inlineStr">
        <is>
          <t>000-0000-0778</t>
        </is>
      </c>
      <c r="I782" s="10" t="inlineStr">
        <is>
          <t>DEMO_GYS_0778</t>
        </is>
      </c>
      <c r="J782" s="11" t="n">
        <v>37.4</v>
      </c>
      <c r="K782" s="11" t="n">
        <v>51.2</v>
      </c>
      <c r="L782" s="12" t="n">
        <v>100</v>
      </c>
      <c r="M782" s="10" t="inlineStr">
        <is>
          <t>是</t>
        </is>
      </c>
      <c r="N782" s="10" t="inlineStr">
        <is>
          <t>是</t>
        </is>
      </c>
      <c r="O782" s="10" t="inlineStr">
        <is>
          <t>supplier0778@example.com</t>
        </is>
      </c>
      <c r="P782" s="10" t="inlineStr">
        <is>
          <t>https://example.com/supplier/0778</t>
        </is>
      </c>
      <c r="Q782" s="10">
        <f>IF(R782&gt;=85,"A",IF(R782&gt;=70,"B","C"))</f>
        <v/>
      </c>
      <c r="R782" s="13">
        <f>MIN(100,50+IF(M782="是",10,0)+IF(N782="是",10,0)+IF(L782&lt;=100,10,IF(L782&lt;=300,5,0))+IF(J782&lt;=20,10,IF(J782&lt;=50,5,0))+IF(K782-J782&lt;=20,5,0)+IF(F782="企业官网",5,0))</f>
        <v/>
      </c>
      <c r="S782" s="10">
        <f>IF(Q782="A","价格与起订量有优势，建议优先询盘",IF(Q782="B","条件较均衡，可作为备选","起订量或价格需要进一步确认"))</f>
        <v/>
      </c>
      <c r="T782" s="10" t="inlineStr">
        <is>
          <t>未联系</t>
        </is>
      </c>
      <c r="U782" s="10" t="inlineStr">
        <is>
          <t>虚构演示数据</t>
        </is>
      </c>
    </row>
    <row r="783" ht="21" customHeight="1">
      <c r="A783" s="10" t="inlineStr">
        <is>
          <t>GYS-0779</t>
        </is>
      </c>
      <c r="B783" s="10" t="inlineStr">
        <is>
          <t>温州户外照明供应链0779有限公司（演示）</t>
        </is>
      </c>
      <c r="C783" s="10" t="inlineStr">
        <is>
          <t>户外照明</t>
        </is>
      </c>
      <c r="D783" s="10" t="inlineStr">
        <is>
          <t>便携露营灯</t>
        </is>
      </c>
      <c r="E783" s="10" t="inlineStr">
        <is>
          <t>浙江温州</t>
        </is>
      </c>
      <c r="F783" s="10" t="inlineStr">
        <is>
          <t>1688</t>
        </is>
      </c>
      <c r="G783" s="10" t="inlineStr">
        <is>
          <t>吴经理</t>
        </is>
      </c>
      <c r="H783" s="10" t="inlineStr">
        <is>
          <t>000-0000-0779</t>
        </is>
      </c>
      <c r="I783" s="10" t="inlineStr">
        <is>
          <t>DEMO_GYS_0779</t>
        </is>
      </c>
      <c r="J783" s="11" t="n">
        <v>39.1</v>
      </c>
      <c r="K783" s="11" t="n">
        <v>54</v>
      </c>
      <c r="L783" s="12" t="n">
        <v>50</v>
      </c>
      <c r="M783" s="10" t="inlineStr">
        <is>
          <t>是</t>
        </is>
      </c>
      <c r="N783" s="10" t="inlineStr">
        <is>
          <t>是</t>
        </is>
      </c>
      <c r="O783" s="10" t="inlineStr">
        <is>
          <t>supplier0779@example.com</t>
        </is>
      </c>
      <c r="P783" s="10" t="inlineStr">
        <is>
          <t>https://example.com/supplier/0779</t>
        </is>
      </c>
      <c r="Q783" s="10">
        <f>IF(R783&gt;=85,"A",IF(R783&gt;=70,"B","C"))</f>
        <v/>
      </c>
      <c r="R783" s="13">
        <f>MIN(100,50+IF(M783="是",10,0)+IF(N783="是",10,0)+IF(L783&lt;=100,10,IF(L783&lt;=300,5,0))+IF(J783&lt;=20,10,IF(J783&lt;=50,5,0))+IF(K783-J783&lt;=20,5,0)+IF(F783="企业官网",5,0))</f>
        <v/>
      </c>
      <c r="S783" s="10">
        <f>IF(Q783="A","价格与起订量有优势，建议优先询盘",IF(Q783="B","条件较均衡，可作为备选","起订量或价格需要进一步确认"))</f>
        <v/>
      </c>
      <c r="T783" s="10" t="inlineStr">
        <is>
          <t>未联系</t>
        </is>
      </c>
      <c r="U783" s="10" t="inlineStr">
        <is>
          <t>虚构演示数据</t>
        </is>
      </c>
    </row>
    <row r="784" ht="21" customHeight="1">
      <c r="A784" s="10" t="inlineStr">
        <is>
          <t>GYS-0780</t>
        </is>
      </c>
      <c r="B784" s="10" t="inlineStr">
        <is>
          <t>广州健康用品供应链0780有限公司（演示）</t>
        </is>
      </c>
      <c r="C784" s="10" t="inlineStr">
        <is>
          <t>健康用品</t>
        </is>
      </c>
      <c r="D784" s="10" t="inlineStr">
        <is>
          <t>热敷眼罩</t>
        </is>
      </c>
      <c r="E784" s="10" t="inlineStr">
        <is>
          <t>广东广州</t>
        </is>
      </c>
      <c r="F784" s="10" t="inlineStr">
        <is>
          <t>中国制造网</t>
        </is>
      </c>
      <c r="G784" s="10" t="inlineStr">
        <is>
          <t>陈经理</t>
        </is>
      </c>
      <c r="H784" s="10" t="inlineStr">
        <is>
          <t>000-0000-0780</t>
        </is>
      </c>
      <c r="I784" s="10" t="inlineStr">
        <is>
          <t>DEMO_GYS_0780</t>
        </is>
      </c>
      <c r="J784" s="11" t="n">
        <v>40.8</v>
      </c>
      <c r="K784" s="11" t="n">
        <v>56.8</v>
      </c>
      <c r="L784" s="12" t="n">
        <v>20</v>
      </c>
      <c r="M784" s="10" t="inlineStr">
        <is>
          <t>否</t>
        </is>
      </c>
      <c r="N784" s="10" t="inlineStr">
        <is>
          <t>否</t>
        </is>
      </c>
      <c r="O784" s="10" t="inlineStr">
        <is>
          <t>supplier0780@example.com</t>
        </is>
      </c>
      <c r="P784" s="10" t="inlineStr">
        <is>
          <t>https://example.com/supplier/0780</t>
        </is>
      </c>
      <c r="Q784" s="10">
        <f>IF(R784&gt;=85,"A",IF(R784&gt;=70,"B","C"))</f>
        <v/>
      </c>
      <c r="R784" s="13">
        <f>MIN(100,50+IF(M784="是",10,0)+IF(N784="是",10,0)+IF(L784&lt;=100,10,IF(L784&lt;=300,5,0))+IF(J784&lt;=20,10,IF(J784&lt;=50,5,0))+IF(K784-J784&lt;=20,5,0)+IF(F784="企业官网",5,0))</f>
        <v/>
      </c>
      <c r="S784" s="10">
        <f>IF(Q784="A","价格与起订量有优势，建议优先询盘",IF(Q784="B","条件较均衡，可作为备选","起订量或价格需要进一步确认"))</f>
        <v/>
      </c>
      <c r="T784" s="10" t="inlineStr">
        <is>
          <t>未联系</t>
        </is>
      </c>
      <c r="U784" s="10" t="inlineStr">
        <is>
          <t>虚构演示数据</t>
        </is>
      </c>
    </row>
    <row r="785" ht="21" customHeight="1">
      <c r="A785" s="10" t="inlineStr">
        <is>
          <t>GYS-0781</t>
        </is>
      </c>
      <c r="B785" s="10" t="inlineStr">
        <is>
          <t>泉州服饰内衣供应链0781有限公司（演示）</t>
        </is>
      </c>
      <c r="C785" s="10" t="inlineStr">
        <is>
          <t>服饰内衣</t>
        </is>
      </c>
      <c r="D785" s="10" t="inlineStr">
        <is>
          <t>防滑袜</t>
        </is>
      </c>
      <c r="E785" s="10" t="inlineStr">
        <is>
          <t>福建泉州</t>
        </is>
      </c>
      <c r="F785" s="10" t="inlineStr">
        <is>
          <t>企业官网</t>
        </is>
      </c>
      <c r="G785" s="10" t="inlineStr">
        <is>
          <t>林经理</t>
        </is>
      </c>
      <c r="H785" s="10" t="inlineStr">
        <is>
          <t>000-0000-0781</t>
        </is>
      </c>
      <c r="I785" s="10" t="inlineStr">
        <is>
          <t>DEMO_GYS_0781</t>
        </is>
      </c>
      <c r="J785" s="11" t="n">
        <v>42.5</v>
      </c>
      <c r="K785" s="11" t="n">
        <v>59.6</v>
      </c>
      <c r="L785" s="12" t="n">
        <v>500</v>
      </c>
      <c r="M785" s="10" t="inlineStr">
        <is>
          <t>是</t>
        </is>
      </c>
      <c r="N785" s="10" t="inlineStr">
        <is>
          <t>是</t>
        </is>
      </c>
      <c r="O785" s="10" t="inlineStr">
        <is>
          <t>supplier0781@example.com</t>
        </is>
      </c>
      <c r="P785" s="10" t="inlineStr">
        <is>
          <t>https://example.com/supplier/0781</t>
        </is>
      </c>
      <c r="Q785" s="10">
        <f>IF(R785&gt;=85,"A",IF(R785&gt;=70,"B","C"))</f>
        <v/>
      </c>
      <c r="R785" s="13">
        <f>MIN(100,50+IF(M785="是",10,0)+IF(N785="是",10,0)+IF(L785&lt;=100,10,IF(L785&lt;=300,5,0))+IF(J785&lt;=20,10,IF(J785&lt;=50,5,0))+IF(K785-J785&lt;=20,5,0)+IF(F785="企业官网",5,0))</f>
        <v/>
      </c>
      <c r="S785" s="10">
        <f>IF(Q785="A","价格与起订量有优势，建议优先询盘",IF(Q785="B","条件较均衡，可作为备选","起订量或价格需要进一步确认"))</f>
        <v/>
      </c>
      <c r="T785" s="10" t="inlineStr">
        <is>
          <t>未联系</t>
        </is>
      </c>
      <c r="U785" s="10" t="inlineStr">
        <is>
          <t>虚构演示数据</t>
        </is>
      </c>
    </row>
    <row r="786" ht="21" customHeight="1">
      <c r="A786" s="10" t="inlineStr">
        <is>
          <t>GYS-0782</t>
        </is>
      </c>
      <c r="B786" s="10" t="inlineStr">
        <is>
          <t>南通家居日用供应链0782有限公司（演示）</t>
        </is>
      </c>
      <c r="C786" s="10" t="inlineStr">
        <is>
          <t>家居日用</t>
        </is>
      </c>
      <c r="D786" s="10" t="inlineStr">
        <is>
          <t>折叠收纳箱</t>
        </is>
      </c>
      <c r="E786" s="10" t="inlineStr">
        <is>
          <t>江苏南通</t>
        </is>
      </c>
      <c r="F786" s="10" t="inlineStr">
        <is>
          <t>义乌购</t>
        </is>
      </c>
      <c r="G786" s="10" t="inlineStr">
        <is>
          <t>王经理</t>
        </is>
      </c>
      <c r="H786" s="10" t="inlineStr">
        <is>
          <t>000-0000-0782</t>
        </is>
      </c>
      <c r="I786" s="10" t="inlineStr">
        <is>
          <t>DEMO_GYS_0782</t>
        </is>
      </c>
      <c r="J786" s="11" t="n">
        <v>44.2</v>
      </c>
      <c r="K786" s="11" t="n">
        <v>62.4</v>
      </c>
      <c r="L786" s="12" t="n">
        <v>300</v>
      </c>
      <c r="M786" s="10" t="inlineStr">
        <is>
          <t>是</t>
        </is>
      </c>
      <c r="N786" s="10" t="inlineStr">
        <is>
          <t>是</t>
        </is>
      </c>
      <c r="O786" s="10" t="inlineStr">
        <is>
          <t>supplier0782@example.com</t>
        </is>
      </c>
      <c r="P786" s="10" t="inlineStr">
        <is>
          <t>https://example.com/supplier/0782</t>
        </is>
      </c>
      <c r="Q786" s="10">
        <f>IF(R786&gt;=85,"A",IF(R786&gt;=70,"B","C"))</f>
        <v/>
      </c>
      <c r="R786" s="13">
        <f>MIN(100,50+IF(M786="是",10,0)+IF(N786="是",10,0)+IF(L786&lt;=100,10,IF(L786&lt;=300,5,0))+IF(J786&lt;=20,10,IF(J786&lt;=50,5,0))+IF(K786-J786&lt;=20,5,0)+IF(F786="企业官网",5,0))</f>
        <v/>
      </c>
      <c r="S786" s="10">
        <f>IF(Q786="A","价格与起订量有优势，建议优先询盘",IF(Q786="B","条件较均衡，可作为备选","起订量或价格需要进一步确认"))</f>
        <v/>
      </c>
      <c r="T786" s="10" t="inlineStr">
        <is>
          <t>未联系</t>
        </is>
      </c>
      <c r="U786" s="10" t="inlineStr">
        <is>
          <t>虚构演示数据</t>
        </is>
      </c>
    </row>
    <row r="787" ht="21" customHeight="1">
      <c r="A787" s="10" t="inlineStr">
        <is>
          <t>GYS-0783</t>
        </is>
      </c>
      <c r="B787" s="10" t="inlineStr">
        <is>
          <t>郑州个护清洁供应链0783有限公司（演示）</t>
        </is>
      </c>
      <c r="C787" s="10" t="inlineStr">
        <is>
          <t>个护清洁</t>
        </is>
      </c>
      <c r="D787" s="10" t="inlineStr">
        <is>
          <t>便携洗脸巾</t>
        </is>
      </c>
      <c r="E787" s="10" t="inlineStr">
        <is>
          <t>河南郑州</t>
        </is>
      </c>
      <c r="F787" s="10" t="inlineStr">
        <is>
          <t>慧聪网</t>
        </is>
      </c>
      <c r="G787" s="10" t="inlineStr">
        <is>
          <t>李经理</t>
        </is>
      </c>
      <c r="H787" s="10" t="inlineStr">
        <is>
          <t>000-0000-0783</t>
        </is>
      </c>
      <c r="I787" s="10" t="inlineStr">
        <is>
          <t>DEMO_GYS_0783</t>
        </is>
      </c>
      <c r="J787" s="11" t="n">
        <v>45.9</v>
      </c>
      <c r="K787" s="11" t="n">
        <v>65.2</v>
      </c>
      <c r="L787" s="12" t="n">
        <v>200</v>
      </c>
      <c r="M787" s="10" t="inlineStr">
        <is>
          <t>是</t>
        </is>
      </c>
      <c r="N787" s="10" t="inlineStr">
        <is>
          <t>否</t>
        </is>
      </c>
      <c r="O787" s="10" t="inlineStr">
        <is>
          <t>supplier0783@example.com</t>
        </is>
      </c>
      <c r="P787" s="10" t="inlineStr">
        <is>
          <t>https://example.com/supplier/0783</t>
        </is>
      </c>
      <c r="Q787" s="10">
        <f>IF(R787&gt;=85,"A",IF(R787&gt;=70,"B","C"))</f>
        <v/>
      </c>
      <c r="R787" s="13">
        <f>MIN(100,50+IF(M787="是",10,0)+IF(N787="是",10,0)+IF(L787&lt;=100,10,IF(L787&lt;=300,5,0))+IF(J787&lt;=20,10,IF(J787&lt;=50,5,0))+IF(K787-J787&lt;=20,5,0)+IF(F787="企业官网",5,0))</f>
        <v/>
      </c>
      <c r="S787" s="10">
        <f>IF(Q787="A","价格与起订量有优势，建议优先询盘",IF(Q787="B","条件较均衡，可作为备选","起订量或价格需要进一步确认"))</f>
        <v/>
      </c>
      <c r="T787" s="10" t="inlineStr">
        <is>
          <t>未联系</t>
        </is>
      </c>
      <c r="U787" s="10" t="inlineStr">
        <is>
          <t>虚构演示数据</t>
        </is>
      </c>
    </row>
    <row r="788" ht="21" customHeight="1">
      <c r="A788" s="10" t="inlineStr">
        <is>
          <t>GYS-0784</t>
        </is>
      </c>
      <c r="B788" s="10" t="inlineStr">
        <is>
          <t>宁波厨房用品供应链0784有限公司（演示）</t>
        </is>
      </c>
      <c r="C788" s="10" t="inlineStr">
        <is>
          <t>厨房用品</t>
        </is>
      </c>
      <c r="D788" s="10" t="inlineStr">
        <is>
          <t>硅胶保鲜盒</t>
        </is>
      </c>
      <c r="E788" s="10" t="inlineStr">
        <is>
          <t>浙江宁波</t>
        </is>
      </c>
      <c r="F788" s="10" t="inlineStr">
        <is>
          <t>1688</t>
        </is>
      </c>
      <c r="G788" s="10" t="inlineStr">
        <is>
          <t>张经理</t>
        </is>
      </c>
      <c r="H788" s="10" t="inlineStr">
        <is>
          <t>000-0000-0784</t>
        </is>
      </c>
      <c r="I788" s="10" t="inlineStr">
        <is>
          <t>DEMO_GYS_0784</t>
        </is>
      </c>
      <c r="J788" s="11" t="n">
        <v>47.6</v>
      </c>
      <c r="K788" s="11" t="n">
        <v>68</v>
      </c>
      <c r="L788" s="12" t="n">
        <v>100</v>
      </c>
      <c r="M788" s="10" t="inlineStr">
        <is>
          <t>否</t>
        </is>
      </c>
      <c r="N788" s="10" t="inlineStr">
        <is>
          <t>是</t>
        </is>
      </c>
      <c r="O788" s="10" t="inlineStr">
        <is>
          <t>supplier0784@example.com</t>
        </is>
      </c>
      <c r="P788" s="10" t="inlineStr">
        <is>
          <t>https://example.com/supplier/0784</t>
        </is>
      </c>
      <c r="Q788" s="10">
        <f>IF(R788&gt;=85,"A",IF(R788&gt;=70,"B","C"))</f>
        <v/>
      </c>
      <c r="R788" s="13">
        <f>MIN(100,50+IF(M788="是",10,0)+IF(N788="是",10,0)+IF(L788&lt;=100,10,IF(L788&lt;=300,5,0))+IF(J788&lt;=20,10,IF(J788&lt;=50,5,0))+IF(K788-J788&lt;=20,5,0)+IF(F788="企业官网",5,0))</f>
        <v/>
      </c>
      <c r="S788" s="10">
        <f>IF(Q788="A","价格与起订量有优势，建议优先询盘",IF(Q788="B","条件较均衡，可作为备选","起订量或价格需要进一步确认"))</f>
        <v/>
      </c>
      <c r="T788" s="10" t="inlineStr">
        <is>
          <t>未联系</t>
        </is>
      </c>
      <c r="U788" s="10" t="inlineStr">
        <is>
          <t>虚构演示数据</t>
        </is>
      </c>
    </row>
    <row r="789" ht="21" customHeight="1">
      <c r="A789" s="10" t="inlineStr">
        <is>
          <t>GYS-0785</t>
        </is>
      </c>
      <c r="B789" s="10" t="inlineStr">
        <is>
          <t>深圳数码配件供应链0785有限公司（演示）</t>
        </is>
      </c>
      <c r="C789" s="10" t="inlineStr">
        <is>
          <t>数码配件</t>
        </is>
      </c>
      <c r="D789" s="10" t="inlineStr">
        <is>
          <t>磁吸手机支架</t>
        </is>
      </c>
      <c r="E789" s="10" t="inlineStr">
        <is>
          <t>广东深圳</t>
        </is>
      </c>
      <c r="F789" s="10" t="inlineStr">
        <is>
          <t>中国制造网</t>
        </is>
      </c>
      <c r="G789" s="10" t="inlineStr">
        <is>
          <t>刘经理</t>
        </is>
      </c>
      <c r="H789" s="10" t="inlineStr">
        <is>
          <t>000-0000-0785</t>
        </is>
      </c>
      <c r="I789" s="10" t="inlineStr">
        <is>
          <t>DEMO_GYS_0785</t>
        </is>
      </c>
      <c r="J789" s="11" t="n">
        <v>3.3</v>
      </c>
      <c r="K789" s="11" t="n">
        <v>24.8</v>
      </c>
      <c r="L789" s="12" t="n">
        <v>50</v>
      </c>
      <c r="M789" s="10" t="inlineStr">
        <is>
          <t>是</t>
        </is>
      </c>
      <c r="N789" s="10" t="inlineStr">
        <is>
          <t>是</t>
        </is>
      </c>
      <c r="O789" s="10" t="inlineStr">
        <is>
          <t>supplier0785@example.com</t>
        </is>
      </c>
      <c r="P789" s="10" t="inlineStr">
        <is>
          <t>https://example.com/supplier/0785</t>
        </is>
      </c>
      <c r="Q789" s="10">
        <f>IF(R789&gt;=85,"A",IF(R789&gt;=70,"B","C"))</f>
        <v/>
      </c>
      <c r="R789" s="13">
        <f>MIN(100,50+IF(M789="是",10,0)+IF(N789="是",10,0)+IF(L789&lt;=100,10,IF(L789&lt;=300,5,0))+IF(J789&lt;=20,10,IF(J789&lt;=50,5,0))+IF(K789-J789&lt;=20,5,0)+IF(F789="企业官网",5,0))</f>
        <v/>
      </c>
      <c r="S789" s="10">
        <f>IF(Q789="A","价格与起订量有优势，建议优先询盘",IF(Q789="B","条件较均衡，可作为备选","起订量或价格需要进一步确认"))</f>
        <v/>
      </c>
      <c r="T789" s="10" t="inlineStr">
        <is>
          <t>未联系</t>
        </is>
      </c>
      <c r="U789" s="10" t="inlineStr">
        <is>
          <t>虚构演示数据</t>
        </is>
      </c>
    </row>
    <row r="790" ht="21" customHeight="1">
      <c r="A790" s="10" t="inlineStr">
        <is>
          <t>GYS-0786</t>
        </is>
      </c>
      <c r="B790" s="10" t="inlineStr">
        <is>
          <t>佛山宠物用品供应链0786有限公司（演示）</t>
        </is>
      </c>
      <c r="C790" s="10" t="inlineStr">
        <is>
          <t>宠物用品</t>
        </is>
      </c>
      <c r="D790" s="10" t="inlineStr">
        <is>
          <t>宠物清洁手套</t>
        </is>
      </c>
      <c r="E790" s="10" t="inlineStr">
        <is>
          <t>广东佛山</t>
        </is>
      </c>
      <c r="F790" s="10" t="inlineStr">
        <is>
          <t>企业官网</t>
        </is>
      </c>
      <c r="G790" s="10" t="inlineStr">
        <is>
          <t>黄经理</t>
        </is>
      </c>
      <c r="H790" s="10" t="inlineStr">
        <is>
          <t>000-0000-0786</t>
        </is>
      </c>
      <c r="I790" s="10" t="inlineStr">
        <is>
          <t>DEMO_GYS_0786</t>
        </is>
      </c>
      <c r="J790" s="11" t="n">
        <v>5</v>
      </c>
      <c r="K790" s="11" t="n">
        <v>9.6</v>
      </c>
      <c r="L790" s="12" t="n">
        <v>20</v>
      </c>
      <c r="M790" s="10" t="inlineStr">
        <is>
          <t>是</t>
        </is>
      </c>
      <c r="N790" s="10" t="inlineStr">
        <is>
          <t>否</t>
        </is>
      </c>
      <c r="O790" s="10" t="inlineStr">
        <is>
          <t>supplier0786@example.com</t>
        </is>
      </c>
      <c r="P790" s="10" t="inlineStr">
        <is>
          <t>https://example.com/supplier/0786</t>
        </is>
      </c>
      <c r="Q790" s="10">
        <f>IF(R790&gt;=85,"A",IF(R790&gt;=70,"B","C"))</f>
        <v/>
      </c>
      <c r="R790" s="13">
        <f>MIN(100,50+IF(M790="是",10,0)+IF(N790="是",10,0)+IF(L790&lt;=100,10,IF(L790&lt;=300,5,0))+IF(J790&lt;=20,10,IF(J790&lt;=50,5,0))+IF(K790-J790&lt;=20,5,0)+IF(F790="企业官网",5,0))</f>
        <v/>
      </c>
      <c r="S790" s="10">
        <f>IF(Q790="A","价格与起订量有优势，建议优先询盘",IF(Q790="B","条件较均衡，可作为备选","起订量或价格需要进一步确认"))</f>
        <v/>
      </c>
      <c r="T790" s="10" t="inlineStr">
        <is>
          <t>未联系</t>
        </is>
      </c>
      <c r="U790" s="10" t="inlineStr">
        <is>
          <t>虚构演示数据</t>
        </is>
      </c>
    </row>
    <row r="791" ht="21" customHeight="1">
      <c r="A791" s="10" t="inlineStr">
        <is>
          <t>GYS-0787</t>
        </is>
      </c>
      <c r="B791" s="10" t="inlineStr">
        <is>
          <t>苏州母婴用品供应链0787有限公司（演示）</t>
        </is>
      </c>
      <c r="C791" s="10" t="inlineStr">
        <is>
          <t>母婴用品</t>
        </is>
      </c>
      <c r="D791" s="10" t="inlineStr">
        <is>
          <t>婴儿防撞条</t>
        </is>
      </c>
      <c r="E791" s="10" t="inlineStr">
        <is>
          <t>江苏苏州</t>
        </is>
      </c>
      <c r="F791" s="10" t="inlineStr">
        <is>
          <t>义乌购</t>
        </is>
      </c>
      <c r="G791" s="10" t="inlineStr">
        <is>
          <t>赵经理</t>
        </is>
      </c>
      <c r="H791" s="10" t="inlineStr">
        <is>
          <t>000-0000-0787</t>
        </is>
      </c>
      <c r="I791" s="10" t="inlineStr">
        <is>
          <t>DEMO_GYS_0787</t>
        </is>
      </c>
      <c r="J791" s="11" t="n">
        <v>6.7</v>
      </c>
      <c r="K791" s="11" t="n">
        <v>12.4</v>
      </c>
      <c r="L791" s="12" t="n">
        <v>500</v>
      </c>
      <c r="M791" s="10" t="inlineStr">
        <is>
          <t>是</t>
        </is>
      </c>
      <c r="N791" s="10" t="inlineStr">
        <is>
          <t>是</t>
        </is>
      </c>
      <c r="O791" s="10" t="inlineStr">
        <is>
          <t>supplier0787@example.com</t>
        </is>
      </c>
      <c r="P791" s="10" t="inlineStr">
        <is>
          <t>https://example.com/supplier/0787</t>
        </is>
      </c>
      <c r="Q791" s="10">
        <f>IF(R791&gt;=85,"A",IF(R791&gt;=70,"B","C"))</f>
        <v/>
      </c>
      <c r="R791" s="13">
        <f>MIN(100,50+IF(M791="是",10,0)+IF(N791="是",10,0)+IF(L791&lt;=100,10,IF(L791&lt;=300,5,0))+IF(J791&lt;=20,10,IF(J791&lt;=50,5,0))+IF(K791-J791&lt;=20,5,0)+IF(F791="企业官网",5,0))</f>
        <v/>
      </c>
      <c r="S791" s="10">
        <f>IF(Q791="A","价格与起订量有优势，建议优先询盘",IF(Q791="B","条件较均衡，可作为备选","起订量或价格需要进一步确认"))</f>
        <v/>
      </c>
      <c r="T791" s="10" t="inlineStr">
        <is>
          <t>未联系</t>
        </is>
      </c>
      <c r="U791" s="10" t="inlineStr">
        <is>
          <t>虚构演示数据</t>
        </is>
      </c>
    </row>
    <row r="792" ht="21" customHeight="1">
      <c r="A792" s="10" t="inlineStr">
        <is>
          <t>GYS-0788</t>
        </is>
      </c>
      <c r="B792" s="10" t="inlineStr">
        <is>
          <t>白沟运动户外供应链0788有限公司（演示）</t>
        </is>
      </c>
      <c r="C792" s="10" t="inlineStr">
        <is>
          <t>运动户外</t>
        </is>
      </c>
      <c r="D792" s="10" t="inlineStr">
        <is>
          <t>弹力训练带</t>
        </is>
      </c>
      <c r="E792" s="10" t="inlineStr">
        <is>
          <t>河北白沟</t>
        </is>
      </c>
      <c r="F792" s="10" t="inlineStr">
        <is>
          <t>慧聪网</t>
        </is>
      </c>
      <c r="G792" s="10" t="inlineStr">
        <is>
          <t>周经理</t>
        </is>
      </c>
      <c r="H792" s="10" t="inlineStr">
        <is>
          <t>000-0000-0788</t>
        </is>
      </c>
      <c r="I792" s="10" t="inlineStr">
        <is>
          <t>DEMO_GYS_0788</t>
        </is>
      </c>
      <c r="J792" s="11" t="n">
        <v>8.4</v>
      </c>
      <c r="K792" s="11" t="n">
        <v>15.2</v>
      </c>
      <c r="L792" s="12" t="n">
        <v>300</v>
      </c>
      <c r="M792" s="10" t="inlineStr">
        <is>
          <t>否</t>
        </is>
      </c>
      <c r="N792" s="10" t="inlineStr">
        <is>
          <t>是</t>
        </is>
      </c>
      <c r="O792" s="10" t="inlineStr">
        <is>
          <t>supplier0788@example.com</t>
        </is>
      </c>
      <c r="P792" s="10" t="inlineStr">
        <is>
          <t>https://example.com/supplier/0788</t>
        </is>
      </c>
      <c r="Q792" s="10">
        <f>IF(R792&gt;=85,"A",IF(R792&gt;=70,"B","C"))</f>
        <v/>
      </c>
      <c r="R792" s="13">
        <f>MIN(100,50+IF(M792="是",10,0)+IF(N792="是",10,0)+IF(L792&lt;=100,10,IF(L792&lt;=300,5,0))+IF(J792&lt;=20,10,IF(J792&lt;=50,5,0))+IF(K792-J792&lt;=20,5,0)+IF(F792="企业官网",5,0))</f>
        <v/>
      </c>
      <c r="S792" s="10">
        <f>IF(Q792="A","价格与起订量有优势，建议优先询盘",IF(Q792="B","条件较均衡，可作为备选","起订量或价格需要进一步确认"))</f>
        <v/>
      </c>
      <c r="T792" s="10" t="inlineStr">
        <is>
          <t>未联系</t>
        </is>
      </c>
      <c r="U792" s="10" t="inlineStr">
        <is>
          <t>虚构演示数据</t>
        </is>
      </c>
    </row>
    <row r="793" ht="21" customHeight="1">
      <c r="A793" s="10" t="inlineStr">
        <is>
          <t>GYS-0789</t>
        </is>
      </c>
      <c r="B793" s="10" t="inlineStr">
        <is>
          <t>义乌办公文具供应链0789有限公司（演示）</t>
        </is>
      </c>
      <c r="C793" s="10" t="inlineStr">
        <is>
          <t>办公文具</t>
        </is>
      </c>
      <c r="D793" s="10" t="inlineStr">
        <is>
          <t>桌面收纳架</t>
        </is>
      </c>
      <c r="E793" s="10" t="inlineStr">
        <is>
          <t>浙江义乌</t>
        </is>
      </c>
      <c r="F793" s="10" t="inlineStr">
        <is>
          <t>1688</t>
        </is>
      </c>
      <c r="G793" s="10" t="inlineStr">
        <is>
          <t>吴经理</t>
        </is>
      </c>
      <c r="H793" s="10" t="inlineStr">
        <is>
          <t>000-0000-0789</t>
        </is>
      </c>
      <c r="I793" s="10" t="inlineStr">
        <is>
          <t>DEMO_GYS_0789</t>
        </is>
      </c>
      <c r="J793" s="11" t="n">
        <v>10.1</v>
      </c>
      <c r="K793" s="11" t="n">
        <v>18</v>
      </c>
      <c r="L793" s="12" t="n">
        <v>200</v>
      </c>
      <c r="M793" s="10" t="inlineStr">
        <is>
          <t>是</t>
        </is>
      </c>
      <c r="N793" s="10" t="inlineStr">
        <is>
          <t>否</t>
        </is>
      </c>
      <c r="O793" s="10" t="inlineStr">
        <is>
          <t>supplier0789@example.com</t>
        </is>
      </c>
      <c r="P793" s="10" t="inlineStr">
        <is>
          <t>https://example.com/supplier/0789</t>
        </is>
      </c>
      <c r="Q793" s="10">
        <f>IF(R793&gt;=85,"A",IF(R793&gt;=70,"B","C"))</f>
        <v/>
      </c>
      <c r="R793" s="13">
        <f>MIN(100,50+IF(M793="是",10,0)+IF(N793="是",10,0)+IF(L793&lt;=100,10,IF(L793&lt;=300,5,0))+IF(J793&lt;=20,10,IF(J793&lt;=50,5,0))+IF(K793-J793&lt;=20,5,0)+IF(F793="企业官网",5,0))</f>
        <v/>
      </c>
      <c r="S793" s="10">
        <f>IF(Q793="A","价格与起订量有优势，建议优先询盘",IF(Q793="B","条件较均衡，可作为备选","起订量或价格需要进一步确认"))</f>
        <v/>
      </c>
      <c r="T793" s="10" t="inlineStr">
        <is>
          <t>未联系</t>
        </is>
      </c>
      <c r="U793" s="10" t="inlineStr">
        <is>
          <t>虚构演示数据</t>
        </is>
      </c>
    </row>
    <row r="794" ht="21" customHeight="1">
      <c r="A794" s="10" t="inlineStr">
        <is>
          <t>GYS-0790</t>
        </is>
      </c>
      <c r="B794" s="10" t="inlineStr">
        <is>
          <t>台州汽车用品供应链0790有限公司（演示）</t>
        </is>
      </c>
      <c r="C794" s="10" t="inlineStr">
        <is>
          <t>汽车用品</t>
        </is>
      </c>
      <c r="D794" s="10" t="inlineStr">
        <is>
          <t>车载香薰</t>
        </is>
      </c>
      <c r="E794" s="10" t="inlineStr">
        <is>
          <t>浙江台州</t>
        </is>
      </c>
      <c r="F794" s="10" t="inlineStr">
        <is>
          <t>中国制造网</t>
        </is>
      </c>
      <c r="G794" s="10" t="inlineStr">
        <is>
          <t>陈经理</t>
        </is>
      </c>
      <c r="H794" s="10" t="inlineStr">
        <is>
          <t>000-0000-0790</t>
        </is>
      </c>
      <c r="I794" s="10" t="inlineStr">
        <is>
          <t>DEMO_GYS_0790</t>
        </is>
      </c>
      <c r="J794" s="11" t="n">
        <v>11.8</v>
      </c>
      <c r="K794" s="11" t="n">
        <v>20.8</v>
      </c>
      <c r="L794" s="12" t="n">
        <v>100</v>
      </c>
      <c r="M794" s="10" t="inlineStr">
        <is>
          <t>是</t>
        </is>
      </c>
      <c r="N794" s="10" t="inlineStr">
        <is>
          <t>是</t>
        </is>
      </c>
      <c r="O794" s="10" t="inlineStr">
        <is>
          <t>supplier0790@example.com</t>
        </is>
      </c>
      <c r="P794" s="10" t="inlineStr">
        <is>
          <t>https://example.com/supplier/0790</t>
        </is>
      </c>
      <c r="Q794" s="10">
        <f>IF(R794&gt;=85,"A",IF(R794&gt;=70,"B","C"))</f>
        <v/>
      </c>
      <c r="R794" s="13">
        <f>MIN(100,50+IF(M794="是",10,0)+IF(N794="是",10,0)+IF(L794&lt;=100,10,IF(L794&lt;=300,5,0))+IF(J794&lt;=20,10,IF(J794&lt;=50,5,0))+IF(K794-J794&lt;=20,5,0)+IF(F794="企业官网",5,0))</f>
        <v/>
      </c>
      <c r="S794" s="10">
        <f>IF(Q794="A","价格与起订量有优势，建议优先询盘",IF(Q794="B","条件较均衡，可作为备选","起订量或价格需要进一步确认"))</f>
        <v/>
      </c>
      <c r="T794" s="10" t="inlineStr">
        <is>
          <t>未联系</t>
        </is>
      </c>
      <c r="U794" s="10" t="inlineStr">
        <is>
          <t>虚构演示数据</t>
        </is>
      </c>
    </row>
    <row r="795" ht="21" customHeight="1">
      <c r="A795" s="10" t="inlineStr">
        <is>
          <t>GYS-0791</t>
        </is>
      </c>
      <c r="B795" s="10" t="inlineStr">
        <is>
          <t>东莞美容工具供应链0791有限公司（演示）</t>
        </is>
      </c>
      <c r="C795" s="10" t="inlineStr">
        <is>
          <t>美容工具</t>
        </is>
      </c>
      <c r="D795" s="10" t="inlineStr">
        <is>
          <t>便携化妆镜</t>
        </is>
      </c>
      <c r="E795" s="10" t="inlineStr">
        <is>
          <t>广东东莞</t>
        </is>
      </c>
      <c r="F795" s="10" t="inlineStr">
        <is>
          <t>企业官网</t>
        </is>
      </c>
      <c r="G795" s="10" t="inlineStr">
        <is>
          <t>林经理</t>
        </is>
      </c>
      <c r="H795" s="10" t="inlineStr">
        <is>
          <t>000-0000-0791</t>
        </is>
      </c>
      <c r="I795" s="10" t="inlineStr">
        <is>
          <t>DEMO_GYS_0791</t>
        </is>
      </c>
      <c r="J795" s="11" t="n">
        <v>13.5</v>
      </c>
      <c r="K795" s="11" t="n">
        <v>23.6</v>
      </c>
      <c r="L795" s="12" t="n">
        <v>50</v>
      </c>
      <c r="M795" s="10" t="inlineStr">
        <is>
          <t>是</t>
        </is>
      </c>
      <c r="N795" s="10" t="inlineStr">
        <is>
          <t>是</t>
        </is>
      </c>
      <c r="O795" s="10" t="inlineStr">
        <is>
          <t>supplier0791@example.com</t>
        </is>
      </c>
      <c r="P795" s="10" t="inlineStr">
        <is>
          <t>https://example.com/supplier/0791</t>
        </is>
      </c>
      <c r="Q795" s="10">
        <f>IF(R795&gt;=85,"A",IF(R795&gt;=70,"B","C"))</f>
        <v/>
      </c>
      <c r="R795" s="13">
        <f>MIN(100,50+IF(M795="是",10,0)+IF(N795="是",10,0)+IF(L795&lt;=100,10,IF(L795&lt;=300,5,0))+IF(J795&lt;=20,10,IF(J795&lt;=50,5,0))+IF(K795-J795&lt;=20,5,0)+IF(F795="企业官网",5,0))</f>
        <v/>
      </c>
      <c r="S795" s="10">
        <f>IF(Q795="A","价格与起订量有优势，建议优先询盘",IF(Q795="B","条件较均衡，可作为备选","起订量或价格需要进一步确认"))</f>
        <v/>
      </c>
      <c r="T795" s="10" t="inlineStr">
        <is>
          <t>未联系</t>
        </is>
      </c>
      <c r="U795" s="10" t="inlineStr">
        <is>
          <t>虚构演示数据</t>
        </is>
      </c>
    </row>
    <row r="796" ht="21" customHeight="1">
      <c r="A796" s="10" t="inlineStr">
        <is>
          <t>GYS-0792</t>
        </is>
      </c>
      <c r="B796" s="10" t="inlineStr">
        <is>
          <t>厦门旅行用品供应链0792有限公司（演示）</t>
        </is>
      </c>
      <c r="C796" s="10" t="inlineStr">
        <is>
          <t>旅行用品</t>
        </is>
      </c>
      <c r="D796" s="10" t="inlineStr">
        <is>
          <t>压缩收纳袋</t>
        </is>
      </c>
      <c r="E796" s="10" t="inlineStr">
        <is>
          <t>福建厦门</t>
        </is>
      </c>
      <c r="F796" s="10" t="inlineStr">
        <is>
          <t>义乌购</t>
        </is>
      </c>
      <c r="G796" s="10" t="inlineStr">
        <is>
          <t>王经理</t>
        </is>
      </c>
      <c r="H796" s="10" t="inlineStr">
        <is>
          <t>000-0000-0792</t>
        </is>
      </c>
      <c r="I796" s="10" t="inlineStr">
        <is>
          <t>DEMO_GYS_0792</t>
        </is>
      </c>
      <c r="J796" s="11" t="n">
        <v>15.2</v>
      </c>
      <c r="K796" s="11" t="n">
        <v>26.4</v>
      </c>
      <c r="L796" s="12" t="n">
        <v>20</v>
      </c>
      <c r="M796" s="10" t="inlineStr">
        <is>
          <t>否</t>
        </is>
      </c>
      <c r="N796" s="10" t="inlineStr">
        <is>
          <t>否</t>
        </is>
      </c>
      <c r="O796" s="10" t="inlineStr">
        <is>
          <t>supplier0792@example.com</t>
        </is>
      </c>
      <c r="P796" s="10" t="inlineStr">
        <is>
          <t>https://example.com/supplier/0792</t>
        </is>
      </c>
      <c r="Q796" s="10">
        <f>IF(R796&gt;=85,"A",IF(R796&gt;=70,"B","C"))</f>
        <v/>
      </c>
      <c r="R796" s="13">
        <f>MIN(100,50+IF(M796="是",10,0)+IF(N796="是",10,0)+IF(L796&lt;=100,10,IF(L796&lt;=300,5,0))+IF(J796&lt;=20,10,IF(J796&lt;=50,5,0))+IF(K796-J796&lt;=20,5,0)+IF(F796="企业官网",5,0))</f>
        <v/>
      </c>
      <c r="S796" s="10">
        <f>IF(Q796="A","价格与起订量有优势，建议优先询盘",IF(Q796="B","条件较均衡，可作为备选","起订量或价格需要进一步确认"))</f>
        <v/>
      </c>
      <c r="T796" s="10" t="inlineStr">
        <is>
          <t>未联系</t>
        </is>
      </c>
      <c r="U796" s="10" t="inlineStr">
        <is>
          <t>虚构演示数据</t>
        </is>
      </c>
    </row>
    <row r="797" ht="21" customHeight="1">
      <c r="A797" s="10" t="inlineStr">
        <is>
          <t>GYS-0793</t>
        </is>
      </c>
      <c r="B797" s="10" t="inlineStr">
        <is>
          <t>临沂清洁工具供应链0793有限公司（演示）</t>
        </is>
      </c>
      <c r="C797" s="10" t="inlineStr">
        <is>
          <t>清洁工具</t>
        </is>
      </c>
      <c r="D797" s="10" t="inlineStr">
        <is>
          <t>免手洗拖把</t>
        </is>
      </c>
      <c r="E797" s="10" t="inlineStr">
        <is>
          <t>山东临沂</t>
        </is>
      </c>
      <c r="F797" s="10" t="inlineStr">
        <is>
          <t>慧聪网</t>
        </is>
      </c>
      <c r="G797" s="10" t="inlineStr">
        <is>
          <t>李经理</t>
        </is>
      </c>
      <c r="H797" s="10" t="inlineStr">
        <is>
          <t>000-0000-0793</t>
        </is>
      </c>
      <c r="I797" s="10" t="inlineStr">
        <is>
          <t>DEMO_GYS_0793</t>
        </is>
      </c>
      <c r="J797" s="11" t="n">
        <v>16.9</v>
      </c>
      <c r="K797" s="11" t="n">
        <v>29.2</v>
      </c>
      <c r="L797" s="12" t="n">
        <v>500</v>
      </c>
      <c r="M797" s="10" t="inlineStr">
        <is>
          <t>是</t>
        </is>
      </c>
      <c r="N797" s="10" t="inlineStr">
        <is>
          <t>是</t>
        </is>
      </c>
      <c r="O797" s="10" t="inlineStr">
        <is>
          <t>supplier0793@example.com</t>
        </is>
      </c>
      <c r="P797" s="10" t="inlineStr">
        <is>
          <t>https://example.com/supplier/0793</t>
        </is>
      </c>
      <c r="Q797" s="10">
        <f>IF(R797&gt;=85,"A",IF(R797&gt;=70,"B","C"))</f>
        <v/>
      </c>
      <c r="R797" s="13">
        <f>MIN(100,50+IF(M797="是",10,0)+IF(N797="是",10,0)+IF(L797&lt;=100,10,IF(L797&lt;=300,5,0))+IF(J797&lt;=20,10,IF(J797&lt;=50,5,0))+IF(K797-J797&lt;=20,5,0)+IF(F797="企业官网",5,0))</f>
        <v/>
      </c>
      <c r="S797" s="10">
        <f>IF(Q797="A","价格与起订量有优势，建议优先询盘",IF(Q797="B","条件较均衡，可作为备选","起订量或价格需要进一步确认"))</f>
        <v/>
      </c>
      <c r="T797" s="10" t="inlineStr">
        <is>
          <t>未联系</t>
        </is>
      </c>
      <c r="U797" s="10" t="inlineStr">
        <is>
          <t>虚构演示数据</t>
        </is>
      </c>
    </row>
    <row r="798" ht="21" customHeight="1">
      <c r="A798" s="10" t="inlineStr">
        <is>
          <t>GYS-0794</t>
        </is>
      </c>
      <c r="B798" s="10" t="inlineStr">
        <is>
          <t>南昌小家电供应链0794有限公司（演示）</t>
        </is>
      </c>
      <c r="C798" s="10" t="inlineStr">
        <is>
          <t>小家电</t>
        </is>
      </c>
      <c r="D798" s="10" t="inlineStr">
        <is>
          <t>迷你加湿器</t>
        </is>
      </c>
      <c r="E798" s="10" t="inlineStr">
        <is>
          <t>江西南昌</t>
        </is>
      </c>
      <c r="F798" s="10" t="inlineStr">
        <is>
          <t>1688</t>
        </is>
      </c>
      <c r="G798" s="10" t="inlineStr">
        <is>
          <t>张经理</t>
        </is>
      </c>
      <c r="H798" s="10" t="inlineStr">
        <is>
          <t>000-0000-0794</t>
        </is>
      </c>
      <c r="I798" s="10" t="inlineStr">
        <is>
          <t>DEMO_GYS_0794</t>
        </is>
      </c>
      <c r="J798" s="11" t="n">
        <v>18.6</v>
      </c>
      <c r="K798" s="11" t="n">
        <v>32</v>
      </c>
      <c r="L798" s="12" t="n">
        <v>300</v>
      </c>
      <c r="M798" s="10" t="inlineStr">
        <is>
          <t>是</t>
        </is>
      </c>
      <c r="N798" s="10" t="inlineStr">
        <is>
          <t>是</t>
        </is>
      </c>
      <c r="O798" s="10" t="inlineStr">
        <is>
          <t>supplier0794@example.com</t>
        </is>
      </c>
      <c r="P798" s="10" t="inlineStr">
        <is>
          <t>https://example.com/supplier/0794</t>
        </is>
      </c>
      <c r="Q798" s="10">
        <f>IF(R798&gt;=85,"A",IF(R798&gt;=70,"B","C"))</f>
        <v/>
      </c>
      <c r="R798" s="13">
        <f>MIN(100,50+IF(M798="是",10,0)+IF(N798="是",10,0)+IF(L798&lt;=100,10,IF(L798&lt;=300,5,0))+IF(J798&lt;=20,10,IF(J798&lt;=50,5,0))+IF(K798-J798&lt;=20,5,0)+IF(F798="企业官网",5,0))</f>
        <v/>
      </c>
      <c r="S798" s="10">
        <f>IF(Q798="A","价格与起订量有优势，建议优先询盘",IF(Q798="B","条件较均衡，可作为备选","起订量或价格需要进一步确认"))</f>
        <v/>
      </c>
      <c r="T798" s="10" t="inlineStr">
        <is>
          <t>未联系</t>
        </is>
      </c>
      <c r="U798" s="10" t="inlineStr">
        <is>
          <t>虚构演示数据</t>
        </is>
      </c>
    </row>
    <row r="799" ht="21" customHeight="1">
      <c r="A799" s="10" t="inlineStr">
        <is>
          <t>GYS-0795</t>
        </is>
      </c>
      <c r="B799" s="10" t="inlineStr">
        <is>
          <t>温州礼品包装供应链0795有限公司（演示）</t>
        </is>
      </c>
      <c r="C799" s="10" t="inlineStr">
        <is>
          <t>礼品包装</t>
        </is>
      </c>
      <c r="D799" s="10" t="inlineStr">
        <is>
          <t>节日礼盒</t>
        </is>
      </c>
      <c r="E799" s="10" t="inlineStr">
        <is>
          <t>浙江温州</t>
        </is>
      </c>
      <c r="F799" s="10" t="inlineStr">
        <is>
          <t>中国制造网</t>
        </is>
      </c>
      <c r="G799" s="10" t="inlineStr">
        <is>
          <t>刘经理</t>
        </is>
      </c>
      <c r="H799" s="10" t="inlineStr">
        <is>
          <t>000-0000-0795</t>
        </is>
      </c>
      <c r="I799" s="10" t="inlineStr">
        <is>
          <t>DEMO_GYS_0795</t>
        </is>
      </c>
      <c r="J799" s="11" t="n">
        <v>20.3</v>
      </c>
      <c r="K799" s="11" t="n">
        <v>34.8</v>
      </c>
      <c r="L799" s="12" t="n">
        <v>200</v>
      </c>
      <c r="M799" s="10" t="inlineStr">
        <is>
          <t>是</t>
        </is>
      </c>
      <c r="N799" s="10" t="inlineStr">
        <is>
          <t>否</t>
        </is>
      </c>
      <c r="O799" s="10" t="inlineStr">
        <is>
          <t>supplier0795@example.com</t>
        </is>
      </c>
      <c r="P799" s="10" t="inlineStr">
        <is>
          <t>https://example.com/supplier/0795</t>
        </is>
      </c>
      <c r="Q799" s="10">
        <f>IF(R799&gt;=85,"A",IF(R799&gt;=70,"B","C"))</f>
        <v/>
      </c>
      <c r="R799" s="13">
        <f>MIN(100,50+IF(M799="是",10,0)+IF(N799="是",10,0)+IF(L799&lt;=100,10,IF(L799&lt;=300,5,0))+IF(J799&lt;=20,10,IF(J799&lt;=50,5,0))+IF(K799-J799&lt;=20,5,0)+IF(F799="企业官网",5,0))</f>
        <v/>
      </c>
      <c r="S799" s="10">
        <f>IF(Q799="A","价格与起订量有优势，建议优先询盘",IF(Q799="B","条件较均衡，可作为备选","起订量或价格需要进一步确认"))</f>
        <v/>
      </c>
      <c r="T799" s="10" t="inlineStr">
        <is>
          <t>未联系</t>
        </is>
      </c>
      <c r="U799" s="10" t="inlineStr">
        <is>
          <t>虚构演示数据</t>
        </is>
      </c>
    </row>
    <row r="800" ht="21" customHeight="1">
      <c r="A800" s="10" t="inlineStr">
        <is>
          <t>GYS-0796</t>
        </is>
      </c>
      <c r="B800" s="10" t="inlineStr">
        <is>
          <t>广州五金工具供应链0796有限公司（演示）</t>
        </is>
      </c>
      <c r="C800" s="10" t="inlineStr">
        <is>
          <t>五金工具</t>
        </is>
      </c>
      <c r="D800" s="10" t="inlineStr">
        <is>
          <t>多功能螺丝刀</t>
        </is>
      </c>
      <c r="E800" s="10" t="inlineStr">
        <is>
          <t>广东广州</t>
        </is>
      </c>
      <c r="F800" s="10" t="inlineStr">
        <is>
          <t>企业官网</t>
        </is>
      </c>
      <c r="G800" s="10" t="inlineStr">
        <is>
          <t>黄经理</t>
        </is>
      </c>
      <c r="H800" s="10" t="inlineStr">
        <is>
          <t>000-0000-0796</t>
        </is>
      </c>
      <c r="I800" s="10" t="inlineStr">
        <is>
          <t>DEMO_GYS_0796</t>
        </is>
      </c>
      <c r="J800" s="11" t="n">
        <v>22</v>
      </c>
      <c r="K800" s="11" t="n">
        <v>37.6</v>
      </c>
      <c r="L800" s="12" t="n">
        <v>100</v>
      </c>
      <c r="M800" s="10" t="inlineStr">
        <is>
          <t>否</t>
        </is>
      </c>
      <c r="N800" s="10" t="inlineStr">
        <is>
          <t>是</t>
        </is>
      </c>
      <c r="O800" s="10" t="inlineStr">
        <is>
          <t>supplier0796@example.com</t>
        </is>
      </c>
      <c r="P800" s="10" t="inlineStr">
        <is>
          <t>https://example.com/supplier/0796</t>
        </is>
      </c>
      <c r="Q800" s="10">
        <f>IF(R800&gt;=85,"A",IF(R800&gt;=70,"B","C"))</f>
        <v/>
      </c>
      <c r="R800" s="13">
        <f>MIN(100,50+IF(M800="是",10,0)+IF(N800="是",10,0)+IF(L800&lt;=100,10,IF(L800&lt;=300,5,0))+IF(J800&lt;=20,10,IF(J800&lt;=50,5,0))+IF(K800-J800&lt;=20,5,0)+IF(F800="企业官网",5,0))</f>
        <v/>
      </c>
      <c r="S800" s="10">
        <f>IF(Q800="A","价格与起订量有优势，建议优先询盘",IF(Q800="B","条件较均衡，可作为备选","起订量或价格需要进一步确认"))</f>
        <v/>
      </c>
      <c r="T800" s="10" t="inlineStr">
        <is>
          <t>未联系</t>
        </is>
      </c>
      <c r="U800" s="10" t="inlineStr">
        <is>
          <t>虚构演示数据</t>
        </is>
      </c>
    </row>
    <row r="801" ht="21" customHeight="1">
      <c r="A801" s="10" t="inlineStr">
        <is>
          <t>GYS-0797</t>
        </is>
      </c>
      <c r="B801" s="10" t="inlineStr">
        <is>
          <t>泉州鞋靴配件供应链0797有限公司（演示）</t>
        </is>
      </c>
      <c r="C801" s="10" t="inlineStr">
        <is>
          <t>鞋靴配件</t>
        </is>
      </c>
      <c r="D801" s="10" t="inlineStr">
        <is>
          <t>防磨脚贴</t>
        </is>
      </c>
      <c r="E801" s="10" t="inlineStr">
        <is>
          <t>福建泉州</t>
        </is>
      </c>
      <c r="F801" s="10" t="inlineStr">
        <is>
          <t>义乌购</t>
        </is>
      </c>
      <c r="G801" s="10" t="inlineStr">
        <is>
          <t>赵经理</t>
        </is>
      </c>
      <c r="H801" s="10" t="inlineStr">
        <is>
          <t>000-0000-0797</t>
        </is>
      </c>
      <c r="I801" s="10" t="inlineStr">
        <is>
          <t>DEMO_GYS_0797</t>
        </is>
      </c>
      <c r="J801" s="11" t="n">
        <v>23.7</v>
      </c>
      <c r="K801" s="11" t="n">
        <v>40.4</v>
      </c>
      <c r="L801" s="12" t="n">
        <v>50</v>
      </c>
      <c r="M801" s="10" t="inlineStr">
        <is>
          <t>是</t>
        </is>
      </c>
      <c r="N801" s="10" t="inlineStr">
        <is>
          <t>是</t>
        </is>
      </c>
      <c r="O801" s="10" t="inlineStr">
        <is>
          <t>supplier0797@example.com</t>
        </is>
      </c>
      <c r="P801" s="10" t="inlineStr">
        <is>
          <t>https://example.com/supplier/0797</t>
        </is>
      </c>
      <c r="Q801" s="10">
        <f>IF(R801&gt;=85,"A",IF(R801&gt;=70,"B","C"))</f>
        <v/>
      </c>
      <c r="R801" s="13">
        <f>MIN(100,50+IF(M801="是",10,0)+IF(N801="是",10,0)+IF(L801&lt;=100,10,IF(L801&lt;=300,5,0))+IF(J801&lt;=20,10,IF(J801&lt;=50,5,0))+IF(K801-J801&lt;=20,5,0)+IF(F801="企业官网",5,0))</f>
        <v/>
      </c>
      <c r="S801" s="10">
        <f>IF(Q801="A","价格与起订量有优势，建议优先询盘",IF(Q801="B","条件较均衡，可作为备选","起订量或价格需要进一步确认"))</f>
        <v/>
      </c>
      <c r="T801" s="10" t="inlineStr">
        <is>
          <t>未联系</t>
        </is>
      </c>
      <c r="U801" s="10" t="inlineStr">
        <is>
          <t>虚构演示数据</t>
        </is>
      </c>
    </row>
    <row r="802" ht="21" customHeight="1">
      <c r="A802" s="10" t="inlineStr">
        <is>
          <t>GYS-0798</t>
        </is>
      </c>
      <c r="B802" s="10" t="inlineStr">
        <is>
          <t>南通食品包装供应链0798有限公司（演示）</t>
        </is>
      </c>
      <c r="C802" s="10" t="inlineStr">
        <is>
          <t>食品包装</t>
        </is>
      </c>
      <c r="D802" s="10" t="inlineStr">
        <is>
          <t>密封包装袋</t>
        </is>
      </c>
      <c r="E802" s="10" t="inlineStr">
        <is>
          <t>江苏南通</t>
        </is>
      </c>
      <c r="F802" s="10" t="inlineStr">
        <is>
          <t>慧聪网</t>
        </is>
      </c>
      <c r="G802" s="10" t="inlineStr">
        <is>
          <t>周经理</t>
        </is>
      </c>
      <c r="H802" s="10" t="inlineStr">
        <is>
          <t>000-0000-0798</t>
        </is>
      </c>
      <c r="I802" s="10" t="inlineStr">
        <is>
          <t>DEMO_GYS_0798</t>
        </is>
      </c>
      <c r="J802" s="11" t="n">
        <v>25.4</v>
      </c>
      <c r="K802" s="11" t="n">
        <v>43.2</v>
      </c>
      <c r="L802" s="12" t="n">
        <v>20</v>
      </c>
      <c r="M802" s="10" t="inlineStr">
        <is>
          <t>是</t>
        </is>
      </c>
      <c r="N802" s="10" t="inlineStr">
        <is>
          <t>否</t>
        </is>
      </c>
      <c r="O802" s="10" t="inlineStr">
        <is>
          <t>supplier0798@example.com</t>
        </is>
      </c>
      <c r="P802" s="10" t="inlineStr">
        <is>
          <t>https://example.com/supplier/0798</t>
        </is>
      </c>
      <c r="Q802" s="10">
        <f>IF(R802&gt;=85,"A",IF(R802&gt;=70,"B","C"))</f>
        <v/>
      </c>
      <c r="R802" s="13">
        <f>MIN(100,50+IF(M802="是",10,0)+IF(N802="是",10,0)+IF(L802&lt;=100,10,IF(L802&lt;=300,5,0))+IF(J802&lt;=20,10,IF(J802&lt;=50,5,0))+IF(K802-J802&lt;=20,5,0)+IF(F802="企业官网",5,0))</f>
        <v/>
      </c>
      <c r="S802" s="10">
        <f>IF(Q802="A","价格与起订量有优势，建议优先询盘",IF(Q802="B","条件较均衡，可作为备选","起订量或价格需要进一步确认"))</f>
        <v/>
      </c>
      <c r="T802" s="10" t="inlineStr">
        <is>
          <t>未联系</t>
        </is>
      </c>
      <c r="U802" s="10" t="inlineStr">
        <is>
          <t>虚构演示数据</t>
        </is>
      </c>
    </row>
    <row r="803" ht="21" customHeight="1">
      <c r="A803" s="10" t="inlineStr">
        <is>
          <t>GYS-0799</t>
        </is>
      </c>
      <c r="B803" s="10" t="inlineStr">
        <is>
          <t>郑州户外照明供应链0799有限公司（演示）</t>
        </is>
      </c>
      <c r="C803" s="10" t="inlineStr">
        <is>
          <t>户外照明</t>
        </is>
      </c>
      <c r="D803" s="10" t="inlineStr">
        <is>
          <t>便携露营灯</t>
        </is>
      </c>
      <c r="E803" s="10" t="inlineStr">
        <is>
          <t>河南郑州</t>
        </is>
      </c>
      <c r="F803" s="10" t="inlineStr">
        <is>
          <t>1688</t>
        </is>
      </c>
      <c r="G803" s="10" t="inlineStr">
        <is>
          <t>吴经理</t>
        </is>
      </c>
      <c r="H803" s="10" t="inlineStr">
        <is>
          <t>000-0000-0799</t>
        </is>
      </c>
      <c r="I803" s="10" t="inlineStr">
        <is>
          <t>DEMO_GYS_0799</t>
        </is>
      </c>
      <c r="J803" s="11" t="n">
        <v>27.1</v>
      </c>
      <c r="K803" s="11" t="n">
        <v>46</v>
      </c>
      <c r="L803" s="12" t="n">
        <v>500</v>
      </c>
      <c r="M803" s="10" t="inlineStr">
        <is>
          <t>是</t>
        </is>
      </c>
      <c r="N803" s="10" t="inlineStr">
        <is>
          <t>是</t>
        </is>
      </c>
      <c r="O803" s="10" t="inlineStr">
        <is>
          <t>supplier0799@example.com</t>
        </is>
      </c>
      <c r="P803" s="10" t="inlineStr">
        <is>
          <t>https://example.com/supplier/0799</t>
        </is>
      </c>
      <c r="Q803" s="10">
        <f>IF(R803&gt;=85,"A",IF(R803&gt;=70,"B","C"))</f>
        <v/>
      </c>
      <c r="R803" s="13">
        <f>MIN(100,50+IF(M803="是",10,0)+IF(N803="是",10,0)+IF(L803&lt;=100,10,IF(L803&lt;=300,5,0))+IF(J803&lt;=20,10,IF(J803&lt;=50,5,0))+IF(K803-J803&lt;=20,5,0)+IF(F803="企业官网",5,0))</f>
        <v/>
      </c>
      <c r="S803" s="10">
        <f>IF(Q803="A","价格与起订量有优势，建议优先询盘",IF(Q803="B","条件较均衡，可作为备选","起订量或价格需要进一步确认"))</f>
        <v/>
      </c>
      <c r="T803" s="10" t="inlineStr">
        <is>
          <t>未联系</t>
        </is>
      </c>
      <c r="U803" s="10" t="inlineStr">
        <is>
          <t>虚构演示数据</t>
        </is>
      </c>
    </row>
    <row r="804" ht="21" customHeight="1">
      <c r="A804" s="10" t="inlineStr">
        <is>
          <t>GYS-0800</t>
        </is>
      </c>
      <c r="B804" s="10" t="inlineStr">
        <is>
          <t>宁波健康用品供应链0800有限公司（演示）</t>
        </is>
      </c>
      <c r="C804" s="10" t="inlineStr">
        <is>
          <t>健康用品</t>
        </is>
      </c>
      <c r="D804" s="10" t="inlineStr">
        <is>
          <t>热敷眼罩</t>
        </is>
      </c>
      <c r="E804" s="10" t="inlineStr">
        <is>
          <t>浙江宁波</t>
        </is>
      </c>
      <c r="F804" s="10" t="inlineStr">
        <is>
          <t>中国制造网</t>
        </is>
      </c>
      <c r="G804" s="10" t="inlineStr">
        <is>
          <t>陈经理</t>
        </is>
      </c>
      <c r="H804" s="10" t="inlineStr">
        <is>
          <t>000-0000-0800</t>
        </is>
      </c>
      <c r="I804" s="10" t="inlineStr">
        <is>
          <t>DEMO_GYS_0800</t>
        </is>
      </c>
      <c r="J804" s="11" t="n">
        <v>28.8</v>
      </c>
      <c r="K804" s="11" t="n">
        <v>48.8</v>
      </c>
      <c r="L804" s="12" t="n">
        <v>300</v>
      </c>
      <c r="M804" s="10" t="inlineStr">
        <is>
          <t>否</t>
        </is>
      </c>
      <c r="N804" s="10" t="inlineStr">
        <is>
          <t>是</t>
        </is>
      </c>
      <c r="O804" s="10" t="inlineStr">
        <is>
          <t>supplier0800@example.com</t>
        </is>
      </c>
      <c r="P804" s="10" t="inlineStr">
        <is>
          <t>https://example.com/supplier/0800</t>
        </is>
      </c>
      <c r="Q804" s="10">
        <f>IF(R804&gt;=85,"A",IF(R804&gt;=70,"B","C"))</f>
        <v/>
      </c>
      <c r="R804" s="13">
        <f>MIN(100,50+IF(M804="是",10,0)+IF(N804="是",10,0)+IF(L804&lt;=100,10,IF(L804&lt;=300,5,0))+IF(J804&lt;=20,10,IF(J804&lt;=50,5,0))+IF(K804-J804&lt;=20,5,0)+IF(F804="企业官网",5,0))</f>
        <v/>
      </c>
      <c r="S804" s="10">
        <f>IF(Q804="A","价格与起订量有优势，建议优先询盘",IF(Q804="B","条件较均衡，可作为备选","起订量或价格需要进一步确认"))</f>
        <v/>
      </c>
      <c r="T804" s="10" t="inlineStr">
        <is>
          <t>未联系</t>
        </is>
      </c>
      <c r="U804" s="10" t="inlineStr">
        <is>
          <t>虚构演示数据</t>
        </is>
      </c>
    </row>
    <row r="805" ht="21" customHeight="1">
      <c r="A805" s="10" t="inlineStr">
        <is>
          <t>GYS-0801</t>
        </is>
      </c>
      <c r="B805" s="10" t="inlineStr">
        <is>
          <t>深圳服饰内衣供应链0801有限公司（演示）</t>
        </is>
      </c>
      <c r="C805" s="10" t="inlineStr">
        <is>
          <t>服饰内衣</t>
        </is>
      </c>
      <c r="D805" s="10" t="inlineStr">
        <is>
          <t>防滑袜</t>
        </is>
      </c>
      <c r="E805" s="10" t="inlineStr">
        <is>
          <t>广东深圳</t>
        </is>
      </c>
      <c r="F805" s="10" t="inlineStr">
        <is>
          <t>企业官网</t>
        </is>
      </c>
      <c r="G805" s="10" t="inlineStr">
        <is>
          <t>林经理</t>
        </is>
      </c>
      <c r="H805" s="10" t="inlineStr">
        <is>
          <t>000-0000-0801</t>
        </is>
      </c>
      <c r="I805" s="10" t="inlineStr">
        <is>
          <t>DEMO_GYS_0801</t>
        </is>
      </c>
      <c r="J805" s="11" t="n">
        <v>30.5</v>
      </c>
      <c r="K805" s="11" t="n">
        <v>51.6</v>
      </c>
      <c r="L805" s="12" t="n">
        <v>200</v>
      </c>
      <c r="M805" s="10" t="inlineStr">
        <is>
          <t>是</t>
        </is>
      </c>
      <c r="N805" s="10" t="inlineStr">
        <is>
          <t>否</t>
        </is>
      </c>
      <c r="O805" s="10" t="inlineStr">
        <is>
          <t>supplier0801@example.com</t>
        </is>
      </c>
      <c r="P805" s="10" t="inlineStr">
        <is>
          <t>https://example.com/supplier/0801</t>
        </is>
      </c>
      <c r="Q805" s="10">
        <f>IF(R805&gt;=85,"A",IF(R805&gt;=70,"B","C"))</f>
        <v/>
      </c>
      <c r="R805" s="13">
        <f>MIN(100,50+IF(M805="是",10,0)+IF(N805="是",10,0)+IF(L805&lt;=100,10,IF(L805&lt;=300,5,0))+IF(J805&lt;=20,10,IF(J805&lt;=50,5,0))+IF(K805-J805&lt;=20,5,0)+IF(F805="企业官网",5,0))</f>
        <v/>
      </c>
      <c r="S805" s="10">
        <f>IF(Q805="A","价格与起订量有优势，建议优先询盘",IF(Q805="B","条件较均衡，可作为备选","起订量或价格需要进一步确认"))</f>
        <v/>
      </c>
      <c r="T805" s="10" t="inlineStr">
        <is>
          <t>未联系</t>
        </is>
      </c>
      <c r="U805" s="10" t="inlineStr">
        <is>
          <t>虚构演示数据</t>
        </is>
      </c>
    </row>
    <row r="806" ht="21" customHeight="1">
      <c r="A806" s="10" t="inlineStr">
        <is>
          <t>GYS-0802</t>
        </is>
      </c>
      <c r="B806" s="10" t="inlineStr">
        <is>
          <t>佛山家居日用供应链0802有限公司（演示）</t>
        </is>
      </c>
      <c r="C806" s="10" t="inlineStr">
        <is>
          <t>家居日用</t>
        </is>
      </c>
      <c r="D806" s="10" t="inlineStr">
        <is>
          <t>折叠收纳箱</t>
        </is>
      </c>
      <c r="E806" s="10" t="inlineStr">
        <is>
          <t>广东佛山</t>
        </is>
      </c>
      <c r="F806" s="10" t="inlineStr">
        <is>
          <t>义乌购</t>
        </is>
      </c>
      <c r="G806" s="10" t="inlineStr">
        <is>
          <t>王经理</t>
        </is>
      </c>
      <c r="H806" s="10" t="inlineStr">
        <is>
          <t>000-0000-0802</t>
        </is>
      </c>
      <c r="I806" s="10" t="inlineStr">
        <is>
          <t>DEMO_GYS_0802</t>
        </is>
      </c>
      <c r="J806" s="11" t="n">
        <v>32.2</v>
      </c>
      <c r="K806" s="11" t="n">
        <v>36.4</v>
      </c>
      <c r="L806" s="12" t="n">
        <v>100</v>
      </c>
      <c r="M806" s="10" t="inlineStr">
        <is>
          <t>是</t>
        </is>
      </c>
      <c r="N806" s="10" t="inlineStr">
        <is>
          <t>是</t>
        </is>
      </c>
      <c r="O806" s="10" t="inlineStr">
        <is>
          <t>supplier0802@example.com</t>
        </is>
      </c>
      <c r="P806" s="10" t="inlineStr">
        <is>
          <t>https://example.com/supplier/0802</t>
        </is>
      </c>
      <c r="Q806" s="10">
        <f>IF(R806&gt;=85,"A",IF(R806&gt;=70,"B","C"))</f>
        <v/>
      </c>
      <c r="R806" s="13">
        <f>MIN(100,50+IF(M806="是",10,0)+IF(N806="是",10,0)+IF(L806&lt;=100,10,IF(L806&lt;=300,5,0))+IF(J806&lt;=20,10,IF(J806&lt;=50,5,0))+IF(K806-J806&lt;=20,5,0)+IF(F806="企业官网",5,0))</f>
        <v/>
      </c>
      <c r="S806" s="10">
        <f>IF(Q806="A","价格与起订量有优势，建议优先询盘",IF(Q806="B","条件较均衡，可作为备选","起订量或价格需要进一步确认"))</f>
        <v/>
      </c>
      <c r="T806" s="10" t="inlineStr">
        <is>
          <t>未联系</t>
        </is>
      </c>
      <c r="U806" s="10" t="inlineStr">
        <is>
          <t>虚构演示数据</t>
        </is>
      </c>
    </row>
    <row r="807" ht="21" customHeight="1">
      <c r="A807" s="10" t="inlineStr">
        <is>
          <t>GYS-0803</t>
        </is>
      </c>
      <c r="B807" s="10" t="inlineStr">
        <is>
          <t>苏州个护清洁供应链0803有限公司（演示）</t>
        </is>
      </c>
      <c r="C807" s="10" t="inlineStr">
        <is>
          <t>个护清洁</t>
        </is>
      </c>
      <c r="D807" s="10" t="inlineStr">
        <is>
          <t>便携洗脸巾</t>
        </is>
      </c>
      <c r="E807" s="10" t="inlineStr">
        <is>
          <t>江苏苏州</t>
        </is>
      </c>
      <c r="F807" s="10" t="inlineStr">
        <is>
          <t>慧聪网</t>
        </is>
      </c>
      <c r="G807" s="10" t="inlineStr">
        <is>
          <t>李经理</t>
        </is>
      </c>
      <c r="H807" s="10" t="inlineStr">
        <is>
          <t>000-0000-0803</t>
        </is>
      </c>
      <c r="I807" s="10" t="inlineStr">
        <is>
          <t>DEMO_GYS_0803</t>
        </is>
      </c>
      <c r="J807" s="11" t="n">
        <v>33.9</v>
      </c>
      <c r="K807" s="11" t="n">
        <v>39.2</v>
      </c>
      <c r="L807" s="12" t="n">
        <v>50</v>
      </c>
      <c r="M807" s="10" t="inlineStr">
        <is>
          <t>是</t>
        </is>
      </c>
      <c r="N807" s="10" t="inlineStr">
        <is>
          <t>是</t>
        </is>
      </c>
      <c r="O807" s="10" t="inlineStr">
        <is>
          <t>supplier0803@example.com</t>
        </is>
      </c>
      <c r="P807" s="10" t="inlineStr">
        <is>
          <t>https://example.com/supplier/0803</t>
        </is>
      </c>
      <c r="Q807" s="10">
        <f>IF(R807&gt;=85,"A",IF(R807&gt;=70,"B","C"))</f>
        <v/>
      </c>
      <c r="R807" s="13">
        <f>MIN(100,50+IF(M807="是",10,0)+IF(N807="是",10,0)+IF(L807&lt;=100,10,IF(L807&lt;=300,5,0))+IF(J807&lt;=20,10,IF(J807&lt;=50,5,0))+IF(K807-J807&lt;=20,5,0)+IF(F807="企业官网",5,0))</f>
        <v/>
      </c>
      <c r="S807" s="10">
        <f>IF(Q807="A","价格与起订量有优势，建议优先询盘",IF(Q807="B","条件较均衡，可作为备选","起订量或价格需要进一步确认"))</f>
        <v/>
      </c>
      <c r="T807" s="10" t="inlineStr">
        <is>
          <t>未联系</t>
        </is>
      </c>
      <c r="U807" s="10" t="inlineStr">
        <is>
          <t>虚构演示数据</t>
        </is>
      </c>
    </row>
    <row r="808" ht="21" customHeight="1">
      <c r="A808" s="10" t="inlineStr">
        <is>
          <t>GYS-0804</t>
        </is>
      </c>
      <c r="B808" s="10" t="inlineStr">
        <is>
          <t>白沟厨房用品供应链0804有限公司（演示）</t>
        </is>
      </c>
      <c r="C808" s="10" t="inlineStr">
        <is>
          <t>厨房用品</t>
        </is>
      </c>
      <c r="D808" s="10" t="inlineStr">
        <is>
          <t>硅胶保鲜盒</t>
        </is>
      </c>
      <c r="E808" s="10" t="inlineStr">
        <is>
          <t>河北白沟</t>
        </is>
      </c>
      <c r="F808" s="10" t="inlineStr">
        <is>
          <t>1688</t>
        </is>
      </c>
      <c r="G808" s="10" t="inlineStr">
        <is>
          <t>张经理</t>
        </is>
      </c>
      <c r="H808" s="10" t="inlineStr">
        <is>
          <t>000-0000-0804</t>
        </is>
      </c>
      <c r="I808" s="10" t="inlineStr">
        <is>
          <t>DEMO_GYS_0804</t>
        </is>
      </c>
      <c r="J808" s="11" t="n">
        <v>35.6</v>
      </c>
      <c r="K808" s="11" t="n">
        <v>42</v>
      </c>
      <c r="L808" s="12" t="n">
        <v>20</v>
      </c>
      <c r="M808" s="10" t="inlineStr">
        <is>
          <t>否</t>
        </is>
      </c>
      <c r="N808" s="10" t="inlineStr">
        <is>
          <t>否</t>
        </is>
      </c>
      <c r="O808" s="10" t="inlineStr">
        <is>
          <t>supplier0804@example.com</t>
        </is>
      </c>
      <c r="P808" s="10" t="inlineStr">
        <is>
          <t>https://example.com/supplier/0804</t>
        </is>
      </c>
      <c r="Q808" s="10">
        <f>IF(R808&gt;=85,"A",IF(R808&gt;=70,"B","C"))</f>
        <v/>
      </c>
      <c r="R808" s="13">
        <f>MIN(100,50+IF(M808="是",10,0)+IF(N808="是",10,0)+IF(L808&lt;=100,10,IF(L808&lt;=300,5,0))+IF(J808&lt;=20,10,IF(J808&lt;=50,5,0))+IF(K808-J808&lt;=20,5,0)+IF(F808="企业官网",5,0))</f>
        <v/>
      </c>
      <c r="S808" s="10">
        <f>IF(Q808="A","价格与起订量有优势，建议优先询盘",IF(Q808="B","条件较均衡，可作为备选","起订量或价格需要进一步确认"))</f>
        <v/>
      </c>
      <c r="T808" s="10" t="inlineStr">
        <is>
          <t>未联系</t>
        </is>
      </c>
      <c r="U808" s="10" t="inlineStr">
        <is>
          <t>虚构演示数据</t>
        </is>
      </c>
    </row>
    <row r="809" ht="21" customHeight="1">
      <c r="A809" s="10" t="inlineStr">
        <is>
          <t>GYS-0805</t>
        </is>
      </c>
      <c r="B809" s="10" t="inlineStr">
        <is>
          <t>义乌数码配件供应链0805有限公司（演示）</t>
        </is>
      </c>
      <c r="C809" s="10" t="inlineStr">
        <is>
          <t>数码配件</t>
        </is>
      </c>
      <c r="D809" s="10" t="inlineStr">
        <is>
          <t>磁吸手机支架</t>
        </is>
      </c>
      <c r="E809" s="10" t="inlineStr">
        <is>
          <t>浙江义乌</t>
        </is>
      </c>
      <c r="F809" s="10" t="inlineStr">
        <is>
          <t>中国制造网</t>
        </is>
      </c>
      <c r="G809" s="10" t="inlineStr">
        <is>
          <t>刘经理</t>
        </is>
      </c>
      <c r="H809" s="10" t="inlineStr">
        <is>
          <t>000-0000-0805</t>
        </is>
      </c>
      <c r="I809" s="10" t="inlineStr">
        <is>
          <t>DEMO_GYS_0805</t>
        </is>
      </c>
      <c r="J809" s="11" t="n">
        <v>37.3</v>
      </c>
      <c r="K809" s="11" t="n">
        <v>44.8</v>
      </c>
      <c r="L809" s="12" t="n">
        <v>500</v>
      </c>
      <c r="M809" s="10" t="inlineStr">
        <is>
          <t>是</t>
        </is>
      </c>
      <c r="N809" s="10" t="inlineStr">
        <is>
          <t>是</t>
        </is>
      </c>
      <c r="O809" s="10" t="inlineStr">
        <is>
          <t>supplier0805@example.com</t>
        </is>
      </c>
      <c r="P809" s="10" t="inlineStr">
        <is>
          <t>https://example.com/supplier/0805</t>
        </is>
      </c>
      <c r="Q809" s="10">
        <f>IF(R809&gt;=85,"A",IF(R809&gt;=70,"B","C"))</f>
        <v/>
      </c>
      <c r="R809" s="13">
        <f>MIN(100,50+IF(M809="是",10,0)+IF(N809="是",10,0)+IF(L809&lt;=100,10,IF(L809&lt;=300,5,0))+IF(J809&lt;=20,10,IF(J809&lt;=50,5,0))+IF(K809-J809&lt;=20,5,0)+IF(F809="企业官网",5,0))</f>
        <v/>
      </c>
      <c r="S809" s="10">
        <f>IF(Q809="A","价格与起订量有优势，建议优先询盘",IF(Q809="B","条件较均衡，可作为备选","起订量或价格需要进一步确认"))</f>
        <v/>
      </c>
      <c r="T809" s="10" t="inlineStr">
        <is>
          <t>未联系</t>
        </is>
      </c>
      <c r="U809" s="10" t="inlineStr">
        <is>
          <t>虚构演示数据</t>
        </is>
      </c>
    </row>
    <row r="810" ht="21" customHeight="1">
      <c r="A810" s="10" t="inlineStr">
        <is>
          <t>GYS-0806</t>
        </is>
      </c>
      <c r="B810" s="10" t="inlineStr">
        <is>
          <t>台州宠物用品供应链0806有限公司（演示）</t>
        </is>
      </c>
      <c r="C810" s="10" t="inlineStr">
        <is>
          <t>宠物用品</t>
        </is>
      </c>
      <c r="D810" s="10" t="inlineStr">
        <is>
          <t>宠物清洁手套</t>
        </is>
      </c>
      <c r="E810" s="10" t="inlineStr">
        <is>
          <t>浙江台州</t>
        </is>
      </c>
      <c r="F810" s="10" t="inlineStr">
        <is>
          <t>企业官网</t>
        </is>
      </c>
      <c r="G810" s="10" t="inlineStr">
        <is>
          <t>黄经理</t>
        </is>
      </c>
      <c r="H810" s="10" t="inlineStr">
        <is>
          <t>000-0000-0806</t>
        </is>
      </c>
      <c r="I810" s="10" t="inlineStr">
        <is>
          <t>DEMO_GYS_0806</t>
        </is>
      </c>
      <c r="J810" s="11" t="n">
        <v>39</v>
      </c>
      <c r="K810" s="11" t="n">
        <v>47.6</v>
      </c>
      <c r="L810" s="12" t="n">
        <v>300</v>
      </c>
      <c r="M810" s="10" t="inlineStr">
        <is>
          <t>是</t>
        </is>
      </c>
      <c r="N810" s="10" t="inlineStr">
        <is>
          <t>是</t>
        </is>
      </c>
      <c r="O810" s="10" t="inlineStr">
        <is>
          <t>supplier0806@example.com</t>
        </is>
      </c>
      <c r="P810" s="10" t="inlineStr">
        <is>
          <t>https://example.com/supplier/0806</t>
        </is>
      </c>
      <c r="Q810" s="10">
        <f>IF(R810&gt;=85,"A",IF(R810&gt;=70,"B","C"))</f>
        <v/>
      </c>
      <c r="R810" s="13">
        <f>MIN(100,50+IF(M810="是",10,0)+IF(N810="是",10,0)+IF(L810&lt;=100,10,IF(L810&lt;=300,5,0))+IF(J810&lt;=20,10,IF(J810&lt;=50,5,0))+IF(K810-J810&lt;=20,5,0)+IF(F810="企业官网",5,0))</f>
        <v/>
      </c>
      <c r="S810" s="10">
        <f>IF(Q810="A","价格与起订量有优势，建议优先询盘",IF(Q810="B","条件较均衡，可作为备选","起订量或价格需要进一步确认"))</f>
        <v/>
      </c>
      <c r="T810" s="10" t="inlineStr">
        <is>
          <t>未联系</t>
        </is>
      </c>
      <c r="U810" s="10" t="inlineStr">
        <is>
          <t>虚构演示数据</t>
        </is>
      </c>
    </row>
    <row r="811" ht="21" customHeight="1">
      <c r="A811" s="10" t="inlineStr">
        <is>
          <t>GYS-0807</t>
        </is>
      </c>
      <c r="B811" s="10" t="inlineStr">
        <is>
          <t>东莞母婴用品供应链0807有限公司（演示）</t>
        </is>
      </c>
      <c r="C811" s="10" t="inlineStr">
        <is>
          <t>母婴用品</t>
        </is>
      </c>
      <c r="D811" s="10" t="inlineStr">
        <is>
          <t>婴儿防撞条</t>
        </is>
      </c>
      <c r="E811" s="10" t="inlineStr">
        <is>
          <t>广东东莞</t>
        </is>
      </c>
      <c r="F811" s="10" t="inlineStr">
        <is>
          <t>义乌购</t>
        </is>
      </c>
      <c r="G811" s="10" t="inlineStr">
        <is>
          <t>赵经理</t>
        </is>
      </c>
      <c r="H811" s="10" t="inlineStr">
        <is>
          <t>000-0000-0807</t>
        </is>
      </c>
      <c r="I811" s="10" t="inlineStr">
        <is>
          <t>DEMO_GYS_0807</t>
        </is>
      </c>
      <c r="J811" s="11" t="n">
        <v>40.7</v>
      </c>
      <c r="K811" s="11" t="n">
        <v>50.4</v>
      </c>
      <c r="L811" s="12" t="n">
        <v>200</v>
      </c>
      <c r="M811" s="10" t="inlineStr">
        <is>
          <t>是</t>
        </is>
      </c>
      <c r="N811" s="10" t="inlineStr">
        <is>
          <t>否</t>
        </is>
      </c>
      <c r="O811" s="10" t="inlineStr">
        <is>
          <t>supplier0807@example.com</t>
        </is>
      </c>
      <c r="P811" s="10" t="inlineStr">
        <is>
          <t>https://example.com/supplier/0807</t>
        </is>
      </c>
      <c r="Q811" s="10">
        <f>IF(R811&gt;=85,"A",IF(R811&gt;=70,"B","C"))</f>
        <v/>
      </c>
      <c r="R811" s="13">
        <f>MIN(100,50+IF(M811="是",10,0)+IF(N811="是",10,0)+IF(L811&lt;=100,10,IF(L811&lt;=300,5,0))+IF(J811&lt;=20,10,IF(J811&lt;=50,5,0))+IF(K811-J811&lt;=20,5,0)+IF(F811="企业官网",5,0))</f>
        <v/>
      </c>
      <c r="S811" s="10">
        <f>IF(Q811="A","价格与起订量有优势，建议优先询盘",IF(Q811="B","条件较均衡，可作为备选","起订量或价格需要进一步确认"))</f>
        <v/>
      </c>
      <c r="T811" s="10" t="inlineStr">
        <is>
          <t>未联系</t>
        </is>
      </c>
      <c r="U811" s="10" t="inlineStr">
        <is>
          <t>虚构演示数据</t>
        </is>
      </c>
    </row>
    <row r="812" ht="21" customHeight="1">
      <c r="A812" s="10" t="inlineStr">
        <is>
          <t>GYS-0808</t>
        </is>
      </c>
      <c r="B812" s="10" t="inlineStr">
        <is>
          <t>厦门运动户外供应链0808有限公司（演示）</t>
        </is>
      </c>
      <c r="C812" s="10" t="inlineStr">
        <is>
          <t>运动户外</t>
        </is>
      </c>
      <c r="D812" s="10" t="inlineStr">
        <is>
          <t>弹力训练带</t>
        </is>
      </c>
      <c r="E812" s="10" t="inlineStr">
        <is>
          <t>福建厦门</t>
        </is>
      </c>
      <c r="F812" s="10" t="inlineStr">
        <is>
          <t>慧聪网</t>
        </is>
      </c>
      <c r="G812" s="10" t="inlineStr">
        <is>
          <t>周经理</t>
        </is>
      </c>
      <c r="H812" s="10" t="inlineStr">
        <is>
          <t>000-0000-0808</t>
        </is>
      </c>
      <c r="I812" s="10" t="inlineStr">
        <is>
          <t>DEMO_GYS_0808</t>
        </is>
      </c>
      <c r="J812" s="11" t="n">
        <v>42.4</v>
      </c>
      <c r="K812" s="11" t="n">
        <v>53.2</v>
      </c>
      <c r="L812" s="12" t="n">
        <v>100</v>
      </c>
      <c r="M812" s="10" t="inlineStr">
        <is>
          <t>否</t>
        </is>
      </c>
      <c r="N812" s="10" t="inlineStr">
        <is>
          <t>是</t>
        </is>
      </c>
      <c r="O812" s="10" t="inlineStr">
        <is>
          <t>supplier0808@example.com</t>
        </is>
      </c>
      <c r="P812" s="10" t="inlineStr">
        <is>
          <t>https://example.com/supplier/0808</t>
        </is>
      </c>
      <c r="Q812" s="10">
        <f>IF(R812&gt;=85,"A",IF(R812&gt;=70,"B","C"))</f>
        <v/>
      </c>
      <c r="R812" s="13">
        <f>MIN(100,50+IF(M812="是",10,0)+IF(N812="是",10,0)+IF(L812&lt;=100,10,IF(L812&lt;=300,5,0))+IF(J812&lt;=20,10,IF(J812&lt;=50,5,0))+IF(K812-J812&lt;=20,5,0)+IF(F812="企业官网",5,0))</f>
        <v/>
      </c>
      <c r="S812" s="10">
        <f>IF(Q812="A","价格与起订量有优势，建议优先询盘",IF(Q812="B","条件较均衡，可作为备选","起订量或价格需要进一步确认"))</f>
        <v/>
      </c>
      <c r="T812" s="10" t="inlineStr">
        <is>
          <t>未联系</t>
        </is>
      </c>
      <c r="U812" s="10" t="inlineStr">
        <is>
          <t>虚构演示数据</t>
        </is>
      </c>
    </row>
    <row r="813" ht="21" customHeight="1">
      <c r="A813" s="10" t="inlineStr">
        <is>
          <t>GYS-0809</t>
        </is>
      </c>
      <c r="B813" s="10" t="inlineStr">
        <is>
          <t>临沂办公文具供应链0809有限公司（演示）</t>
        </is>
      </c>
      <c r="C813" s="10" t="inlineStr">
        <is>
          <t>办公文具</t>
        </is>
      </c>
      <c r="D813" s="10" t="inlineStr">
        <is>
          <t>桌面收纳架</t>
        </is>
      </c>
      <c r="E813" s="10" t="inlineStr">
        <is>
          <t>山东临沂</t>
        </is>
      </c>
      <c r="F813" s="10" t="inlineStr">
        <is>
          <t>1688</t>
        </is>
      </c>
      <c r="G813" s="10" t="inlineStr">
        <is>
          <t>吴经理</t>
        </is>
      </c>
      <c r="H813" s="10" t="inlineStr">
        <is>
          <t>000-0000-0809</t>
        </is>
      </c>
      <c r="I813" s="10" t="inlineStr">
        <is>
          <t>DEMO_GYS_0809</t>
        </is>
      </c>
      <c r="J813" s="11" t="n">
        <v>44.1</v>
      </c>
      <c r="K813" s="11" t="n">
        <v>56</v>
      </c>
      <c r="L813" s="12" t="n">
        <v>50</v>
      </c>
      <c r="M813" s="10" t="inlineStr">
        <is>
          <t>是</t>
        </is>
      </c>
      <c r="N813" s="10" t="inlineStr">
        <is>
          <t>是</t>
        </is>
      </c>
      <c r="O813" s="10" t="inlineStr">
        <is>
          <t>supplier0809@example.com</t>
        </is>
      </c>
      <c r="P813" s="10" t="inlineStr">
        <is>
          <t>https://example.com/supplier/0809</t>
        </is>
      </c>
      <c r="Q813" s="10">
        <f>IF(R813&gt;=85,"A",IF(R813&gt;=70,"B","C"))</f>
        <v/>
      </c>
      <c r="R813" s="13">
        <f>MIN(100,50+IF(M813="是",10,0)+IF(N813="是",10,0)+IF(L813&lt;=100,10,IF(L813&lt;=300,5,0))+IF(J813&lt;=20,10,IF(J813&lt;=50,5,0))+IF(K813-J813&lt;=20,5,0)+IF(F813="企业官网",5,0))</f>
        <v/>
      </c>
      <c r="S813" s="10">
        <f>IF(Q813="A","价格与起订量有优势，建议优先询盘",IF(Q813="B","条件较均衡，可作为备选","起订量或价格需要进一步确认"))</f>
        <v/>
      </c>
      <c r="T813" s="10" t="inlineStr">
        <is>
          <t>未联系</t>
        </is>
      </c>
      <c r="U813" s="10" t="inlineStr">
        <is>
          <t>虚构演示数据</t>
        </is>
      </c>
    </row>
    <row r="814" ht="21" customHeight="1">
      <c r="A814" s="10" t="inlineStr">
        <is>
          <t>GYS-0810</t>
        </is>
      </c>
      <c r="B814" s="10" t="inlineStr">
        <is>
          <t>南昌汽车用品供应链0810有限公司（演示）</t>
        </is>
      </c>
      <c r="C814" s="10" t="inlineStr">
        <is>
          <t>汽车用品</t>
        </is>
      </c>
      <c r="D814" s="10" t="inlineStr">
        <is>
          <t>车载香薰</t>
        </is>
      </c>
      <c r="E814" s="10" t="inlineStr">
        <is>
          <t>江西南昌</t>
        </is>
      </c>
      <c r="F814" s="10" t="inlineStr">
        <is>
          <t>中国制造网</t>
        </is>
      </c>
      <c r="G814" s="10" t="inlineStr">
        <is>
          <t>陈经理</t>
        </is>
      </c>
      <c r="H814" s="10" t="inlineStr">
        <is>
          <t>000-0000-0810</t>
        </is>
      </c>
      <c r="I814" s="10" t="inlineStr">
        <is>
          <t>DEMO_GYS_0810</t>
        </is>
      </c>
      <c r="J814" s="11" t="n">
        <v>45.8</v>
      </c>
      <c r="K814" s="11" t="n">
        <v>58.8</v>
      </c>
      <c r="L814" s="12" t="n">
        <v>20</v>
      </c>
      <c r="M814" s="10" t="inlineStr">
        <is>
          <t>是</t>
        </is>
      </c>
      <c r="N814" s="10" t="inlineStr">
        <is>
          <t>否</t>
        </is>
      </c>
      <c r="O814" s="10" t="inlineStr">
        <is>
          <t>supplier0810@example.com</t>
        </is>
      </c>
      <c r="P814" s="10" t="inlineStr">
        <is>
          <t>https://example.com/supplier/0810</t>
        </is>
      </c>
      <c r="Q814" s="10">
        <f>IF(R814&gt;=85,"A",IF(R814&gt;=70,"B","C"))</f>
        <v/>
      </c>
      <c r="R814" s="13">
        <f>MIN(100,50+IF(M814="是",10,0)+IF(N814="是",10,0)+IF(L814&lt;=100,10,IF(L814&lt;=300,5,0))+IF(J814&lt;=20,10,IF(J814&lt;=50,5,0))+IF(K814-J814&lt;=20,5,0)+IF(F814="企业官网",5,0))</f>
        <v/>
      </c>
      <c r="S814" s="10">
        <f>IF(Q814="A","价格与起订量有优势，建议优先询盘",IF(Q814="B","条件较均衡，可作为备选","起订量或价格需要进一步确认"))</f>
        <v/>
      </c>
      <c r="T814" s="10" t="inlineStr">
        <is>
          <t>未联系</t>
        </is>
      </c>
      <c r="U814" s="10" t="inlineStr">
        <is>
          <t>虚构演示数据</t>
        </is>
      </c>
    </row>
    <row r="815" ht="21" customHeight="1">
      <c r="A815" s="10" t="inlineStr">
        <is>
          <t>GYS-0811</t>
        </is>
      </c>
      <c r="B815" s="10" t="inlineStr">
        <is>
          <t>温州美容工具供应链0811有限公司（演示）</t>
        </is>
      </c>
      <c r="C815" s="10" t="inlineStr">
        <is>
          <t>美容工具</t>
        </is>
      </c>
      <c r="D815" s="10" t="inlineStr">
        <is>
          <t>便携化妆镜</t>
        </is>
      </c>
      <c r="E815" s="10" t="inlineStr">
        <is>
          <t>浙江温州</t>
        </is>
      </c>
      <c r="F815" s="10" t="inlineStr">
        <is>
          <t>企业官网</t>
        </is>
      </c>
      <c r="G815" s="10" t="inlineStr">
        <is>
          <t>林经理</t>
        </is>
      </c>
      <c r="H815" s="10" t="inlineStr">
        <is>
          <t>000-0000-0811</t>
        </is>
      </c>
      <c r="I815" s="10" t="inlineStr">
        <is>
          <t>DEMO_GYS_0811</t>
        </is>
      </c>
      <c r="J815" s="11" t="n">
        <v>47.5</v>
      </c>
      <c r="K815" s="11" t="n">
        <v>61.6</v>
      </c>
      <c r="L815" s="12" t="n">
        <v>500</v>
      </c>
      <c r="M815" s="10" t="inlineStr">
        <is>
          <t>是</t>
        </is>
      </c>
      <c r="N815" s="10" t="inlineStr">
        <is>
          <t>是</t>
        </is>
      </c>
      <c r="O815" s="10" t="inlineStr">
        <is>
          <t>supplier0811@example.com</t>
        </is>
      </c>
      <c r="P815" s="10" t="inlineStr">
        <is>
          <t>https://example.com/supplier/0811</t>
        </is>
      </c>
      <c r="Q815" s="10">
        <f>IF(R815&gt;=85,"A",IF(R815&gt;=70,"B","C"))</f>
        <v/>
      </c>
      <c r="R815" s="13">
        <f>MIN(100,50+IF(M815="是",10,0)+IF(N815="是",10,0)+IF(L815&lt;=100,10,IF(L815&lt;=300,5,0))+IF(J815&lt;=20,10,IF(J815&lt;=50,5,0))+IF(K815-J815&lt;=20,5,0)+IF(F815="企业官网",5,0))</f>
        <v/>
      </c>
      <c r="S815" s="10">
        <f>IF(Q815="A","价格与起订量有优势，建议优先询盘",IF(Q815="B","条件较均衡，可作为备选","起订量或价格需要进一步确认"))</f>
        <v/>
      </c>
      <c r="T815" s="10" t="inlineStr">
        <is>
          <t>未联系</t>
        </is>
      </c>
      <c r="U815" s="10" t="inlineStr">
        <is>
          <t>虚构演示数据</t>
        </is>
      </c>
    </row>
    <row r="816" ht="21" customHeight="1">
      <c r="A816" s="10" t="inlineStr">
        <is>
          <t>GYS-0812</t>
        </is>
      </c>
      <c r="B816" s="10" t="inlineStr">
        <is>
          <t>广州旅行用品供应链0812有限公司（演示）</t>
        </is>
      </c>
      <c r="C816" s="10" t="inlineStr">
        <is>
          <t>旅行用品</t>
        </is>
      </c>
      <c r="D816" s="10" t="inlineStr">
        <is>
          <t>压缩收纳袋</t>
        </is>
      </c>
      <c r="E816" s="10" t="inlineStr">
        <is>
          <t>广东广州</t>
        </is>
      </c>
      <c r="F816" s="10" t="inlineStr">
        <is>
          <t>义乌购</t>
        </is>
      </c>
      <c r="G816" s="10" t="inlineStr">
        <is>
          <t>王经理</t>
        </is>
      </c>
      <c r="H816" s="10" t="inlineStr">
        <is>
          <t>000-0000-0812</t>
        </is>
      </c>
      <c r="I816" s="10" t="inlineStr">
        <is>
          <t>DEMO_GYS_0812</t>
        </is>
      </c>
      <c r="J816" s="11" t="n">
        <v>3.2</v>
      </c>
      <c r="K816" s="11" t="n">
        <v>18.4</v>
      </c>
      <c r="L816" s="12" t="n">
        <v>300</v>
      </c>
      <c r="M816" s="10" t="inlineStr">
        <is>
          <t>否</t>
        </is>
      </c>
      <c r="N816" s="10" t="inlineStr">
        <is>
          <t>是</t>
        </is>
      </c>
      <c r="O816" s="10" t="inlineStr">
        <is>
          <t>supplier0812@example.com</t>
        </is>
      </c>
      <c r="P816" s="10" t="inlineStr">
        <is>
          <t>https://example.com/supplier/0812</t>
        </is>
      </c>
      <c r="Q816" s="10">
        <f>IF(R816&gt;=85,"A",IF(R816&gt;=70,"B","C"))</f>
        <v/>
      </c>
      <c r="R816" s="13">
        <f>MIN(100,50+IF(M816="是",10,0)+IF(N816="是",10,0)+IF(L816&lt;=100,10,IF(L816&lt;=300,5,0))+IF(J816&lt;=20,10,IF(J816&lt;=50,5,0))+IF(K816-J816&lt;=20,5,0)+IF(F816="企业官网",5,0))</f>
        <v/>
      </c>
      <c r="S816" s="10">
        <f>IF(Q816="A","价格与起订量有优势，建议优先询盘",IF(Q816="B","条件较均衡，可作为备选","起订量或价格需要进一步确认"))</f>
        <v/>
      </c>
      <c r="T816" s="10" t="inlineStr">
        <is>
          <t>未联系</t>
        </is>
      </c>
      <c r="U816" s="10" t="inlineStr">
        <is>
          <t>虚构演示数据</t>
        </is>
      </c>
    </row>
    <row r="817" ht="21" customHeight="1">
      <c r="A817" s="10" t="inlineStr">
        <is>
          <t>GYS-0813</t>
        </is>
      </c>
      <c r="B817" s="10" t="inlineStr">
        <is>
          <t>泉州清洁工具供应链0813有限公司（演示）</t>
        </is>
      </c>
      <c r="C817" s="10" t="inlineStr">
        <is>
          <t>清洁工具</t>
        </is>
      </c>
      <c r="D817" s="10" t="inlineStr">
        <is>
          <t>免手洗拖把</t>
        </is>
      </c>
      <c r="E817" s="10" t="inlineStr">
        <is>
          <t>福建泉州</t>
        </is>
      </c>
      <c r="F817" s="10" t="inlineStr">
        <is>
          <t>慧聪网</t>
        </is>
      </c>
      <c r="G817" s="10" t="inlineStr">
        <is>
          <t>李经理</t>
        </is>
      </c>
      <c r="H817" s="10" t="inlineStr">
        <is>
          <t>000-0000-0813</t>
        </is>
      </c>
      <c r="I817" s="10" t="inlineStr">
        <is>
          <t>DEMO_GYS_0813</t>
        </is>
      </c>
      <c r="J817" s="11" t="n">
        <v>4.9</v>
      </c>
      <c r="K817" s="11" t="n">
        <v>21.2</v>
      </c>
      <c r="L817" s="12" t="n">
        <v>200</v>
      </c>
      <c r="M817" s="10" t="inlineStr">
        <is>
          <t>是</t>
        </is>
      </c>
      <c r="N817" s="10" t="inlineStr">
        <is>
          <t>否</t>
        </is>
      </c>
      <c r="O817" s="10" t="inlineStr">
        <is>
          <t>supplier0813@example.com</t>
        </is>
      </c>
      <c r="P817" s="10" t="inlineStr">
        <is>
          <t>https://example.com/supplier/0813</t>
        </is>
      </c>
      <c r="Q817" s="10">
        <f>IF(R817&gt;=85,"A",IF(R817&gt;=70,"B","C"))</f>
        <v/>
      </c>
      <c r="R817" s="13">
        <f>MIN(100,50+IF(M817="是",10,0)+IF(N817="是",10,0)+IF(L817&lt;=100,10,IF(L817&lt;=300,5,0))+IF(J817&lt;=20,10,IF(J817&lt;=50,5,0))+IF(K817-J817&lt;=20,5,0)+IF(F817="企业官网",5,0))</f>
        <v/>
      </c>
      <c r="S817" s="10">
        <f>IF(Q817="A","价格与起订量有优势，建议优先询盘",IF(Q817="B","条件较均衡，可作为备选","起订量或价格需要进一步确认"))</f>
        <v/>
      </c>
      <c r="T817" s="10" t="inlineStr">
        <is>
          <t>未联系</t>
        </is>
      </c>
      <c r="U817" s="10" t="inlineStr">
        <is>
          <t>虚构演示数据</t>
        </is>
      </c>
    </row>
    <row r="818" ht="21" customHeight="1">
      <c r="A818" s="10" t="inlineStr">
        <is>
          <t>GYS-0814</t>
        </is>
      </c>
      <c r="B818" s="10" t="inlineStr">
        <is>
          <t>南通小家电供应链0814有限公司（演示）</t>
        </is>
      </c>
      <c r="C818" s="10" t="inlineStr">
        <is>
          <t>小家电</t>
        </is>
      </c>
      <c r="D818" s="10" t="inlineStr">
        <is>
          <t>迷你加湿器</t>
        </is>
      </c>
      <c r="E818" s="10" t="inlineStr">
        <is>
          <t>江苏南通</t>
        </is>
      </c>
      <c r="F818" s="10" t="inlineStr">
        <is>
          <t>1688</t>
        </is>
      </c>
      <c r="G818" s="10" t="inlineStr">
        <is>
          <t>张经理</t>
        </is>
      </c>
      <c r="H818" s="10" t="inlineStr">
        <is>
          <t>000-0000-0814</t>
        </is>
      </c>
      <c r="I818" s="10" t="inlineStr">
        <is>
          <t>DEMO_GYS_0814</t>
        </is>
      </c>
      <c r="J818" s="11" t="n">
        <v>6.6</v>
      </c>
      <c r="K818" s="11" t="n">
        <v>24</v>
      </c>
      <c r="L818" s="12" t="n">
        <v>100</v>
      </c>
      <c r="M818" s="10" t="inlineStr">
        <is>
          <t>是</t>
        </is>
      </c>
      <c r="N818" s="10" t="inlineStr">
        <is>
          <t>是</t>
        </is>
      </c>
      <c r="O818" s="10" t="inlineStr">
        <is>
          <t>supplier0814@example.com</t>
        </is>
      </c>
      <c r="P818" s="10" t="inlineStr">
        <is>
          <t>https://example.com/supplier/0814</t>
        </is>
      </c>
      <c r="Q818" s="10">
        <f>IF(R818&gt;=85,"A",IF(R818&gt;=70,"B","C"))</f>
        <v/>
      </c>
      <c r="R818" s="13">
        <f>MIN(100,50+IF(M818="是",10,0)+IF(N818="是",10,0)+IF(L818&lt;=100,10,IF(L818&lt;=300,5,0))+IF(J818&lt;=20,10,IF(J818&lt;=50,5,0))+IF(K818-J818&lt;=20,5,0)+IF(F818="企业官网",5,0))</f>
        <v/>
      </c>
      <c r="S818" s="10">
        <f>IF(Q818="A","价格与起订量有优势，建议优先询盘",IF(Q818="B","条件较均衡，可作为备选","起订量或价格需要进一步确认"))</f>
        <v/>
      </c>
      <c r="T818" s="10" t="inlineStr">
        <is>
          <t>未联系</t>
        </is>
      </c>
      <c r="U818" s="10" t="inlineStr">
        <is>
          <t>虚构演示数据</t>
        </is>
      </c>
    </row>
    <row r="819" ht="21" customHeight="1">
      <c r="A819" s="10" t="inlineStr">
        <is>
          <t>GYS-0815</t>
        </is>
      </c>
      <c r="B819" s="10" t="inlineStr">
        <is>
          <t>郑州礼品包装供应链0815有限公司（演示）</t>
        </is>
      </c>
      <c r="C819" s="10" t="inlineStr">
        <is>
          <t>礼品包装</t>
        </is>
      </c>
      <c r="D819" s="10" t="inlineStr">
        <is>
          <t>节日礼盒</t>
        </is>
      </c>
      <c r="E819" s="10" t="inlineStr">
        <is>
          <t>河南郑州</t>
        </is>
      </c>
      <c r="F819" s="10" t="inlineStr">
        <is>
          <t>中国制造网</t>
        </is>
      </c>
      <c r="G819" s="10" t="inlineStr">
        <is>
          <t>刘经理</t>
        </is>
      </c>
      <c r="H819" s="10" t="inlineStr">
        <is>
          <t>000-0000-0815</t>
        </is>
      </c>
      <c r="I819" s="10" t="inlineStr">
        <is>
          <t>DEMO_GYS_0815</t>
        </is>
      </c>
      <c r="J819" s="11" t="n">
        <v>8.300000000000001</v>
      </c>
      <c r="K819" s="11" t="n">
        <v>26.8</v>
      </c>
      <c r="L819" s="12" t="n">
        <v>50</v>
      </c>
      <c r="M819" s="10" t="inlineStr">
        <is>
          <t>是</t>
        </is>
      </c>
      <c r="N819" s="10" t="inlineStr">
        <is>
          <t>是</t>
        </is>
      </c>
      <c r="O819" s="10" t="inlineStr">
        <is>
          <t>supplier0815@example.com</t>
        </is>
      </c>
      <c r="P819" s="10" t="inlineStr">
        <is>
          <t>https://example.com/supplier/0815</t>
        </is>
      </c>
      <c r="Q819" s="10">
        <f>IF(R819&gt;=85,"A",IF(R819&gt;=70,"B","C"))</f>
        <v/>
      </c>
      <c r="R819" s="13">
        <f>MIN(100,50+IF(M819="是",10,0)+IF(N819="是",10,0)+IF(L819&lt;=100,10,IF(L819&lt;=300,5,0))+IF(J819&lt;=20,10,IF(J819&lt;=50,5,0))+IF(K819-J819&lt;=20,5,0)+IF(F819="企业官网",5,0))</f>
        <v/>
      </c>
      <c r="S819" s="10">
        <f>IF(Q819="A","价格与起订量有优势，建议优先询盘",IF(Q819="B","条件较均衡，可作为备选","起订量或价格需要进一步确认"))</f>
        <v/>
      </c>
      <c r="T819" s="10" t="inlineStr">
        <is>
          <t>未联系</t>
        </is>
      </c>
      <c r="U819" s="10" t="inlineStr">
        <is>
          <t>虚构演示数据</t>
        </is>
      </c>
    </row>
    <row r="820" ht="21" customHeight="1">
      <c r="A820" s="10" t="inlineStr">
        <is>
          <t>GYS-0816</t>
        </is>
      </c>
      <c r="B820" s="10" t="inlineStr">
        <is>
          <t>宁波五金工具供应链0816有限公司（演示）</t>
        </is>
      </c>
      <c r="C820" s="10" t="inlineStr">
        <is>
          <t>五金工具</t>
        </is>
      </c>
      <c r="D820" s="10" t="inlineStr">
        <is>
          <t>多功能螺丝刀</t>
        </is>
      </c>
      <c r="E820" s="10" t="inlineStr">
        <is>
          <t>浙江宁波</t>
        </is>
      </c>
      <c r="F820" s="10" t="inlineStr">
        <is>
          <t>企业官网</t>
        </is>
      </c>
      <c r="G820" s="10" t="inlineStr">
        <is>
          <t>黄经理</t>
        </is>
      </c>
      <c r="H820" s="10" t="inlineStr">
        <is>
          <t>000-0000-0816</t>
        </is>
      </c>
      <c r="I820" s="10" t="inlineStr">
        <is>
          <t>DEMO_GYS_0816</t>
        </is>
      </c>
      <c r="J820" s="11" t="n">
        <v>10</v>
      </c>
      <c r="K820" s="11" t="n">
        <v>29.6</v>
      </c>
      <c r="L820" s="12" t="n">
        <v>20</v>
      </c>
      <c r="M820" s="10" t="inlineStr">
        <is>
          <t>否</t>
        </is>
      </c>
      <c r="N820" s="10" t="inlineStr">
        <is>
          <t>否</t>
        </is>
      </c>
      <c r="O820" s="10" t="inlineStr">
        <is>
          <t>supplier0816@example.com</t>
        </is>
      </c>
      <c r="P820" s="10" t="inlineStr">
        <is>
          <t>https://example.com/supplier/0816</t>
        </is>
      </c>
      <c r="Q820" s="10">
        <f>IF(R820&gt;=85,"A",IF(R820&gt;=70,"B","C"))</f>
        <v/>
      </c>
      <c r="R820" s="13">
        <f>MIN(100,50+IF(M820="是",10,0)+IF(N820="是",10,0)+IF(L820&lt;=100,10,IF(L820&lt;=300,5,0))+IF(J820&lt;=20,10,IF(J820&lt;=50,5,0))+IF(K820-J820&lt;=20,5,0)+IF(F820="企业官网",5,0))</f>
        <v/>
      </c>
      <c r="S820" s="10">
        <f>IF(Q820="A","价格与起订量有优势，建议优先询盘",IF(Q820="B","条件较均衡，可作为备选","起订量或价格需要进一步确认"))</f>
        <v/>
      </c>
      <c r="T820" s="10" t="inlineStr">
        <is>
          <t>未联系</t>
        </is>
      </c>
      <c r="U820" s="10" t="inlineStr">
        <is>
          <t>虚构演示数据</t>
        </is>
      </c>
    </row>
    <row r="821" ht="21" customHeight="1">
      <c r="A821" s="10" t="inlineStr">
        <is>
          <t>GYS-0817</t>
        </is>
      </c>
      <c r="B821" s="10" t="inlineStr">
        <is>
          <t>深圳鞋靴配件供应链0817有限公司（演示）</t>
        </is>
      </c>
      <c r="C821" s="10" t="inlineStr">
        <is>
          <t>鞋靴配件</t>
        </is>
      </c>
      <c r="D821" s="10" t="inlineStr">
        <is>
          <t>防磨脚贴</t>
        </is>
      </c>
      <c r="E821" s="10" t="inlineStr">
        <is>
          <t>广东深圳</t>
        </is>
      </c>
      <c r="F821" s="10" t="inlineStr">
        <is>
          <t>义乌购</t>
        </is>
      </c>
      <c r="G821" s="10" t="inlineStr">
        <is>
          <t>赵经理</t>
        </is>
      </c>
      <c r="H821" s="10" t="inlineStr">
        <is>
          <t>000-0000-0817</t>
        </is>
      </c>
      <c r="I821" s="10" t="inlineStr">
        <is>
          <t>DEMO_GYS_0817</t>
        </is>
      </c>
      <c r="J821" s="11" t="n">
        <v>11.7</v>
      </c>
      <c r="K821" s="11" t="n">
        <v>32.4</v>
      </c>
      <c r="L821" s="12" t="n">
        <v>500</v>
      </c>
      <c r="M821" s="10" t="inlineStr">
        <is>
          <t>是</t>
        </is>
      </c>
      <c r="N821" s="10" t="inlineStr">
        <is>
          <t>是</t>
        </is>
      </c>
      <c r="O821" s="10" t="inlineStr">
        <is>
          <t>supplier0817@example.com</t>
        </is>
      </c>
      <c r="P821" s="10" t="inlineStr">
        <is>
          <t>https://example.com/supplier/0817</t>
        </is>
      </c>
      <c r="Q821" s="10">
        <f>IF(R821&gt;=85,"A",IF(R821&gt;=70,"B","C"))</f>
        <v/>
      </c>
      <c r="R821" s="13">
        <f>MIN(100,50+IF(M821="是",10,0)+IF(N821="是",10,0)+IF(L821&lt;=100,10,IF(L821&lt;=300,5,0))+IF(J821&lt;=20,10,IF(J821&lt;=50,5,0))+IF(K821-J821&lt;=20,5,0)+IF(F821="企业官网",5,0))</f>
        <v/>
      </c>
      <c r="S821" s="10">
        <f>IF(Q821="A","价格与起订量有优势，建议优先询盘",IF(Q821="B","条件较均衡，可作为备选","起订量或价格需要进一步确认"))</f>
        <v/>
      </c>
      <c r="T821" s="10" t="inlineStr">
        <is>
          <t>未联系</t>
        </is>
      </c>
      <c r="U821" s="10" t="inlineStr">
        <is>
          <t>虚构演示数据</t>
        </is>
      </c>
    </row>
    <row r="822" ht="21" customHeight="1">
      <c r="A822" s="10" t="inlineStr">
        <is>
          <t>GYS-0818</t>
        </is>
      </c>
      <c r="B822" s="10" t="inlineStr">
        <is>
          <t>佛山食品包装供应链0818有限公司（演示）</t>
        </is>
      </c>
      <c r="C822" s="10" t="inlineStr">
        <is>
          <t>食品包装</t>
        </is>
      </c>
      <c r="D822" s="10" t="inlineStr">
        <is>
          <t>密封包装袋</t>
        </is>
      </c>
      <c r="E822" s="10" t="inlineStr">
        <is>
          <t>广东佛山</t>
        </is>
      </c>
      <c r="F822" s="10" t="inlineStr">
        <is>
          <t>慧聪网</t>
        </is>
      </c>
      <c r="G822" s="10" t="inlineStr">
        <is>
          <t>周经理</t>
        </is>
      </c>
      <c r="H822" s="10" t="inlineStr">
        <is>
          <t>000-0000-0818</t>
        </is>
      </c>
      <c r="I822" s="10" t="inlineStr">
        <is>
          <t>DEMO_GYS_0818</t>
        </is>
      </c>
      <c r="J822" s="11" t="n">
        <v>13.4</v>
      </c>
      <c r="K822" s="11" t="n">
        <v>35.2</v>
      </c>
      <c r="L822" s="12" t="n">
        <v>300</v>
      </c>
      <c r="M822" s="10" t="inlineStr">
        <is>
          <t>是</t>
        </is>
      </c>
      <c r="N822" s="10" t="inlineStr">
        <is>
          <t>是</t>
        </is>
      </c>
      <c r="O822" s="10" t="inlineStr">
        <is>
          <t>supplier0818@example.com</t>
        </is>
      </c>
      <c r="P822" s="10" t="inlineStr">
        <is>
          <t>https://example.com/supplier/0818</t>
        </is>
      </c>
      <c r="Q822" s="10">
        <f>IF(R822&gt;=85,"A",IF(R822&gt;=70,"B","C"))</f>
        <v/>
      </c>
      <c r="R822" s="13">
        <f>MIN(100,50+IF(M822="是",10,0)+IF(N822="是",10,0)+IF(L822&lt;=100,10,IF(L822&lt;=300,5,0))+IF(J822&lt;=20,10,IF(J822&lt;=50,5,0))+IF(K822-J822&lt;=20,5,0)+IF(F822="企业官网",5,0))</f>
        <v/>
      </c>
      <c r="S822" s="10">
        <f>IF(Q822="A","价格与起订量有优势，建议优先询盘",IF(Q822="B","条件较均衡，可作为备选","起订量或价格需要进一步确认"))</f>
        <v/>
      </c>
      <c r="T822" s="10" t="inlineStr">
        <is>
          <t>未联系</t>
        </is>
      </c>
      <c r="U822" s="10" t="inlineStr">
        <is>
          <t>虚构演示数据</t>
        </is>
      </c>
    </row>
    <row r="823" ht="21" customHeight="1">
      <c r="A823" s="10" t="inlineStr">
        <is>
          <t>GYS-0819</t>
        </is>
      </c>
      <c r="B823" s="10" t="inlineStr">
        <is>
          <t>苏州户外照明供应链0819有限公司（演示）</t>
        </is>
      </c>
      <c r="C823" s="10" t="inlineStr">
        <is>
          <t>户外照明</t>
        </is>
      </c>
      <c r="D823" s="10" t="inlineStr">
        <is>
          <t>便携露营灯</t>
        </is>
      </c>
      <c r="E823" s="10" t="inlineStr">
        <is>
          <t>江苏苏州</t>
        </is>
      </c>
      <c r="F823" s="10" t="inlineStr">
        <is>
          <t>1688</t>
        </is>
      </c>
      <c r="G823" s="10" t="inlineStr">
        <is>
          <t>吴经理</t>
        </is>
      </c>
      <c r="H823" s="10" t="inlineStr">
        <is>
          <t>000-0000-0819</t>
        </is>
      </c>
      <c r="I823" s="10" t="inlineStr">
        <is>
          <t>DEMO_GYS_0819</t>
        </is>
      </c>
      <c r="J823" s="11" t="n">
        <v>15.1</v>
      </c>
      <c r="K823" s="11" t="n">
        <v>20</v>
      </c>
      <c r="L823" s="12" t="n">
        <v>200</v>
      </c>
      <c r="M823" s="10" t="inlineStr">
        <is>
          <t>是</t>
        </is>
      </c>
      <c r="N823" s="10" t="inlineStr">
        <is>
          <t>否</t>
        </is>
      </c>
      <c r="O823" s="10" t="inlineStr">
        <is>
          <t>supplier0819@example.com</t>
        </is>
      </c>
      <c r="P823" s="10" t="inlineStr">
        <is>
          <t>https://example.com/supplier/0819</t>
        </is>
      </c>
      <c r="Q823" s="10">
        <f>IF(R823&gt;=85,"A",IF(R823&gt;=70,"B","C"))</f>
        <v/>
      </c>
      <c r="R823" s="13">
        <f>MIN(100,50+IF(M823="是",10,0)+IF(N823="是",10,0)+IF(L823&lt;=100,10,IF(L823&lt;=300,5,0))+IF(J823&lt;=20,10,IF(J823&lt;=50,5,0))+IF(K823-J823&lt;=20,5,0)+IF(F823="企业官网",5,0))</f>
        <v/>
      </c>
      <c r="S823" s="10">
        <f>IF(Q823="A","价格与起订量有优势，建议优先询盘",IF(Q823="B","条件较均衡，可作为备选","起订量或价格需要进一步确认"))</f>
        <v/>
      </c>
      <c r="T823" s="10" t="inlineStr">
        <is>
          <t>未联系</t>
        </is>
      </c>
      <c r="U823" s="10" t="inlineStr">
        <is>
          <t>虚构演示数据</t>
        </is>
      </c>
    </row>
    <row r="824" ht="21" customHeight="1">
      <c r="A824" s="10" t="inlineStr">
        <is>
          <t>GYS-0820</t>
        </is>
      </c>
      <c r="B824" s="10" t="inlineStr">
        <is>
          <t>白沟健康用品供应链0820有限公司（演示）</t>
        </is>
      </c>
      <c r="C824" s="10" t="inlineStr">
        <is>
          <t>健康用品</t>
        </is>
      </c>
      <c r="D824" s="10" t="inlineStr">
        <is>
          <t>热敷眼罩</t>
        </is>
      </c>
      <c r="E824" s="10" t="inlineStr">
        <is>
          <t>河北白沟</t>
        </is>
      </c>
      <c r="F824" s="10" t="inlineStr">
        <is>
          <t>中国制造网</t>
        </is>
      </c>
      <c r="G824" s="10" t="inlineStr">
        <is>
          <t>陈经理</t>
        </is>
      </c>
      <c r="H824" s="10" t="inlineStr">
        <is>
          <t>000-0000-0820</t>
        </is>
      </c>
      <c r="I824" s="10" t="inlineStr">
        <is>
          <t>DEMO_GYS_0820</t>
        </is>
      </c>
      <c r="J824" s="11" t="n">
        <v>16.8</v>
      </c>
      <c r="K824" s="11" t="n">
        <v>22.8</v>
      </c>
      <c r="L824" s="12" t="n">
        <v>100</v>
      </c>
      <c r="M824" s="10" t="inlineStr">
        <is>
          <t>否</t>
        </is>
      </c>
      <c r="N824" s="10" t="inlineStr">
        <is>
          <t>是</t>
        </is>
      </c>
      <c r="O824" s="10" t="inlineStr">
        <is>
          <t>supplier0820@example.com</t>
        </is>
      </c>
      <c r="P824" s="10" t="inlineStr">
        <is>
          <t>https://example.com/supplier/0820</t>
        </is>
      </c>
      <c r="Q824" s="10">
        <f>IF(R824&gt;=85,"A",IF(R824&gt;=70,"B","C"))</f>
        <v/>
      </c>
      <c r="R824" s="13">
        <f>MIN(100,50+IF(M824="是",10,0)+IF(N824="是",10,0)+IF(L824&lt;=100,10,IF(L824&lt;=300,5,0))+IF(J824&lt;=20,10,IF(J824&lt;=50,5,0))+IF(K824-J824&lt;=20,5,0)+IF(F824="企业官网",5,0))</f>
        <v/>
      </c>
      <c r="S824" s="10">
        <f>IF(Q824="A","价格与起订量有优势，建议优先询盘",IF(Q824="B","条件较均衡，可作为备选","起订量或价格需要进一步确认"))</f>
        <v/>
      </c>
      <c r="T824" s="10" t="inlineStr">
        <is>
          <t>未联系</t>
        </is>
      </c>
      <c r="U824" s="10" t="inlineStr">
        <is>
          <t>虚构演示数据</t>
        </is>
      </c>
    </row>
    <row r="825" ht="21" customHeight="1">
      <c r="A825" s="10" t="inlineStr">
        <is>
          <t>GYS-0821</t>
        </is>
      </c>
      <c r="B825" s="10" t="inlineStr">
        <is>
          <t>义乌服饰内衣供应链0821有限公司（演示）</t>
        </is>
      </c>
      <c r="C825" s="10" t="inlineStr">
        <is>
          <t>服饰内衣</t>
        </is>
      </c>
      <c r="D825" s="10" t="inlineStr">
        <is>
          <t>防滑袜</t>
        </is>
      </c>
      <c r="E825" s="10" t="inlineStr">
        <is>
          <t>浙江义乌</t>
        </is>
      </c>
      <c r="F825" s="10" t="inlineStr">
        <is>
          <t>企业官网</t>
        </is>
      </c>
      <c r="G825" s="10" t="inlineStr">
        <is>
          <t>林经理</t>
        </is>
      </c>
      <c r="H825" s="10" t="inlineStr">
        <is>
          <t>000-0000-0821</t>
        </is>
      </c>
      <c r="I825" s="10" t="inlineStr">
        <is>
          <t>DEMO_GYS_0821</t>
        </is>
      </c>
      <c r="J825" s="11" t="n">
        <v>18.5</v>
      </c>
      <c r="K825" s="11" t="n">
        <v>25.6</v>
      </c>
      <c r="L825" s="12" t="n">
        <v>50</v>
      </c>
      <c r="M825" s="10" t="inlineStr">
        <is>
          <t>是</t>
        </is>
      </c>
      <c r="N825" s="10" t="inlineStr">
        <is>
          <t>是</t>
        </is>
      </c>
      <c r="O825" s="10" t="inlineStr">
        <is>
          <t>supplier0821@example.com</t>
        </is>
      </c>
      <c r="P825" s="10" t="inlineStr">
        <is>
          <t>https://example.com/supplier/0821</t>
        </is>
      </c>
      <c r="Q825" s="10">
        <f>IF(R825&gt;=85,"A",IF(R825&gt;=70,"B","C"))</f>
        <v/>
      </c>
      <c r="R825" s="13">
        <f>MIN(100,50+IF(M825="是",10,0)+IF(N825="是",10,0)+IF(L825&lt;=100,10,IF(L825&lt;=300,5,0))+IF(J825&lt;=20,10,IF(J825&lt;=50,5,0))+IF(K825-J825&lt;=20,5,0)+IF(F825="企业官网",5,0))</f>
        <v/>
      </c>
      <c r="S825" s="10">
        <f>IF(Q825="A","价格与起订量有优势，建议优先询盘",IF(Q825="B","条件较均衡，可作为备选","起订量或价格需要进一步确认"))</f>
        <v/>
      </c>
      <c r="T825" s="10" t="inlineStr">
        <is>
          <t>未联系</t>
        </is>
      </c>
      <c r="U825" s="10" t="inlineStr">
        <is>
          <t>虚构演示数据</t>
        </is>
      </c>
    </row>
    <row r="826" ht="21" customHeight="1">
      <c r="A826" s="10" t="inlineStr">
        <is>
          <t>GYS-0822</t>
        </is>
      </c>
      <c r="B826" s="10" t="inlineStr">
        <is>
          <t>台州家居日用供应链0822有限公司（演示）</t>
        </is>
      </c>
      <c r="C826" s="10" t="inlineStr">
        <is>
          <t>家居日用</t>
        </is>
      </c>
      <c r="D826" s="10" t="inlineStr">
        <is>
          <t>折叠收纳箱</t>
        </is>
      </c>
      <c r="E826" s="10" t="inlineStr">
        <is>
          <t>浙江台州</t>
        </is>
      </c>
      <c r="F826" s="10" t="inlineStr">
        <is>
          <t>义乌购</t>
        </is>
      </c>
      <c r="G826" s="10" t="inlineStr">
        <is>
          <t>王经理</t>
        </is>
      </c>
      <c r="H826" s="10" t="inlineStr">
        <is>
          <t>000-0000-0822</t>
        </is>
      </c>
      <c r="I826" s="10" t="inlineStr">
        <is>
          <t>DEMO_GYS_0822</t>
        </is>
      </c>
      <c r="J826" s="11" t="n">
        <v>20.2</v>
      </c>
      <c r="K826" s="11" t="n">
        <v>28.4</v>
      </c>
      <c r="L826" s="12" t="n">
        <v>20</v>
      </c>
      <c r="M826" s="10" t="inlineStr">
        <is>
          <t>是</t>
        </is>
      </c>
      <c r="N826" s="10" t="inlineStr">
        <is>
          <t>否</t>
        </is>
      </c>
      <c r="O826" s="10" t="inlineStr">
        <is>
          <t>supplier0822@example.com</t>
        </is>
      </c>
      <c r="P826" s="10" t="inlineStr">
        <is>
          <t>https://example.com/supplier/0822</t>
        </is>
      </c>
      <c r="Q826" s="10">
        <f>IF(R826&gt;=85,"A",IF(R826&gt;=70,"B","C"))</f>
        <v/>
      </c>
      <c r="R826" s="13">
        <f>MIN(100,50+IF(M826="是",10,0)+IF(N826="是",10,0)+IF(L826&lt;=100,10,IF(L826&lt;=300,5,0))+IF(J826&lt;=20,10,IF(J826&lt;=50,5,0))+IF(K826-J826&lt;=20,5,0)+IF(F826="企业官网",5,0))</f>
        <v/>
      </c>
      <c r="S826" s="10">
        <f>IF(Q826="A","价格与起订量有优势，建议优先询盘",IF(Q826="B","条件较均衡，可作为备选","起订量或价格需要进一步确认"))</f>
        <v/>
      </c>
      <c r="T826" s="10" t="inlineStr">
        <is>
          <t>未联系</t>
        </is>
      </c>
      <c r="U826" s="10" t="inlineStr">
        <is>
          <t>虚构演示数据</t>
        </is>
      </c>
    </row>
    <row r="827" ht="21" customHeight="1">
      <c r="A827" s="10" t="inlineStr">
        <is>
          <t>GYS-0823</t>
        </is>
      </c>
      <c r="B827" s="10" t="inlineStr">
        <is>
          <t>东莞个护清洁供应链0823有限公司（演示）</t>
        </is>
      </c>
      <c r="C827" s="10" t="inlineStr">
        <is>
          <t>个护清洁</t>
        </is>
      </c>
      <c r="D827" s="10" t="inlineStr">
        <is>
          <t>便携洗脸巾</t>
        </is>
      </c>
      <c r="E827" s="10" t="inlineStr">
        <is>
          <t>广东东莞</t>
        </is>
      </c>
      <c r="F827" s="10" t="inlineStr">
        <is>
          <t>慧聪网</t>
        </is>
      </c>
      <c r="G827" s="10" t="inlineStr">
        <is>
          <t>李经理</t>
        </is>
      </c>
      <c r="H827" s="10" t="inlineStr">
        <is>
          <t>000-0000-0823</t>
        </is>
      </c>
      <c r="I827" s="10" t="inlineStr">
        <is>
          <t>DEMO_GYS_0823</t>
        </is>
      </c>
      <c r="J827" s="11" t="n">
        <v>21.9</v>
      </c>
      <c r="K827" s="11" t="n">
        <v>31.2</v>
      </c>
      <c r="L827" s="12" t="n">
        <v>500</v>
      </c>
      <c r="M827" s="10" t="inlineStr">
        <is>
          <t>是</t>
        </is>
      </c>
      <c r="N827" s="10" t="inlineStr">
        <is>
          <t>是</t>
        </is>
      </c>
      <c r="O827" s="10" t="inlineStr">
        <is>
          <t>supplier0823@example.com</t>
        </is>
      </c>
      <c r="P827" s="10" t="inlineStr">
        <is>
          <t>https://example.com/supplier/0823</t>
        </is>
      </c>
      <c r="Q827" s="10">
        <f>IF(R827&gt;=85,"A",IF(R827&gt;=70,"B","C"))</f>
        <v/>
      </c>
      <c r="R827" s="13">
        <f>MIN(100,50+IF(M827="是",10,0)+IF(N827="是",10,0)+IF(L827&lt;=100,10,IF(L827&lt;=300,5,0))+IF(J827&lt;=20,10,IF(J827&lt;=50,5,0))+IF(K827-J827&lt;=20,5,0)+IF(F827="企业官网",5,0))</f>
        <v/>
      </c>
      <c r="S827" s="10">
        <f>IF(Q827="A","价格与起订量有优势，建议优先询盘",IF(Q827="B","条件较均衡，可作为备选","起订量或价格需要进一步确认"))</f>
        <v/>
      </c>
      <c r="T827" s="10" t="inlineStr">
        <is>
          <t>未联系</t>
        </is>
      </c>
      <c r="U827" s="10" t="inlineStr">
        <is>
          <t>虚构演示数据</t>
        </is>
      </c>
    </row>
    <row r="828" ht="21" customHeight="1">
      <c r="A828" s="10" t="inlineStr">
        <is>
          <t>GYS-0824</t>
        </is>
      </c>
      <c r="B828" s="10" t="inlineStr">
        <is>
          <t>厦门厨房用品供应链0824有限公司（演示）</t>
        </is>
      </c>
      <c r="C828" s="10" t="inlineStr">
        <is>
          <t>厨房用品</t>
        </is>
      </c>
      <c r="D828" s="10" t="inlineStr">
        <is>
          <t>硅胶保鲜盒</t>
        </is>
      </c>
      <c r="E828" s="10" t="inlineStr">
        <is>
          <t>福建厦门</t>
        </is>
      </c>
      <c r="F828" s="10" t="inlineStr">
        <is>
          <t>1688</t>
        </is>
      </c>
      <c r="G828" s="10" t="inlineStr">
        <is>
          <t>张经理</t>
        </is>
      </c>
      <c r="H828" s="10" t="inlineStr">
        <is>
          <t>000-0000-0824</t>
        </is>
      </c>
      <c r="I828" s="10" t="inlineStr">
        <is>
          <t>DEMO_GYS_0824</t>
        </is>
      </c>
      <c r="J828" s="11" t="n">
        <v>23.6</v>
      </c>
      <c r="K828" s="11" t="n">
        <v>34</v>
      </c>
      <c r="L828" s="12" t="n">
        <v>300</v>
      </c>
      <c r="M828" s="10" t="inlineStr">
        <is>
          <t>否</t>
        </is>
      </c>
      <c r="N828" s="10" t="inlineStr">
        <is>
          <t>是</t>
        </is>
      </c>
      <c r="O828" s="10" t="inlineStr">
        <is>
          <t>supplier0824@example.com</t>
        </is>
      </c>
      <c r="P828" s="10" t="inlineStr">
        <is>
          <t>https://example.com/supplier/0824</t>
        </is>
      </c>
      <c r="Q828" s="10">
        <f>IF(R828&gt;=85,"A",IF(R828&gt;=70,"B","C"))</f>
        <v/>
      </c>
      <c r="R828" s="13">
        <f>MIN(100,50+IF(M828="是",10,0)+IF(N828="是",10,0)+IF(L828&lt;=100,10,IF(L828&lt;=300,5,0))+IF(J828&lt;=20,10,IF(J828&lt;=50,5,0))+IF(K828-J828&lt;=20,5,0)+IF(F828="企业官网",5,0))</f>
        <v/>
      </c>
      <c r="S828" s="10">
        <f>IF(Q828="A","价格与起订量有优势，建议优先询盘",IF(Q828="B","条件较均衡，可作为备选","起订量或价格需要进一步确认"))</f>
        <v/>
      </c>
      <c r="T828" s="10" t="inlineStr">
        <is>
          <t>未联系</t>
        </is>
      </c>
      <c r="U828" s="10" t="inlineStr">
        <is>
          <t>虚构演示数据</t>
        </is>
      </c>
    </row>
    <row r="829" ht="21" customHeight="1">
      <c r="A829" s="10" t="inlineStr">
        <is>
          <t>GYS-0825</t>
        </is>
      </c>
      <c r="B829" s="10" t="inlineStr">
        <is>
          <t>临沂数码配件供应链0825有限公司（演示）</t>
        </is>
      </c>
      <c r="C829" s="10" t="inlineStr">
        <is>
          <t>数码配件</t>
        </is>
      </c>
      <c r="D829" s="10" t="inlineStr">
        <is>
          <t>磁吸手机支架</t>
        </is>
      </c>
      <c r="E829" s="10" t="inlineStr">
        <is>
          <t>山东临沂</t>
        </is>
      </c>
      <c r="F829" s="10" t="inlineStr">
        <is>
          <t>中国制造网</t>
        </is>
      </c>
      <c r="G829" s="10" t="inlineStr">
        <is>
          <t>刘经理</t>
        </is>
      </c>
      <c r="H829" s="10" t="inlineStr">
        <is>
          <t>000-0000-0825</t>
        </is>
      </c>
      <c r="I829" s="10" t="inlineStr">
        <is>
          <t>DEMO_GYS_0825</t>
        </is>
      </c>
      <c r="J829" s="11" t="n">
        <v>25.3</v>
      </c>
      <c r="K829" s="11" t="n">
        <v>36.8</v>
      </c>
      <c r="L829" s="12" t="n">
        <v>200</v>
      </c>
      <c r="M829" s="10" t="inlineStr">
        <is>
          <t>是</t>
        </is>
      </c>
      <c r="N829" s="10" t="inlineStr">
        <is>
          <t>否</t>
        </is>
      </c>
      <c r="O829" s="10" t="inlineStr">
        <is>
          <t>supplier0825@example.com</t>
        </is>
      </c>
      <c r="P829" s="10" t="inlineStr">
        <is>
          <t>https://example.com/supplier/0825</t>
        </is>
      </c>
      <c r="Q829" s="10">
        <f>IF(R829&gt;=85,"A",IF(R829&gt;=70,"B","C"))</f>
        <v/>
      </c>
      <c r="R829" s="13">
        <f>MIN(100,50+IF(M829="是",10,0)+IF(N829="是",10,0)+IF(L829&lt;=100,10,IF(L829&lt;=300,5,0))+IF(J829&lt;=20,10,IF(J829&lt;=50,5,0))+IF(K829-J829&lt;=20,5,0)+IF(F829="企业官网",5,0))</f>
        <v/>
      </c>
      <c r="S829" s="10">
        <f>IF(Q829="A","价格与起订量有优势，建议优先询盘",IF(Q829="B","条件较均衡，可作为备选","起订量或价格需要进一步确认"))</f>
        <v/>
      </c>
      <c r="T829" s="10" t="inlineStr">
        <is>
          <t>未联系</t>
        </is>
      </c>
      <c r="U829" s="10" t="inlineStr">
        <is>
          <t>虚构演示数据</t>
        </is>
      </c>
    </row>
    <row r="830" ht="21" customHeight="1">
      <c r="A830" s="10" t="inlineStr">
        <is>
          <t>GYS-0826</t>
        </is>
      </c>
      <c r="B830" s="10" t="inlineStr">
        <is>
          <t>南昌宠物用品供应链0826有限公司（演示）</t>
        </is>
      </c>
      <c r="C830" s="10" t="inlineStr">
        <is>
          <t>宠物用品</t>
        </is>
      </c>
      <c r="D830" s="10" t="inlineStr">
        <is>
          <t>宠物清洁手套</t>
        </is>
      </c>
      <c r="E830" s="10" t="inlineStr">
        <is>
          <t>江西南昌</t>
        </is>
      </c>
      <c r="F830" s="10" t="inlineStr">
        <is>
          <t>企业官网</t>
        </is>
      </c>
      <c r="G830" s="10" t="inlineStr">
        <is>
          <t>黄经理</t>
        </is>
      </c>
      <c r="H830" s="10" t="inlineStr">
        <is>
          <t>000-0000-0826</t>
        </is>
      </c>
      <c r="I830" s="10" t="inlineStr">
        <is>
          <t>DEMO_GYS_0826</t>
        </is>
      </c>
      <c r="J830" s="11" t="n">
        <v>27</v>
      </c>
      <c r="K830" s="11" t="n">
        <v>39.6</v>
      </c>
      <c r="L830" s="12" t="n">
        <v>100</v>
      </c>
      <c r="M830" s="10" t="inlineStr">
        <is>
          <t>是</t>
        </is>
      </c>
      <c r="N830" s="10" t="inlineStr">
        <is>
          <t>是</t>
        </is>
      </c>
      <c r="O830" s="10" t="inlineStr">
        <is>
          <t>supplier0826@example.com</t>
        </is>
      </c>
      <c r="P830" s="10" t="inlineStr">
        <is>
          <t>https://example.com/supplier/0826</t>
        </is>
      </c>
      <c r="Q830" s="10">
        <f>IF(R830&gt;=85,"A",IF(R830&gt;=70,"B","C"))</f>
        <v/>
      </c>
      <c r="R830" s="13">
        <f>MIN(100,50+IF(M830="是",10,0)+IF(N830="是",10,0)+IF(L830&lt;=100,10,IF(L830&lt;=300,5,0))+IF(J830&lt;=20,10,IF(J830&lt;=50,5,0))+IF(K830-J830&lt;=20,5,0)+IF(F830="企业官网",5,0))</f>
        <v/>
      </c>
      <c r="S830" s="10">
        <f>IF(Q830="A","价格与起订量有优势，建议优先询盘",IF(Q830="B","条件较均衡，可作为备选","起订量或价格需要进一步确认"))</f>
        <v/>
      </c>
      <c r="T830" s="10" t="inlineStr">
        <is>
          <t>未联系</t>
        </is>
      </c>
      <c r="U830" s="10" t="inlineStr">
        <is>
          <t>虚构演示数据</t>
        </is>
      </c>
    </row>
    <row r="831" ht="21" customHeight="1">
      <c r="A831" s="10" t="inlineStr">
        <is>
          <t>GYS-0827</t>
        </is>
      </c>
      <c r="B831" s="10" t="inlineStr">
        <is>
          <t>温州母婴用品供应链0827有限公司（演示）</t>
        </is>
      </c>
      <c r="C831" s="10" t="inlineStr">
        <is>
          <t>母婴用品</t>
        </is>
      </c>
      <c r="D831" s="10" t="inlineStr">
        <is>
          <t>婴儿防撞条</t>
        </is>
      </c>
      <c r="E831" s="10" t="inlineStr">
        <is>
          <t>浙江温州</t>
        </is>
      </c>
      <c r="F831" s="10" t="inlineStr">
        <is>
          <t>义乌购</t>
        </is>
      </c>
      <c r="G831" s="10" t="inlineStr">
        <is>
          <t>赵经理</t>
        </is>
      </c>
      <c r="H831" s="10" t="inlineStr">
        <is>
          <t>000-0000-0827</t>
        </is>
      </c>
      <c r="I831" s="10" t="inlineStr">
        <is>
          <t>DEMO_GYS_0827</t>
        </is>
      </c>
      <c r="J831" s="11" t="n">
        <v>28.7</v>
      </c>
      <c r="K831" s="11" t="n">
        <v>42.4</v>
      </c>
      <c r="L831" s="12" t="n">
        <v>50</v>
      </c>
      <c r="M831" s="10" t="inlineStr">
        <is>
          <t>是</t>
        </is>
      </c>
      <c r="N831" s="10" t="inlineStr">
        <is>
          <t>是</t>
        </is>
      </c>
      <c r="O831" s="10" t="inlineStr">
        <is>
          <t>supplier0827@example.com</t>
        </is>
      </c>
      <c r="P831" s="10" t="inlineStr">
        <is>
          <t>https://example.com/supplier/0827</t>
        </is>
      </c>
      <c r="Q831" s="10">
        <f>IF(R831&gt;=85,"A",IF(R831&gt;=70,"B","C"))</f>
        <v/>
      </c>
      <c r="R831" s="13">
        <f>MIN(100,50+IF(M831="是",10,0)+IF(N831="是",10,0)+IF(L831&lt;=100,10,IF(L831&lt;=300,5,0))+IF(J831&lt;=20,10,IF(J831&lt;=50,5,0))+IF(K831-J831&lt;=20,5,0)+IF(F831="企业官网",5,0))</f>
        <v/>
      </c>
      <c r="S831" s="10">
        <f>IF(Q831="A","价格与起订量有优势，建议优先询盘",IF(Q831="B","条件较均衡，可作为备选","起订量或价格需要进一步确认"))</f>
        <v/>
      </c>
      <c r="T831" s="10" t="inlineStr">
        <is>
          <t>未联系</t>
        </is>
      </c>
      <c r="U831" s="10" t="inlineStr">
        <is>
          <t>虚构演示数据</t>
        </is>
      </c>
    </row>
    <row r="832" ht="21" customHeight="1">
      <c r="A832" s="10" t="inlineStr">
        <is>
          <t>GYS-0828</t>
        </is>
      </c>
      <c r="B832" s="10" t="inlineStr">
        <is>
          <t>广州运动户外供应链0828有限公司（演示）</t>
        </is>
      </c>
      <c r="C832" s="10" t="inlineStr">
        <is>
          <t>运动户外</t>
        </is>
      </c>
      <c r="D832" s="10" t="inlineStr">
        <is>
          <t>弹力训练带</t>
        </is>
      </c>
      <c r="E832" s="10" t="inlineStr">
        <is>
          <t>广东广州</t>
        </is>
      </c>
      <c r="F832" s="10" t="inlineStr">
        <is>
          <t>慧聪网</t>
        </is>
      </c>
      <c r="G832" s="10" t="inlineStr">
        <is>
          <t>周经理</t>
        </is>
      </c>
      <c r="H832" s="10" t="inlineStr">
        <is>
          <t>000-0000-0828</t>
        </is>
      </c>
      <c r="I832" s="10" t="inlineStr">
        <is>
          <t>DEMO_GYS_0828</t>
        </is>
      </c>
      <c r="J832" s="11" t="n">
        <v>30.4</v>
      </c>
      <c r="K832" s="11" t="n">
        <v>45.2</v>
      </c>
      <c r="L832" s="12" t="n">
        <v>20</v>
      </c>
      <c r="M832" s="10" t="inlineStr">
        <is>
          <t>否</t>
        </is>
      </c>
      <c r="N832" s="10" t="inlineStr">
        <is>
          <t>否</t>
        </is>
      </c>
      <c r="O832" s="10" t="inlineStr">
        <is>
          <t>supplier0828@example.com</t>
        </is>
      </c>
      <c r="P832" s="10" t="inlineStr">
        <is>
          <t>https://example.com/supplier/0828</t>
        </is>
      </c>
      <c r="Q832" s="10">
        <f>IF(R832&gt;=85,"A",IF(R832&gt;=70,"B","C"))</f>
        <v/>
      </c>
      <c r="R832" s="13">
        <f>MIN(100,50+IF(M832="是",10,0)+IF(N832="是",10,0)+IF(L832&lt;=100,10,IF(L832&lt;=300,5,0))+IF(J832&lt;=20,10,IF(J832&lt;=50,5,0))+IF(K832-J832&lt;=20,5,0)+IF(F832="企业官网",5,0))</f>
        <v/>
      </c>
      <c r="S832" s="10">
        <f>IF(Q832="A","价格与起订量有优势，建议优先询盘",IF(Q832="B","条件较均衡，可作为备选","起订量或价格需要进一步确认"))</f>
        <v/>
      </c>
      <c r="T832" s="10" t="inlineStr">
        <is>
          <t>未联系</t>
        </is>
      </c>
      <c r="U832" s="10" t="inlineStr">
        <is>
          <t>虚构演示数据</t>
        </is>
      </c>
    </row>
    <row r="833" ht="21" customHeight="1">
      <c r="A833" s="10" t="inlineStr">
        <is>
          <t>GYS-0829</t>
        </is>
      </c>
      <c r="B833" s="10" t="inlineStr">
        <is>
          <t>泉州办公文具供应链0829有限公司（演示）</t>
        </is>
      </c>
      <c r="C833" s="10" t="inlineStr">
        <is>
          <t>办公文具</t>
        </is>
      </c>
      <c r="D833" s="10" t="inlineStr">
        <is>
          <t>桌面收纳架</t>
        </is>
      </c>
      <c r="E833" s="10" t="inlineStr">
        <is>
          <t>福建泉州</t>
        </is>
      </c>
      <c r="F833" s="10" t="inlineStr">
        <is>
          <t>1688</t>
        </is>
      </c>
      <c r="G833" s="10" t="inlineStr">
        <is>
          <t>吴经理</t>
        </is>
      </c>
      <c r="H833" s="10" t="inlineStr">
        <is>
          <t>000-0000-0829</t>
        </is>
      </c>
      <c r="I833" s="10" t="inlineStr">
        <is>
          <t>DEMO_GYS_0829</t>
        </is>
      </c>
      <c r="J833" s="11" t="n">
        <v>32.1</v>
      </c>
      <c r="K833" s="11" t="n">
        <v>48</v>
      </c>
      <c r="L833" s="12" t="n">
        <v>500</v>
      </c>
      <c r="M833" s="10" t="inlineStr">
        <is>
          <t>是</t>
        </is>
      </c>
      <c r="N833" s="10" t="inlineStr">
        <is>
          <t>是</t>
        </is>
      </c>
      <c r="O833" s="10" t="inlineStr">
        <is>
          <t>supplier0829@example.com</t>
        </is>
      </c>
      <c r="P833" s="10" t="inlineStr">
        <is>
          <t>https://example.com/supplier/0829</t>
        </is>
      </c>
      <c r="Q833" s="10">
        <f>IF(R833&gt;=85,"A",IF(R833&gt;=70,"B","C"))</f>
        <v/>
      </c>
      <c r="R833" s="13">
        <f>MIN(100,50+IF(M833="是",10,0)+IF(N833="是",10,0)+IF(L833&lt;=100,10,IF(L833&lt;=300,5,0))+IF(J833&lt;=20,10,IF(J833&lt;=50,5,0))+IF(K833-J833&lt;=20,5,0)+IF(F833="企业官网",5,0))</f>
        <v/>
      </c>
      <c r="S833" s="10">
        <f>IF(Q833="A","价格与起订量有优势，建议优先询盘",IF(Q833="B","条件较均衡，可作为备选","起订量或价格需要进一步确认"))</f>
        <v/>
      </c>
      <c r="T833" s="10" t="inlineStr">
        <is>
          <t>未联系</t>
        </is>
      </c>
      <c r="U833" s="10" t="inlineStr">
        <is>
          <t>虚构演示数据</t>
        </is>
      </c>
    </row>
    <row r="834" ht="21" customHeight="1">
      <c r="A834" s="10" t="inlineStr">
        <is>
          <t>GYS-0830</t>
        </is>
      </c>
      <c r="B834" s="10" t="inlineStr">
        <is>
          <t>南通汽车用品供应链0830有限公司（演示）</t>
        </is>
      </c>
      <c r="C834" s="10" t="inlineStr">
        <is>
          <t>汽车用品</t>
        </is>
      </c>
      <c r="D834" s="10" t="inlineStr">
        <is>
          <t>车载香薰</t>
        </is>
      </c>
      <c r="E834" s="10" t="inlineStr">
        <is>
          <t>江苏南通</t>
        </is>
      </c>
      <c r="F834" s="10" t="inlineStr">
        <is>
          <t>中国制造网</t>
        </is>
      </c>
      <c r="G834" s="10" t="inlineStr">
        <is>
          <t>陈经理</t>
        </is>
      </c>
      <c r="H834" s="10" t="inlineStr">
        <is>
          <t>000-0000-0830</t>
        </is>
      </c>
      <c r="I834" s="10" t="inlineStr">
        <is>
          <t>DEMO_GYS_0830</t>
        </is>
      </c>
      <c r="J834" s="11" t="n">
        <v>33.8</v>
      </c>
      <c r="K834" s="11" t="n">
        <v>50.8</v>
      </c>
      <c r="L834" s="12" t="n">
        <v>300</v>
      </c>
      <c r="M834" s="10" t="inlineStr">
        <is>
          <t>是</t>
        </is>
      </c>
      <c r="N834" s="10" t="inlineStr">
        <is>
          <t>是</t>
        </is>
      </c>
      <c r="O834" s="10" t="inlineStr">
        <is>
          <t>supplier0830@example.com</t>
        </is>
      </c>
      <c r="P834" s="10" t="inlineStr">
        <is>
          <t>https://example.com/supplier/0830</t>
        </is>
      </c>
      <c r="Q834" s="10">
        <f>IF(R834&gt;=85,"A",IF(R834&gt;=70,"B","C"))</f>
        <v/>
      </c>
      <c r="R834" s="13">
        <f>MIN(100,50+IF(M834="是",10,0)+IF(N834="是",10,0)+IF(L834&lt;=100,10,IF(L834&lt;=300,5,0))+IF(J834&lt;=20,10,IF(J834&lt;=50,5,0))+IF(K834-J834&lt;=20,5,0)+IF(F834="企业官网",5,0))</f>
        <v/>
      </c>
      <c r="S834" s="10">
        <f>IF(Q834="A","价格与起订量有优势，建议优先询盘",IF(Q834="B","条件较均衡，可作为备选","起订量或价格需要进一步确认"))</f>
        <v/>
      </c>
      <c r="T834" s="10" t="inlineStr">
        <is>
          <t>未联系</t>
        </is>
      </c>
      <c r="U834" s="10" t="inlineStr">
        <is>
          <t>虚构演示数据</t>
        </is>
      </c>
    </row>
    <row r="835" ht="21" customHeight="1">
      <c r="A835" s="10" t="inlineStr">
        <is>
          <t>GYS-0831</t>
        </is>
      </c>
      <c r="B835" s="10" t="inlineStr">
        <is>
          <t>郑州美容工具供应链0831有限公司（演示）</t>
        </is>
      </c>
      <c r="C835" s="10" t="inlineStr">
        <is>
          <t>美容工具</t>
        </is>
      </c>
      <c r="D835" s="10" t="inlineStr">
        <is>
          <t>便携化妆镜</t>
        </is>
      </c>
      <c r="E835" s="10" t="inlineStr">
        <is>
          <t>河南郑州</t>
        </is>
      </c>
      <c r="F835" s="10" t="inlineStr">
        <is>
          <t>企业官网</t>
        </is>
      </c>
      <c r="G835" s="10" t="inlineStr">
        <is>
          <t>林经理</t>
        </is>
      </c>
      <c r="H835" s="10" t="inlineStr">
        <is>
          <t>000-0000-0831</t>
        </is>
      </c>
      <c r="I835" s="10" t="inlineStr">
        <is>
          <t>DEMO_GYS_0831</t>
        </is>
      </c>
      <c r="J835" s="11" t="n">
        <v>35.5</v>
      </c>
      <c r="K835" s="11" t="n">
        <v>53.6</v>
      </c>
      <c r="L835" s="12" t="n">
        <v>200</v>
      </c>
      <c r="M835" s="10" t="inlineStr">
        <is>
          <t>是</t>
        </is>
      </c>
      <c r="N835" s="10" t="inlineStr">
        <is>
          <t>否</t>
        </is>
      </c>
      <c r="O835" s="10" t="inlineStr">
        <is>
          <t>supplier0831@example.com</t>
        </is>
      </c>
      <c r="P835" s="10" t="inlineStr">
        <is>
          <t>https://example.com/supplier/0831</t>
        </is>
      </c>
      <c r="Q835" s="10">
        <f>IF(R835&gt;=85,"A",IF(R835&gt;=70,"B","C"))</f>
        <v/>
      </c>
      <c r="R835" s="13">
        <f>MIN(100,50+IF(M835="是",10,0)+IF(N835="是",10,0)+IF(L835&lt;=100,10,IF(L835&lt;=300,5,0))+IF(J835&lt;=20,10,IF(J835&lt;=50,5,0))+IF(K835-J835&lt;=20,5,0)+IF(F835="企业官网",5,0))</f>
        <v/>
      </c>
      <c r="S835" s="10">
        <f>IF(Q835="A","价格与起订量有优势，建议优先询盘",IF(Q835="B","条件较均衡，可作为备选","起订量或价格需要进一步确认"))</f>
        <v/>
      </c>
      <c r="T835" s="10" t="inlineStr">
        <is>
          <t>未联系</t>
        </is>
      </c>
      <c r="U835" s="10" t="inlineStr">
        <is>
          <t>虚构演示数据</t>
        </is>
      </c>
    </row>
    <row r="836" ht="21" customHeight="1">
      <c r="A836" s="10" t="inlineStr">
        <is>
          <t>GYS-0832</t>
        </is>
      </c>
      <c r="B836" s="10" t="inlineStr">
        <is>
          <t>宁波旅行用品供应链0832有限公司（演示）</t>
        </is>
      </c>
      <c r="C836" s="10" t="inlineStr">
        <is>
          <t>旅行用品</t>
        </is>
      </c>
      <c r="D836" s="10" t="inlineStr">
        <is>
          <t>压缩收纳袋</t>
        </is>
      </c>
      <c r="E836" s="10" t="inlineStr">
        <is>
          <t>浙江宁波</t>
        </is>
      </c>
      <c r="F836" s="10" t="inlineStr">
        <is>
          <t>义乌购</t>
        </is>
      </c>
      <c r="G836" s="10" t="inlineStr">
        <is>
          <t>王经理</t>
        </is>
      </c>
      <c r="H836" s="10" t="inlineStr">
        <is>
          <t>000-0000-0832</t>
        </is>
      </c>
      <c r="I836" s="10" t="inlineStr">
        <is>
          <t>DEMO_GYS_0832</t>
        </is>
      </c>
      <c r="J836" s="11" t="n">
        <v>37.2</v>
      </c>
      <c r="K836" s="11" t="n">
        <v>56.4</v>
      </c>
      <c r="L836" s="12" t="n">
        <v>100</v>
      </c>
      <c r="M836" s="10" t="inlineStr">
        <is>
          <t>否</t>
        </is>
      </c>
      <c r="N836" s="10" t="inlineStr">
        <is>
          <t>是</t>
        </is>
      </c>
      <c r="O836" s="10" t="inlineStr">
        <is>
          <t>supplier0832@example.com</t>
        </is>
      </c>
      <c r="P836" s="10" t="inlineStr">
        <is>
          <t>https://example.com/supplier/0832</t>
        </is>
      </c>
      <c r="Q836" s="10">
        <f>IF(R836&gt;=85,"A",IF(R836&gt;=70,"B","C"))</f>
        <v/>
      </c>
      <c r="R836" s="13">
        <f>MIN(100,50+IF(M836="是",10,0)+IF(N836="是",10,0)+IF(L836&lt;=100,10,IF(L836&lt;=300,5,0))+IF(J836&lt;=20,10,IF(J836&lt;=50,5,0))+IF(K836-J836&lt;=20,5,0)+IF(F836="企业官网",5,0))</f>
        <v/>
      </c>
      <c r="S836" s="10">
        <f>IF(Q836="A","价格与起订量有优势，建议优先询盘",IF(Q836="B","条件较均衡，可作为备选","起订量或价格需要进一步确认"))</f>
        <v/>
      </c>
      <c r="T836" s="10" t="inlineStr">
        <is>
          <t>未联系</t>
        </is>
      </c>
      <c r="U836" s="10" t="inlineStr">
        <is>
          <t>虚构演示数据</t>
        </is>
      </c>
    </row>
    <row r="837" ht="21" customHeight="1">
      <c r="A837" s="10" t="inlineStr">
        <is>
          <t>GYS-0833</t>
        </is>
      </c>
      <c r="B837" s="10" t="inlineStr">
        <is>
          <t>深圳清洁工具供应链0833有限公司（演示）</t>
        </is>
      </c>
      <c r="C837" s="10" t="inlineStr">
        <is>
          <t>清洁工具</t>
        </is>
      </c>
      <c r="D837" s="10" t="inlineStr">
        <is>
          <t>免手洗拖把</t>
        </is>
      </c>
      <c r="E837" s="10" t="inlineStr">
        <is>
          <t>广东深圳</t>
        </is>
      </c>
      <c r="F837" s="10" t="inlineStr">
        <is>
          <t>慧聪网</t>
        </is>
      </c>
      <c r="G837" s="10" t="inlineStr">
        <is>
          <t>李经理</t>
        </is>
      </c>
      <c r="H837" s="10" t="inlineStr">
        <is>
          <t>000-0000-0833</t>
        </is>
      </c>
      <c r="I837" s="10" t="inlineStr">
        <is>
          <t>DEMO_GYS_0833</t>
        </is>
      </c>
      <c r="J837" s="11" t="n">
        <v>38.9</v>
      </c>
      <c r="K837" s="11" t="n">
        <v>59.2</v>
      </c>
      <c r="L837" s="12" t="n">
        <v>50</v>
      </c>
      <c r="M837" s="10" t="inlineStr">
        <is>
          <t>是</t>
        </is>
      </c>
      <c r="N837" s="10" t="inlineStr">
        <is>
          <t>是</t>
        </is>
      </c>
      <c r="O837" s="10" t="inlineStr">
        <is>
          <t>supplier0833@example.com</t>
        </is>
      </c>
      <c r="P837" s="10" t="inlineStr">
        <is>
          <t>https://example.com/supplier/0833</t>
        </is>
      </c>
      <c r="Q837" s="10">
        <f>IF(R837&gt;=85,"A",IF(R837&gt;=70,"B","C"))</f>
        <v/>
      </c>
      <c r="R837" s="13">
        <f>MIN(100,50+IF(M837="是",10,0)+IF(N837="是",10,0)+IF(L837&lt;=100,10,IF(L837&lt;=300,5,0))+IF(J837&lt;=20,10,IF(J837&lt;=50,5,0))+IF(K837-J837&lt;=20,5,0)+IF(F837="企业官网",5,0))</f>
        <v/>
      </c>
      <c r="S837" s="10">
        <f>IF(Q837="A","价格与起订量有优势，建议优先询盘",IF(Q837="B","条件较均衡，可作为备选","起订量或价格需要进一步确认"))</f>
        <v/>
      </c>
      <c r="T837" s="10" t="inlineStr">
        <is>
          <t>未联系</t>
        </is>
      </c>
      <c r="U837" s="10" t="inlineStr">
        <is>
          <t>虚构演示数据</t>
        </is>
      </c>
    </row>
    <row r="838" ht="21" customHeight="1">
      <c r="A838" s="10" t="inlineStr">
        <is>
          <t>GYS-0834</t>
        </is>
      </c>
      <c r="B838" s="10" t="inlineStr">
        <is>
          <t>佛山小家电供应链0834有限公司（演示）</t>
        </is>
      </c>
      <c r="C838" s="10" t="inlineStr">
        <is>
          <t>小家电</t>
        </is>
      </c>
      <c r="D838" s="10" t="inlineStr">
        <is>
          <t>迷你加湿器</t>
        </is>
      </c>
      <c r="E838" s="10" t="inlineStr">
        <is>
          <t>广东佛山</t>
        </is>
      </c>
      <c r="F838" s="10" t="inlineStr">
        <is>
          <t>1688</t>
        </is>
      </c>
      <c r="G838" s="10" t="inlineStr">
        <is>
          <t>张经理</t>
        </is>
      </c>
      <c r="H838" s="10" t="inlineStr">
        <is>
          <t>000-0000-0834</t>
        </is>
      </c>
      <c r="I838" s="10" t="inlineStr">
        <is>
          <t>DEMO_GYS_0834</t>
        </is>
      </c>
      <c r="J838" s="11" t="n">
        <v>40.6</v>
      </c>
      <c r="K838" s="11" t="n">
        <v>62</v>
      </c>
      <c r="L838" s="12" t="n">
        <v>20</v>
      </c>
      <c r="M838" s="10" t="inlineStr">
        <is>
          <t>是</t>
        </is>
      </c>
      <c r="N838" s="10" t="inlineStr">
        <is>
          <t>否</t>
        </is>
      </c>
      <c r="O838" s="10" t="inlineStr">
        <is>
          <t>supplier0834@example.com</t>
        </is>
      </c>
      <c r="P838" s="10" t="inlineStr">
        <is>
          <t>https://example.com/supplier/0834</t>
        </is>
      </c>
      <c r="Q838" s="10">
        <f>IF(R838&gt;=85,"A",IF(R838&gt;=70,"B","C"))</f>
        <v/>
      </c>
      <c r="R838" s="13">
        <f>MIN(100,50+IF(M838="是",10,0)+IF(N838="是",10,0)+IF(L838&lt;=100,10,IF(L838&lt;=300,5,0))+IF(J838&lt;=20,10,IF(J838&lt;=50,5,0))+IF(K838-J838&lt;=20,5,0)+IF(F838="企业官网",5,0))</f>
        <v/>
      </c>
      <c r="S838" s="10">
        <f>IF(Q838="A","价格与起订量有优势，建议优先询盘",IF(Q838="B","条件较均衡，可作为备选","起订量或价格需要进一步确认"))</f>
        <v/>
      </c>
      <c r="T838" s="10" t="inlineStr">
        <is>
          <t>未联系</t>
        </is>
      </c>
      <c r="U838" s="10" t="inlineStr">
        <is>
          <t>虚构演示数据</t>
        </is>
      </c>
    </row>
    <row r="839" ht="21" customHeight="1">
      <c r="A839" s="10" t="inlineStr">
        <is>
          <t>GYS-0835</t>
        </is>
      </c>
      <c r="B839" s="10" t="inlineStr">
        <is>
          <t>苏州礼品包装供应链0835有限公司（演示）</t>
        </is>
      </c>
      <c r="C839" s="10" t="inlineStr">
        <is>
          <t>礼品包装</t>
        </is>
      </c>
      <c r="D839" s="10" t="inlineStr">
        <is>
          <t>节日礼盒</t>
        </is>
      </c>
      <c r="E839" s="10" t="inlineStr">
        <is>
          <t>江苏苏州</t>
        </is>
      </c>
      <c r="F839" s="10" t="inlineStr">
        <is>
          <t>中国制造网</t>
        </is>
      </c>
      <c r="G839" s="10" t="inlineStr">
        <is>
          <t>刘经理</t>
        </is>
      </c>
      <c r="H839" s="10" t="inlineStr">
        <is>
          <t>000-0000-0835</t>
        </is>
      </c>
      <c r="I839" s="10" t="inlineStr">
        <is>
          <t>DEMO_GYS_0835</t>
        </is>
      </c>
      <c r="J839" s="11" t="n">
        <v>42.3</v>
      </c>
      <c r="K839" s="11" t="n">
        <v>46.8</v>
      </c>
      <c r="L839" s="12" t="n">
        <v>500</v>
      </c>
      <c r="M839" s="10" t="inlineStr">
        <is>
          <t>是</t>
        </is>
      </c>
      <c r="N839" s="10" t="inlineStr">
        <is>
          <t>是</t>
        </is>
      </c>
      <c r="O839" s="10" t="inlineStr">
        <is>
          <t>supplier0835@example.com</t>
        </is>
      </c>
      <c r="P839" s="10" t="inlineStr">
        <is>
          <t>https://example.com/supplier/0835</t>
        </is>
      </c>
      <c r="Q839" s="10">
        <f>IF(R839&gt;=85,"A",IF(R839&gt;=70,"B","C"))</f>
        <v/>
      </c>
      <c r="R839" s="13">
        <f>MIN(100,50+IF(M839="是",10,0)+IF(N839="是",10,0)+IF(L839&lt;=100,10,IF(L839&lt;=300,5,0))+IF(J839&lt;=20,10,IF(J839&lt;=50,5,0))+IF(K839-J839&lt;=20,5,0)+IF(F839="企业官网",5,0))</f>
        <v/>
      </c>
      <c r="S839" s="10">
        <f>IF(Q839="A","价格与起订量有优势，建议优先询盘",IF(Q839="B","条件较均衡，可作为备选","起订量或价格需要进一步确认"))</f>
        <v/>
      </c>
      <c r="T839" s="10" t="inlineStr">
        <is>
          <t>未联系</t>
        </is>
      </c>
      <c r="U839" s="10" t="inlineStr">
        <is>
          <t>虚构演示数据</t>
        </is>
      </c>
    </row>
    <row r="840" ht="21" customHeight="1">
      <c r="A840" s="10" t="inlineStr">
        <is>
          <t>GYS-0836</t>
        </is>
      </c>
      <c r="B840" s="10" t="inlineStr">
        <is>
          <t>白沟五金工具供应链0836有限公司（演示）</t>
        </is>
      </c>
      <c r="C840" s="10" t="inlineStr">
        <is>
          <t>五金工具</t>
        </is>
      </c>
      <c r="D840" s="10" t="inlineStr">
        <is>
          <t>多功能螺丝刀</t>
        </is>
      </c>
      <c r="E840" s="10" t="inlineStr">
        <is>
          <t>河北白沟</t>
        </is>
      </c>
      <c r="F840" s="10" t="inlineStr">
        <is>
          <t>企业官网</t>
        </is>
      </c>
      <c r="G840" s="10" t="inlineStr">
        <is>
          <t>黄经理</t>
        </is>
      </c>
      <c r="H840" s="10" t="inlineStr">
        <is>
          <t>000-0000-0836</t>
        </is>
      </c>
      <c r="I840" s="10" t="inlineStr">
        <is>
          <t>DEMO_GYS_0836</t>
        </is>
      </c>
      <c r="J840" s="11" t="n">
        <v>44</v>
      </c>
      <c r="K840" s="11" t="n">
        <v>49.6</v>
      </c>
      <c r="L840" s="12" t="n">
        <v>300</v>
      </c>
      <c r="M840" s="10" t="inlineStr">
        <is>
          <t>否</t>
        </is>
      </c>
      <c r="N840" s="10" t="inlineStr">
        <is>
          <t>是</t>
        </is>
      </c>
      <c r="O840" s="10" t="inlineStr">
        <is>
          <t>supplier0836@example.com</t>
        </is>
      </c>
      <c r="P840" s="10" t="inlineStr">
        <is>
          <t>https://example.com/supplier/0836</t>
        </is>
      </c>
      <c r="Q840" s="10">
        <f>IF(R840&gt;=85,"A",IF(R840&gt;=70,"B","C"))</f>
        <v/>
      </c>
      <c r="R840" s="13">
        <f>MIN(100,50+IF(M840="是",10,0)+IF(N840="是",10,0)+IF(L840&lt;=100,10,IF(L840&lt;=300,5,0))+IF(J840&lt;=20,10,IF(J840&lt;=50,5,0))+IF(K840-J840&lt;=20,5,0)+IF(F840="企业官网",5,0))</f>
        <v/>
      </c>
      <c r="S840" s="10">
        <f>IF(Q840="A","价格与起订量有优势，建议优先询盘",IF(Q840="B","条件较均衡，可作为备选","起订量或价格需要进一步确认"))</f>
        <v/>
      </c>
      <c r="T840" s="10" t="inlineStr">
        <is>
          <t>未联系</t>
        </is>
      </c>
      <c r="U840" s="10" t="inlineStr">
        <is>
          <t>虚构演示数据</t>
        </is>
      </c>
    </row>
    <row r="841" ht="21" customHeight="1">
      <c r="A841" s="10" t="inlineStr">
        <is>
          <t>GYS-0837</t>
        </is>
      </c>
      <c r="B841" s="10" t="inlineStr">
        <is>
          <t>义乌鞋靴配件供应链0837有限公司（演示）</t>
        </is>
      </c>
      <c r="C841" s="10" t="inlineStr">
        <is>
          <t>鞋靴配件</t>
        </is>
      </c>
      <c r="D841" s="10" t="inlineStr">
        <is>
          <t>防磨脚贴</t>
        </is>
      </c>
      <c r="E841" s="10" t="inlineStr">
        <is>
          <t>浙江义乌</t>
        </is>
      </c>
      <c r="F841" s="10" t="inlineStr">
        <is>
          <t>义乌购</t>
        </is>
      </c>
      <c r="G841" s="10" t="inlineStr">
        <is>
          <t>赵经理</t>
        </is>
      </c>
      <c r="H841" s="10" t="inlineStr">
        <is>
          <t>000-0000-0837</t>
        </is>
      </c>
      <c r="I841" s="10" t="inlineStr">
        <is>
          <t>DEMO_GYS_0837</t>
        </is>
      </c>
      <c r="J841" s="11" t="n">
        <v>45.7</v>
      </c>
      <c r="K841" s="11" t="n">
        <v>52.4</v>
      </c>
      <c r="L841" s="12" t="n">
        <v>200</v>
      </c>
      <c r="M841" s="10" t="inlineStr">
        <is>
          <t>是</t>
        </is>
      </c>
      <c r="N841" s="10" t="inlineStr">
        <is>
          <t>否</t>
        </is>
      </c>
      <c r="O841" s="10" t="inlineStr">
        <is>
          <t>supplier0837@example.com</t>
        </is>
      </c>
      <c r="P841" s="10" t="inlineStr">
        <is>
          <t>https://example.com/supplier/0837</t>
        </is>
      </c>
      <c r="Q841" s="10">
        <f>IF(R841&gt;=85,"A",IF(R841&gt;=70,"B","C"))</f>
        <v/>
      </c>
      <c r="R841" s="13">
        <f>MIN(100,50+IF(M841="是",10,0)+IF(N841="是",10,0)+IF(L841&lt;=100,10,IF(L841&lt;=300,5,0))+IF(J841&lt;=20,10,IF(J841&lt;=50,5,0))+IF(K841-J841&lt;=20,5,0)+IF(F841="企业官网",5,0))</f>
        <v/>
      </c>
      <c r="S841" s="10">
        <f>IF(Q841="A","价格与起订量有优势，建议优先询盘",IF(Q841="B","条件较均衡，可作为备选","起订量或价格需要进一步确认"))</f>
        <v/>
      </c>
      <c r="T841" s="10" t="inlineStr">
        <is>
          <t>未联系</t>
        </is>
      </c>
      <c r="U841" s="10" t="inlineStr">
        <is>
          <t>虚构演示数据</t>
        </is>
      </c>
    </row>
    <row r="842" ht="21" customHeight="1">
      <c r="A842" s="10" t="inlineStr">
        <is>
          <t>GYS-0838</t>
        </is>
      </c>
      <c r="B842" s="10" t="inlineStr">
        <is>
          <t>台州食品包装供应链0838有限公司（演示）</t>
        </is>
      </c>
      <c r="C842" s="10" t="inlineStr">
        <is>
          <t>食品包装</t>
        </is>
      </c>
      <c r="D842" s="10" t="inlineStr">
        <is>
          <t>密封包装袋</t>
        </is>
      </c>
      <c r="E842" s="10" t="inlineStr">
        <is>
          <t>浙江台州</t>
        </is>
      </c>
      <c r="F842" s="10" t="inlineStr">
        <is>
          <t>慧聪网</t>
        </is>
      </c>
      <c r="G842" s="10" t="inlineStr">
        <is>
          <t>周经理</t>
        </is>
      </c>
      <c r="H842" s="10" t="inlineStr">
        <is>
          <t>000-0000-0838</t>
        </is>
      </c>
      <c r="I842" s="10" t="inlineStr">
        <is>
          <t>DEMO_GYS_0838</t>
        </is>
      </c>
      <c r="J842" s="11" t="n">
        <v>47.4</v>
      </c>
      <c r="K842" s="11" t="n">
        <v>55.2</v>
      </c>
      <c r="L842" s="12" t="n">
        <v>100</v>
      </c>
      <c r="M842" s="10" t="inlineStr">
        <is>
          <t>是</t>
        </is>
      </c>
      <c r="N842" s="10" t="inlineStr">
        <is>
          <t>是</t>
        </is>
      </c>
      <c r="O842" s="10" t="inlineStr">
        <is>
          <t>supplier0838@example.com</t>
        </is>
      </c>
      <c r="P842" s="10" t="inlineStr">
        <is>
          <t>https://example.com/supplier/0838</t>
        </is>
      </c>
      <c r="Q842" s="10">
        <f>IF(R842&gt;=85,"A",IF(R842&gt;=70,"B","C"))</f>
        <v/>
      </c>
      <c r="R842" s="13">
        <f>MIN(100,50+IF(M842="是",10,0)+IF(N842="是",10,0)+IF(L842&lt;=100,10,IF(L842&lt;=300,5,0))+IF(J842&lt;=20,10,IF(J842&lt;=50,5,0))+IF(K842-J842&lt;=20,5,0)+IF(F842="企业官网",5,0))</f>
        <v/>
      </c>
      <c r="S842" s="10">
        <f>IF(Q842="A","价格与起订量有优势，建议优先询盘",IF(Q842="B","条件较均衡，可作为备选","起订量或价格需要进一步确认"))</f>
        <v/>
      </c>
      <c r="T842" s="10" t="inlineStr">
        <is>
          <t>未联系</t>
        </is>
      </c>
      <c r="U842" s="10" t="inlineStr">
        <is>
          <t>虚构演示数据</t>
        </is>
      </c>
    </row>
    <row r="843" ht="21" customHeight="1">
      <c r="A843" s="10" t="inlineStr">
        <is>
          <t>GYS-0839</t>
        </is>
      </c>
      <c r="B843" s="10" t="inlineStr">
        <is>
          <t>东莞户外照明供应链0839有限公司（演示）</t>
        </is>
      </c>
      <c r="C843" s="10" t="inlineStr">
        <is>
          <t>户外照明</t>
        </is>
      </c>
      <c r="D843" s="10" t="inlineStr">
        <is>
          <t>便携露营灯</t>
        </is>
      </c>
      <c r="E843" s="10" t="inlineStr">
        <is>
          <t>广东东莞</t>
        </is>
      </c>
      <c r="F843" s="10" t="inlineStr">
        <is>
          <t>1688</t>
        </is>
      </c>
      <c r="G843" s="10" t="inlineStr">
        <is>
          <t>吴经理</t>
        </is>
      </c>
      <c r="H843" s="10" t="inlineStr">
        <is>
          <t>000-0000-0839</t>
        </is>
      </c>
      <c r="I843" s="10" t="inlineStr">
        <is>
          <t>DEMO_GYS_0839</t>
        </is>
      </c>
      <c r="J843" s="11" t="n">
        <v>3.1</v>
      </c>
      <c r="K843" s="11" t="n">
        <v>12</v>
      </c>
      <c r="L843" s="12" t="n">
        <v>50</v>
      </c>
      <c r="M843" s="10" t="inlineStr">
        <is>
          <t>是</t>
        </is>
      </c>
      <c r="N843" s="10" t="inlineStr">
        <is>
          <t>是</t>
        </is>
      </c>
      <c r="O843" s="10" t="inlineStr">
        <is>
          <t>supplier0839@example.com</t>
        </is>
      </c>
      <c r="P843" s="10" t="inlineStr">
        <is>
          <t>https://example.com/supplier/0839</t>
        </is>
      </c>
      <c r="Q843" s="10">
        <f>IF(R843&gt;=85,"A",IF(R843&gt;=70,"B","C"))</f>
        <v/>
      </c>
      <c r="R843" s="13">
        <f>MIN(100,50+IF(M843="是",10,0)+IF(N843="是",10,0)+IF(L843&lt;=100,10,IF(L843&lt;=300,5,0))+IF(J843&lt;=20,10,IF(J843&lt;=50,5,0))+IF(K843-J843&lt;=20,5,0)+IF(F843="企业官网",5,0))</f>
        <v/>
      </c>
      <c r="S843" s="10">
        <f>IF(Q843="A","价格与起订量有优势，建议优先询盘",IF(Q843="B","条件较均衡，可作为备选","起订量或价格需要进一步确认"))</f>
        <v/>
      </c>
      <c r="T843" s="10" t="inlineStr">
        <is>
          <t>未联系</t>
        </is>
      </c>
      <c r="U843" s="10" t="inlineStr">
        <is>
          <t>虚构演示数据</t>
        </is>
      </c>
    </row>
    <row r="844" ht="21" customHeight="1">
      <c r="A844" s="10" t="inlineStr">
        <is>
          <t>GYS-0840</t>
        </is>
      </c>
      <c r="B844" s="10" t="inlineStr">
        <is>
          <t>厦门健康用品供应链0840有限公司（演示）</t>
        </is>
      </c>
      <c r="C844" s="10" t="inlineStr">
        <is>
          <t>健康用品</t>
        </is>
      </c>
      <c r="D844" s="10" t="inlineStr">
        <is>
          <t>热敷眼罩</t>
        </is>
      </c>
      <c r="E844" s="10" t="inlineStr">
        <is>
          <t>福建厦门</t>
        </is>
      </c>
      <c r="F844" s="10" t="inlineStr">
        <is>
          <t>中国制造网</t>
        </is>
      </c>
      <c r="G844" s="10" t="inlineStr">
        <is>
          <t>陈经理</t>
        </is>
      </c>
      <c r="H844" s="10" t="inlineStr">
        <is>
          <t>000-0000-0840</t>
        </is>
      </c>
      <c r="I844" s="10" t="inlineStr">
        <is>
          <t>DEMO_GYS_0840</t>
        </is>
      </c>
      <c r="J844" s="11" t="n">
        <v>4.8</v>
      </c>
      <c r="K844" s="11" t="n">
        <v>14.8</v>
      </c>
      <c r="L844" s="12" t="n">
        <v>20</v>
      </c>
      <c r="M844" s="10" t="inlineStr">
        <is>
          <t>否</t>
        </is>
      </c>
      <c r="N844" s="10" t="inlineStr">
        <is>
          <t>否</t>
        </is>
      </c>
      <c r="O844" s="10" t="inlineStr">
        <is>
          <t>supplier0840@example.com</t>
        </is>
      </c>
      <c r="P844" s="10" t="inlineStr">
        <is>
          <t>https://example.com/supplier/0840</t>
        </is>
      </c>
      <c r="Q844" s="10">
        <f>IF(R844&gt;=85,"A",IF(R844&gt;=70,"B","C"))</f>
        <v/>
      </c>
      <c r="R844" s="13">
        <f>MIN(100,50+IF(M844="是",10,0)+IF(N844="是",10,0)+IF(L844&lt;=100,10,IF(L844&lt;=300,5,0))+IF(J844&lt;=20,10,IF(J844&lt;=50,5,0))+IF(K844-J844&lt;=20,5,0)+IF(F844="企业官网",5,0))</f>
        <v/>
      </c>
      <c r="S844" s="10">
        <f>IF(Q844="A","价格与起订量有优势，建议优先询盘",IF(Q844="B","条件较均衡，可作为备选","起订量或价格需要进一步确认"))</f>
        <v/>
      </c>
      <c r="T844" s="10" t="inlineStr">
        <is>
          <t>未联系</t>
        </is>
      </c>
      <c r="U844" s="10" t="inlineStr">
        <is>
          <t>虚构演示数据</t>
        </is>
      </c>
    </row>
    <row r="845" ht="21" customHeight="1">
      <c r="A845" s="10" t="inlineStr">
        <is>
          <t>GYS-0841</t>
        </is>
      </c>
      <c r="B845" s="10" t="inlineStr">
        <is>
          <t>临沂服饰内衣供应链0841有限公司（演示）</t>
        </is>
      </c>
      <c r="C845" s="10" t="inlineStr">
        <is>
          <t>服饰内衣</t>
        </is>
      </c>
      <c r="D845" s="10" t="inlineStr">
        <is>
          <t>防滑袜</t>
        </is>
      </c>
      <c r="E845" s="10" t="inlineStr">
        <is>
          <t>山东临沂</t>
        </is>
      </c>
      <c r="F845" s="10" t="inlineStr">
        <is>
          <t>企业官网</t>
        </is>
      </c>
      <c r="G845" s="10" t="inlineStr">
        <is>
          <t>林经理</t>
        </is>
      </c>
      <c r="H845" s="10" t="inlineStr">
        <is>
          <t>000-0000-0841</t>
        </is>
      </c>
      <c r="I845" s="10" t="inlineStr">
        <is>
          <t>DEMO_GYS_0841</t>
        </is>
      </c>
      <c r="J845" s="11" t="n">
        <v>6.5</v>
      </c>
      <c r="K845" s="11" t="n">
        <v>17.6</v>
      </c>
      <c r="L845" s="12" t="n">
        <v>500</v>
      </c>
      <c r="M845" s="10" t="inlineStr">
        <is>
          <t>是</t>
        </is>
      </c>
      <c r="N845" s="10" t="inlineStr">
        <is>
          <t>是</t>
        </is>
      </c>
      <c r="O845" s="10" t="inlineStr">
        <is>
          <t>supplier0841@example.com</t>
        </is>
      </c>
      <c r="P845" s="10" t="inlineStr">
        <is>
          <t>https://example.com/supplier/0841</t>
        </is>
      </c>
      <c r="Q845" s="10">
        <f>IF(R845&gt;=85,"A",IF(R845&gt;=70,"B","C"))</f>
        <v/>
      </c>
      <c r="R845" s="13">
        <f>MIN(100,50+IF(M845="是",10,0)+IF(N845="是",10,0)+IF(L845&lt;=100,10,IF(L845&lt;=300,5,0))+IF(J845&lt;=20,10,IF(J845&lt;=50,5,0))+IF(K845-J845&lt;=20,5,0)+IF(F845="企业官网",5,0))</f>
        <v/>
      </c>
      <c r="S845" s="10">
        <f>IF(Q845="A","价格与起订量有优势，建议优先询盘",IF(Q845="B","条件较均衡，可作为备选","起订量或价格需要进一步确认"))</f>
        <v/>
      </c>
      <c r="T845" s="10" t="inlineStr">
        <is>
          <t>未联系</t>
        </is>
      </c>
      <c r="U845" s="10" t="inlineStr">
        <is>
          <t>虚构演示数据</t>
        </is>
      </c>
    </row>
    <row r="846" ht="21" customHeight="1">
      <c r="A846" s="10" t="inlineStr">
        <is>
          <t>GYS-0842</t>
        </is>
      </c>
      <c r="B846" s="10" t="inlineStr">
        <is>
          <t>南昌家居日用供应链0842有限公司（演示）</t>
        </is>
      </c>
      <c r="C846" s="10" t="inlineStr">
        <is>
          <t>家居日用</t>
        </is>
      </c>
      <c r="D846" s="10" t="inlineStr">
        <is>
          <t>折叠收纳箱</t>
        </is>
      </c>
      <c r="E846" s="10" t="inlineStr">
        <is>
          <t>江西南昌</t>
        </is>
      </c>
      <c r="F846" s="10" t="inlineStr">
        <is>
          <t>义乌购</t>
        </is>
      </c>
      <c r="G846" s="10" t="inlineStr">
        <is>
          <t>王经理</t>
        </is>
      </c>
      <c r="H846" s="10" t="inlineStr">
        <is>
          <t>000-0000-0842</t>
        </is>
      </c>
      <c r="I846" s="10" t="inlineStr">
        <is>
          <t>DEMO_GYS_0842</t>
        </is>
      </c>
      <c r="J846" s="11" t="n">
        <v>8.199999999999999</v>
      </c>
      <c r="K846" s="11" t="n">
        <v>20.4</v>
      </c>
      <c r="L846" s="12" t="n">
        <v>300</v>
      </c>
      <c r="M846" s="10" t="inlineStr">
        <is>
          <t>是</t>
        </is>
      </c>
      <c r="N846" s="10" t="inlineStr">
        <is>
          <t>是</t>
        </is>
      </c>
      <c r="O846" s="10" t="inlineStr">
        <is>
          <t>supplier0842@example.com</t>
        </is>
      </c>
      <c r="P846" s="10" t="inlineStr">
        <is>
          <t>https://example.com/supplier/0842</t>
        </is>
      </c>
      <c r="Q846" s="10">
        <f>IF(R846&gt;=85,"A",IF(R846&gt;=70,"B","C"))</f>
        <v/>
      </c>
      <c r="R846" s="13">
        <f>MIN(100,50+IF(M846="是",10,0)+IF(N846="是",10,0)+IF(L846&lt;=100,10,IF(L846&lt;=300,5,0))+IF(J846&lt;=20,10,IF(J846&lt;=50,5,0))+IF(K846-J846&lt;=20,5,0)+IF(F846="企业官网",5,0))</f>
        <v/>
      </c>
      <c r="S846" s="10">
        <f>IF(Q846="A","价格与起订量有优势，建议优先询盘",IF(Q846="B","条件较均衡，可作为备选","起订量或价格需要进一步确认"))</f>
        <v/>
      </c>
      <c r="T846" s="10" t="inlineStr">
        <is>
          <t>未联系</t>
        </is>
      </c>
      <c r="U846" s="10" t="inlineStr">
        <is>
          <t>虚构演示数据</t>
        </is>
      </c>
    </row>
    <row r="847" ht="21" customHeight="1">
      <c r="A847" s="10" t="inlineStr">
        <is>
          <t>GYS-0843</t>
        </is>
      </c>
      <c r="B847" s="10" t="inlineStr">
        <is>
          <t>温州个护清洁供应链0843有限公司（演示）</t>
        </is>
      </c>
      <c r="C847" s="10" t="inlineStr">
        <is>
          <t>个护清洁</t>
        </is>
      </c>
      <c r="D847" s="10" t="inlineStr">
        <is>
          <t>便携洗脸巾</t>
        </is>
      </c>
      <c r="E847" s="10" t="inlineStr">
        <is>
          <t>浙江温州</t>
        </is>
      </c>
      <c r="F847" s="10" t="inlineStr">
        <is>
          <t>慧聪网</t>
        </is>
      </c>
      <c r="G847" s="10" t="inlineStr">
        <is>
          <t>李经理</t>
        </is>
      </c>
      <c r="H847" s="10" t="inlineStr">
        <is>
          <t>000-0000-0843</t>
        </is>
      </c>
      <c r="I847" s="10" t="inlineStr">
        <is>
          <t>DEMO_GYS_0843</t>
        </is>
      </c>
      <c r="J847" s="11" t="n">
        <v>9.9</v>
      </c>
      <c r="K847" s="11" t="n">
        <v>23.2</v>
      </c>
      <c r="L847" s="12" t="n">
        <v>200</v>
      </c>
      <c r="M847" s="10" t="inlineStr">
        <is>
          <t>是</t>
        </is>
      </c>
      <c r="N847" s="10" t="inlineStr">
        <is>
          <t>否</t>
        </is>
      </c>
      <c r="O847" s="10" t="inlineStr">
        <is>
          <t>supplier0843@example.com</t>
        </is>
      </c>
      <c r="P847" s="10" t="inlineStr">
        <is>
          <t>https://example.com/supplier/0843</t>
        </is>
      </c>
      <c r="Q847" s="10">
        <f>IF(R847&gt;=85,"A",IF(R847&gt;=70,"B","C"))</f>
        <v/>
      </c>
      <c r="R847" s="13">
        <f>MIN(100,50+IF(M847="是",10,0)+IF(N847="是",10,0)+IF(L847&lt;=100,10,IF(L847&lt;=300,5,0))+IF(J847&lt;=20,10,IF(J847&lt;=50,5,0))+IF(K847-J847&lt;=20,5,0)+IF(F847="企业官网",5,0))</f>
        <v/>
      </c>
      <c r="S847" s="10">
        <f>IF(Q847="A","价格与起订量有优势，建议优先询盘",IF(Q847="B","条件较均衡，可作为备选","起订量或价格需要进一步确认"))</f>
        <v/>
      </c>
      <c r="T847" s="10" t="inlineStr">
        <is>
          <t>未联系</t>
        </is>
      </c>
      <c r="U847" s="10" t="inlineStr">
        <is>
          <t>虚构演示数据</t>
        </is>
      </c>
    </row>
    <row r="848" ht="21" customHeight="1">
      <c r="A848" s="10" t="inlineStr">
        <is>
          <t>GYS-0844</t>
        </is>
      </c>
      <c r="B848" s="10" t="inlineStr">
        <is>
          <t>广州厨房用品供应链0844有限公司（演示）</t>
        </is>
      </c>
      <c r="C848" s="10" t="inlineStr">
        <is>
          <t>厨房用品</t>
        </is>
      </c>
      <c r="D848" s="10" t="inlineStr">
        <is>
          <t>硅胶保鲜盒</t>
        </is>
      </c>
      <c r="E848" s="10" t="inlineStr">
        <is>
          <t>广东广州</t>
        </is>
      </c>
      <c r="F848" s="10" t="inlineStr">
        <is>
          <t>1688</t>
        </is>
      </c>
      <c r="G848" s="10" t="inlineStr">
        <is>
          <t>张经理</t>
        </is>
      </c>
      <c r="H848" s="10" t="inlineStr">
        <is>
          <t>000-0000-0844</t>
        </is>
      </c>
      <c r="I848" s="10" t="inlineStr">
        <is>
          <t>DEMO_GYS_0844</t>
        </is>
      </c>
      <c r="J848" s="11" t="n">
        <v>11.6</v>
      </c>
      <c r="K848" s="11" t="n">
        <v>26</v>
      </c>
      <c r="L848" s="12" t="n">
        <v>100</v>
      </c>
      <c r="M848" s="10" t="inlineStr">
        <is>
          <t>否</t>
        </is>
      </c>
      <c r="N848" s="10" t="inlineStr">
        <is>
          <t>是</t>
        </is>
      </c>
      <c r="O848" s="10" t="inlineStr">
        <is>
          <t>supplier0844@example.com</t>
        </is>
      </c>
      <c r="P848" s="10" t="inlineStr">
        <is>
          <t>https://example.com/supplier/0844</t>
        </is>
      </c>
      <c r="Q848" s="10">
        <f>IF(R848&gt;=85,"A",IF(R848&gt;=70,"B","C"))</f>
        <v/>
      </c>
      <c r="R848" s="13">
        <f>MIN(100,50+IF(M848="是",10,0)+IF(N848="是",10,0)+IF(L848&lt;=100,10,IF(L848&lt;=300,5,0))+IF(J848&lt;=20,10,IF(J848&lt;=50,5,0))+IF(K848-J848&lt;=20,5,0)+IF(F848="企业官网",5,0))</f>
        <v/>
      </c>
      <c r="S848" s="10">
        <f>IF(Q848="A","价格与起订量有优势，建议优先询盘",IF(Q848="B","条件较均衡，可作为备选","起订量或价格需要进一步确认"))</f>
        <v/>
      </c>
      <c r="T848" s="10" t="inlineStr">
        <is>
          <t>未联系</t>
        </is>
      </c>
      <c r="U848" s="10" t="inlineStr">
        <is>
          <t>虚构演示数据</t>
        </is>
      </c>
    </row>
    <row r="849" ht="21" customHeight="1">
      <c r="A849" s="10" t="inlineStr">
        <is>
          <t>GYS-0845</t>
        </is>
      </c>
      <c r="B849" s="10" t="inlineStr">
        <is>
          <t>泉州数码配件供应链0845有限公司（演示）</t>
        </is>
      </c>
      <c r="C849" s="10" t="inlineStr">
        <is>
          <t>数码配件</t>
        </is>
      </c>
      <c r="D849" s="10" t="inlineStr">
        <is>
          <t>磁吸手机支架</t>
        </is>
      </c>
      <c r="E849" s="10" t="inlineStr">
        <is>
          <t>福建泉州</t>
        </is>
      </c>
      <c r="F849" s="10" t="inlineStr">
        <is>
          <t>中国制造网</t>
        </is>
      </c>
      <c r="G849" s="10" t="inlineStr">
        <is>
          <t>刘经理</t>
        </is>
      </c>
      <c r="H849" s="10" t="inlineStr">
        <is>
          <t>000-0000-0845</t>
        </is>
      </c>
      <c r="I849" s="10" t="inlineStr">
        <is>
          <t>DEMO_GYS_0845</t>
        </is>
      </c>
      <c r="J849" s="11" t="n">
        <v>13.3</v>
      </c>
      <c r="K849" s="11" t="n">
        <v>28.8</v>
      </c>
      <c r="L849" s="12" t="n">
        <v>50</v>
      </c>
      <c r="M849" s="10" t="inlineStr">
        <is>
          <t>是</t>
        </is>
      </c>
      <c r="N849" s="10" t="inlineStr">
        <is>
          <t>是</t>
        </is>
      </c>
      <c r="O849" s="10" t="inlineStr">
        <is>
          <t>supplier0845@example.com</t>
        </is>
      </c>
      <c r="P849" s="10" t="inlineStr">
        <is>
          <t>https://example.com/supplier/0845</t>
        </is>
      </c>
      <c r="Q849" s="10">
        <f>IF(R849&gt;=85,"A",IF(R849&gt;=70,"B","C"))</f>
        <v/>
      </c>
      <c r="R849" s="13">
        <f>MIN(100,50+IF(M849="是",10,0)+IF(N849="是",10,0)+IF(L849&lt;=100,10,IF(L849&lt;=300,5,0))+IF(J849&lt;=20,10,IF(J849&lt;=50,5,0))+IF(K849-J849&lt;=20,5,0)+IF(F849="企业官网",5,0))</f>
        <v/>
      </c>
      <c r="S849" s="10">
        <f>IF(Q849="A","价格与起订量有优势，建议优先询盘",IF(Q849="B","条件较均衡，可作为备选","起订量或价格需要进一步确认"))</f>
        <v/>
      </c>
      <c r="T849" s="10" t="inlineStr">
        <is>
          <t>未联系</t>
        </is>
      </c>
      <c r="U849" s="10" t="inlineStr">
        <is>
          <t>虚构演示数据</t>
        </is>
      </c>
    </row>
    <row r="850" ht="21" customHeight="1">
      <c r="A850" s="10" t="inlineStr">
        <is>
          <t>GYS-0846</t>
        </is>
      </c>
      <c r="B850" s="10" t="inlineStr">
        <is>
          <t>南通宠物用品供应链0846有限公司（演示）</t>
        </is>
      </c>
      <c r="C850" s="10" t="inlineStr">
        <is>
          <t>宠物用品</t>
        </is>
      </c>
      <c r="D850" s="10" t="inlineStr">
        <is>
          <t>宠物清洁手套</t>
        </is>
      </c>
      <c r="E850" s="10" t="inlineStr">
        <is>
          <t>江苏南通</t>
        </is>
      </c>
      <c r="F850" s="10" t="inlineStr">
        <is>
          <t>企业官网</t>
        </is>
      </c>
      <c r="G850" s="10" t="inlineStr">
        <is>
          <t>黄经理</t>
        </is>
      </c>
      <c r="H850" s="10" t="inlineStr">
        <is>
          <t>000-0000-0846</t>
        </is>
      </c>
      <c r="I850" s="10" t="inlineStr">
        <is>
          <t>DEMO_GYS_0846</t>
        </is>
      </c>
      <c r="J850" s="11" t="n">
        <v>15</v>
      </c>
      <c r="K850" s="11" t="n">
        <v>31.6</v>
      </c>
      <c r="L850" s="12" t="n">
        <v>20</v>
      </c>
      <c r="M850" s="10" t="inlineStr">
        <is>
          <t>是</t>
        </is>
      </c>
      <c r="N850" s="10" t="inlineStr">
        <is>
          <t>否</t>
        </is>
      </c>
      <c r="O850" s="10" t="inlineStr">
        <is>
          <t>supplier0846@example.com</t>
        </is>
      </c>
      <c r="P850" s="10" t="inlineStr">
        <is>
          <t>https://example.com/supplier/0846</t>
        </is>
      </c>
      <c r="Q850" s="10">
        <f>IF(R850&gt;=85,"A",IF(R850&gt;=70,"B","C"))</f>
        <v/>
      </c>
      <c r="R850" s="13">
        <f>MIN(100,50+IF(M850="是",10,0)+IF(N850="是",10,0)+IF(L850&lt;=100,10,IF(L850&lt;=300,5,0))+IF(J850&lt;=20,10,IF(J850&lt;=50,5,0))+IF(K850-J850&lt;=20,5,0)+IF(F850="企业官网",5,0))</f>
        <v/>
      </c>
      <c r="S850" s="10">
        <f>IF(Q850="A","价格与起订量有优势，建议优先询盘",IF(Q850="B","条件较均衡，可作为备选","起订量或价格需要进一步确认"))</f>
        <v/>
      </c>
      <c r="T850" s="10" t="inlineStr">
        <is>
          <t>未联系</t>
        </is>
      </c>
      <c r="U850" s="10" t="inlineStr">
        <is>
          <t>虚构演示数据</t>
        </is>
      </c>
    </row>
    <row r="851" ht="21" customHeight="1">
      <c r="A851" s="10" t="inlineStr">
        <is>
          <t>GYS-0847</t>
        </is>
      </c>
      <c r="B851" s="10" t="inlineStr">
        <is>
          <t>郑州母婴用品供应链0847有限公司（演示）</t>
        </is>
      </c>
      <c r="C851" s="10" t="inlineStr">
        <is>
          <t>母婴用品</t>
        </is>
      </c>
      <c r="D851" s="10" t="inlineStr">
        <is>
          <t>婴儿防撞条</t>
        </is>
      </c>
      <c r="E851" s="10" t="inlineStr">
        <is>
          <t>河南郑州</t>
        </is>
      </c>
      <c r="F851" s="10" t="inlineStr">
        <is>
          <t>义乌购</t>
        </is>
      </c>
      <c r="G851" s="10" t="inlineStr">
        <is>
          <t>赵经理</t>
        </is>
      </c>
      <c r="H851" s="10" t="inlineStr">
        <is>
          <t>000-0000-0847</t>
        </is>
      </c>
      <c r="I851" s="10" t="inlineStr">
        <is>
          <t>DEMO_GYS_0847</t>
        </is>
      </c>
      <c r="J851" s="11" t="n">
        <v>16.7</v>
      </c>
      <c r="K851" s="11" t="n">
        <v>34.4</v>
      </c>
      <c r="L851" s="12" t="n">
        <v>500</v>
      </c>
      <c r="M851" s="10" t="inlineStr">
        <is>
          <t>是</t>
        </is>
      </c>
      <c r="N851" s="10" t="inlineStr">
        <is>
          <t>是</t>
        </is>
      </c>
      <c r="O851" s="10" t="inlineStr">
        <is>
          <t>supplier0847@example.com</t>
        </is>
      </c>
      <c r="P851" s="10" t="inlineStr">
        <is>
          <t>https://example.com/supplier/0847</t>
        </is>
      </c>
      <c r="Q851" s="10">
        <f>IF(R851&gt;=85,"A",IF(R851&gt;=70,"B","C"))</f>
        <v/>
      </c>
      <c r="R851" s="13">
        <f>MIN(100,50+IF(M851="是",10,0)+IF(N851="是",10,0)+IF(L851&lt;=100,10,IF(L851&lt;=300,5,0))+IF(J851&lt;=20,10,IF(J851&lt;=50,5,0))+IF(K851-J851&lt;=20,5,0)+IF(F851="企业官网",5,0))</f>
        <v/>
      </c>
      <c r="S851" s="10">
        <f>IF(Q851="A","价格与起订量有优势，建议优先询盘",IF(Q851="B","条件较均衡，可作为备选","起订量或价格需要进一步确认"))</f>
        <v/>
      </c>
      <c r="T851" s="10" t="inlineStr">
        <is>
          <t>未联系</t>
        </is>
      </c>
      <c r="U851" s="10" t="inlineStr">
        <is>
          <t>虚构演示数据</t>
        </is>
      </c>
    </row>
    <row r="852" ht="21" customHeight="1">
      <c r="A852" s="10" t="inlineStr">
        <is>
          <t>GYS-0848</t>
        </is>
      </c>
      <c r="B852" s="10" t="inlineStr">
        <is>
          <t>宁波运动户外供应链0848有限公司（演示）</t>
        </is>
      </c>
      <c r="C852" s="10" t="inlineStr">
        <is>
          <t>运动户外</t>
        </is>
      </c>
      <c r="D852" s="10" t="inlineStr">
        <is>
          <t>弹力训练带</t>
        </is>
      </c>
      <c r="E852" s="10" t="inlineStr">
        <is>
          <t>浙江宁波</t>
        </is>
      </c>
      <c r="F852" s="10" t="inlineStr">
        <is>
          <t>慧聪网</t>
        </is>
      </c>
      <c r="G852" s="10" t="inlineStr">
        <is>
          <t>周经理</t>
        </is>
      </c>
      <c r="H852" s="10" t="inlineStr">
        <is>
          <t>000-0000-0848</t>
        </is>
      </c>
      <c r="I852" s="10" t="inlineStr">
        <is>
          <t>DEMO_GYS_0848</t>
        </is>
      </c>
      <c r="J852" s="11" t="n">
        <v>18.4</v>
      </c>
      <c r="K852" s="11" t="n">
        <v>37.2</v>
      </c>
      <c r="L852" s="12" t="n">
        <v>300</v>
      </c>
      <c r="M852" s="10" t="inlineStr">
        <is>
          <t>否</t>
        </is>
      </c>
      <c r="N852" s="10" t="inlineStr">
        <is>
          <t>是</t>
        </is>
      </c>
      <c r="O852" s="10" t="inlineStr">
        <is>
          <t>supplier0848@example.com</t>
        </is>
      </c>
      <c r="P852" s="10" t="inlineStr">
        <is>
          <t>https://example.com/supplier/0848</t>
        </is>
      </c>
      <c r="Q852" s="10">
        <f>IF(R852&gt;=85,"A",IF(R852&gt;=70,"B","C"))</f>
        <v/>
      </c>
      <c r="R852" s="13">
        <f>MIN(100,50+IF(M852="是",10,0)+IF(N852="是",10,0)+IF(L852&lt;=100,10,IF(L852&lt;=300,5,0))+IF(J852&lt;=20,10,IF(J852&lt;=50,5,0))+IF(K852-J852&lt;=20,5,0)+IF(F852="企业官网",5,0))</f>
        <v/>
      </c>
      <c r="S852" s="10">
        <f>IF(Q852="A","价格与起订量有优势，建议优先询盘",IF(Q852="B","条件较均衡，可作为备选","起订量或价格需要进一步确认"))</f>
        <v/>
      </c>
      <c r="T852" s="10" t="inlineStr">
        <is>
          <t>未联系</t>
        </is>
      </c>
      <c r="U852" s="10" t="inlineStr">
        <is>
          <t>虚构演示数据</t>
        </is>
      </c>
    </row>
    <row r="853" ht="21" customHeight="1">
      <c r="A853" s="10" t="inlineStr">
        <is>
          <t>GYS-0849</t>
        </is>
      </c>
      <c r="B853" s="10" t="inlineStr">
        <is>
          <t>深圳办公文具供应链0849有限公司（演示）</t>
        </is>
      </c>
      <c r="C853" s="10" t="inlineStr">
        <is>
          <t>办公文具</t>
        </is>
      </c>
      <c r="D853" s="10" t="inlineStr">
        <is>
          <t>桌面收纳架</t>
        </is>
      </c>
      <c r="E853" s="10" t="inlineStr">
        <is>
          <t>广东深圳</t>
        </is>
      </c>
      <c r="F853" s="10" t="inlineStr">
        <is>
          <t>1688</t>
        </is>
      </c>
      <c r="G853" s="10" t="inlineStr">
        <is>
          <t>吴经理</t>
        </is>
      </c>
      <c r="H853" s="10" t="inlineStr">
        <is>
          <t>000-0000-0849</t>
        </is>
      </c>
      <c r="I853" s="10" t="inlineStr">
        <is>
          <t>DEMO_GYS_0849</t>
        </is>
      </c>
      <c r="J853" s="11" t="n">
        <v>20.1</v>
      </c>
      <c r="K853" s="11" t="n">
        <v>40</v>
      </c>
      <c r="L853" s="12" t="n">
        <v>200</v>
      </c>
      <c r="M853" s="10" t="inlineStr">
        <is>
          <t>是</t>
        </is>
      </c>
      <c r="N853" s="10" t="inlineStr">
        <is>
          <t>否</t>
        </is>
      </c>
      <c r="O853" s="10" t="inlineStr">
        <is>
          <t>supplier0849@example.com</t>
        </is>
      </c>
      <c r="P853" s="10" t="inlineStr">
        <is>
          <t>https://example.com/supplier/0849</t>
        </is>
      </c>
      <c r="Q853" s="10">
        <f>IF(R853&gt;=85,"A",IF(R853&gt;=70,"B","C"))</f>
        <v/>
      </c>
      <c r="R853" s="13">
        <f>MIN(100,50+IF(M853="是",10,0)+IF(N853="是",10,0)+IF(L853&lt;=100,10,IF(L853&lt;=300,5,0))+IF(J853&lt;=20,10,IF(J853&lt;=50,5,0))+IF(K853-J853&lt;=20,5,0)+IF(F853="企业官网",5,0))</f>
        <v/>
      </c>
      <c r="S853" s="10">
        <f>IF(Q853="A","价格与起订量有优势，建议优先询盘",IF(Q853="B","条件较均衡，可作为备选","起订量或价格需要进一步确认"))</f>
        <v/>
      </c>
      <c r="T853" s="10" t="inlineStr">
        <is>
          <t>未联系</t>
        </is>
      </c>
      <c r="U853" s="10" t="inlineStr">
        <is>
          <t>虚构演示数据</t>
        </is>
      </c>
    </row>
    <row r="854" ht="21" customHeight="1">
      <c r="A854" s="10" t="inlineStr">
        <is>
          <t>GYS-0850</t>
        </is>
      </c>
      <c r="B854" s="10" t="inlineStr">
        <is>
          <t>佛山汽车用品供应链0850有限公司（演示）</t>
        </is>
      </c>
      <c r="C854" s="10" t="inlineStr">
        <is>
          <t>汽车用品</t>
        </is>
      </c>
      <c r="D854" s="10" t="inlineStr">
        <is>
          <t>车载香薰</t>
        </is>
      </c>
      <c r="E854" s="10" t="inlineStr">
        <is>
          <t>广东佛山</t>
        </is>
      </c>
      <c r="F854" s="10" t="inlineStr">
        <is>
          <t>中国制造网</t>
        </is>
      </c>
      <c r="G854" s="10" t="inlineStr">
        <is>
          <t>陈经理</t>
        </is>
      </c>
      <c r="H854" s="10" t="inlineStr">
        <is>
          <t>000-0000-0850</t>
        </is>
      </c>
      <c r="I854" s="10" t="inlineStr">
        <is>
          <t>DEMO_GYS_0850</t>
        </is>
      </c>
      <c r="J854" s="11" t="n">
        <v>21.8</v>
      </c>
      <c r="K854" s="11" t="n">
        <v>42.8</v>
      </c>
      <c r="L854" s="12" t="n">
        <v>100</v>
      </c>
      <c r="M854" s="10" t="inlineStr">
        <is>
          <t>是</t>
        </is>
      </c>
      <c r="N854" s="10" t="inlineStr">
        <is>
          <t>是</t>
        </is>
      </c>
      <c r="O854" s="10" t="inlineStr">
        <is>
          <t>supplier0850@example.com</t>
        </is>
      </c>
      <c r="P854" s="10" t="inlineStr">
        <is>
          <t>https://example.com/supplier/0850</t>
        </is>
      </c>
      <c r="Q854" s="10">
        <f>IF(R854&gt;=85,"A",IF(R854&gt;=70,"B","C"))</f>
        <v/>
      </c>
      <c r="R854" s="13">
        <f>MIN(100,50+IF(M854="是",10,0)+IF(N854="是",10,0)+IF(L854&lt;=100,10,IF(L854&lt;=300,5,0))+IF(J854&lt;=20,10,IF(J854&lt;=50,5,0))+IF(K854-J854&lt;=20,5,0)+IF(F854="企业官网",5,0))</f>
        <v/>
      </c>
      <c r="S854" s="10">
        <f>IF(Q854="A","价格与起订量有优势，建议优先询盘",IF(Q854="B","条件较均衡，可作为备选","起订量或价格需要进一步确认"))</f>
        <v/>
      </c>
      <c r="T854" s="10" t="inlineStr">
        <is>
          <t>未联系</t>
        </is>
      </c>
      <c r="U854" s="10" t="inlineStr">
        <is>
          <t>虚构演示数据</t>
        </is>
      </c>
    </row>
    <row r="855" ht="21" customHeight="1">
      <c r="A855" s="10" t="inlineStr">
        <is>
          <t>GYS-0851</t>
        </is>
      </c>
      <c r="B855" s="10" t="inlineStr">
        <is>
          <t>苏州美容工具供应链0851有限公司（演示）</t>
        </is>
      </c>
      <c r="C855" s="10" t="inlineStr">
        <is>
          <t>美容工具</t>
        </is>
      </c>
      <c r="D855" s="10" t="inlineStr">
        <is>
          <t>便携化妆镜</t>
        </is>
      </c>
      <c r="E855" s="10" t="inlineStr">
        <is>
          <t>江苏苏州</t>
        </is>
      </c>
      <c r="F855" s="10" t="inlineStr">
        <is>
          <t>企业官网</t>
        </is>
      </c>
      <c r="G855" s="10" t="inlineStr">
        <is>
          <t>林经理</t>
        </is>
      </c>
      <c r="H855" s="10" t="inlineStr">
        <is>
          <t>000-0000-0851</t>
        </is>
      </c>
      <c r="I855" s="10" t="inlineStr">
        <is>
          <t>DEMO_GYS_0851</t>
        </is>
      </c>
      <c r="J855" s="11" t="n">
        <v>23.5</v>
      </c>
      <c r="K855" s="11" t="n">
        <v>27.6</v>
      </c>
      <c r="L855" s="12" t="n">
        <v>50</v>
      </c>
      <c r="M855" s="10" t="inlineStr">
        <is>
          <t>是</t>
        </is>
      </c>
      <c r="N855" s="10" t="inlineStr">
        <is>
          <t>是</t>
        </is>
      </c>
      <c r="O855" s="10" t="inlineStr">
        <is>
          <t>supplier0851@example.com</t>
        </is>
      </c>
      <c r="P855" s="10" t="inlineStr">
        <is>
          <t>https://example.com/supplier/0851</t>
        </is>
      </c>
      <c r="Q855" s="10">
        <f>IF(R855&gt;=85,"A",IF(R855&gt;=70,"B","C"))</f>
        <v/>
      </c>
      <c r="R855" s="13">
        <f>MIN(100,50+IF(M855="是",10,0)+IF(N855="是",10,0)+IF(L855&lt;=100,10,IF(L855&lt;=300,5,0))+IF(J855&lt;=20,10,IF(J855&lt;=50,5,0))+IF(K855-J855&lt;=20,5,0)+IF(F855="企业官网",5,0))</f>
        <v/>
      </c>
      <c r="S855" s="10">
        <f>IF(Q855="A","价格与起订量有优势，建议优先询盘",IF(Q855="B","条件较均衡，可作为备选","起订量或价格需要进一步确认"))</f>
        <v/>
      </c>
      <c r="T855" s="10" t="inlineStr">
        <is>
          <t>未联系</t>
        </is>
      </c>
      <c r="U855" s="10" t="inlineStr">
        <is>
          <t>虚构演示数据</t>
        </is>
      </c>
    </row>
    <row r="856" ht="21" customHeight="1">
      <c r="A856" s="10" t="inlineStr">
        <is>
          <t>GYS-0852</t>
        </is>
      </c>
      <c r="B856" s="10" t="inlineStr">
        <is>
          <t>白沟旅行用品供应链0852有限公司（演示）</t>
        </is>
      </c>
      <c r="C856" s="10" t="inlineStr">
        <is>
          <t>旅行用品</t>
        </is>
      </c>
      <c r="D856" s="10" t="inlineStr">
        <is>
          <t>压缩收纳袋</t>
        </is>
      </c>
      <c r="E856" s="10" t="inlineStr">
        <is>
          <t>河北白沟</t>
        </is>
      </c>
      <c r="F856" s="10" t="inlineStr">
        <is>
          <t>义乌购</t>
        </is>
      </c>
      <c r="G856" s="10" t="inlineStr">
        <is>
          <t>王经理</t>
        </is>
      </c>
      <c r="H856" s="10" t="inlineStr">
        <is>
          <t>000-0000-0852</t>
        </is>
      </c>
      <c r="I856" s="10" t="inlineStr">
        <is>
          <t>DEMO_GYS_0852</t>
        </is>
      </c>
      <c r="J856" s="11" t="n">
        <v>25.2</v>
      </c>
      <c r="K856" s="11" t="n">
        <v>30.4</v>
      </c>
      <c r="L856" s="12" t="n">
        <v>20</v>
      </c>
      <c r="M856" s="10" t="inlineStr">
        <is>
          <t>否</t>
        </is>
      </c>
      <c r="N856" s="10" t="inlineStr">
        <is>
          <t>否</t>
        </is>
      </c>
      <c r="O856" s="10" t="inlineStr">
        <is>
          <t>supplier0852@example.com</t>
        </is>
      </c>
      <c r="P856" s="10" t="inlineStr">
        <is>
          <t>https://example.com/supplier/0852</t>
        </is>
      </c>
      <c r="Q856" s="10">
        <f>IF(R856&gt;=85,"A",IF(R856&gt;=70,"B","C"))</f>
        <v/>
      </c>
      <c r="R856" s="13">
        <f>MIN(100,50+IF(M856="是",10,0)+IF(N856="是",10,0)+IF(L856&lt;=100,10,IF(L856&lt;=300,5,0))+IF(J856&lt;=20,10,IF(J856&lt;=50,5,0))+IF(K856-J856&lt;=20,5,0)+IF(F856="企业官网",5,0))</f>
        <v/>
      </c>
      <c r="S856" s="10">
        <f>IF(Q856="A","价格与起订量有优势，建议优先询盘",IF(Q856="B","条件较均衡，可作为备选","起订量或价格需要进一步确认"))</f>
        <v/>
      </c>
      <c r="T856" s="10" t="inlineStr">
        <is>
          <t>未联系</t>
        </is>
      </c>
      <c r="U856" s="10" t="inlineStr">
        <is>
          <t>虚构演示数据</t>
        </is>
      </c>
    </row>
    <row r="857" ht="21" customHeight="1">
      <c r="A857" s="10" t="inlineStr">
        <is>
          <t>GYS-0853</t>
        </is>
      </c>
      <c r="B857" s="10" t="inlineStr">
        <is>
          <t>义乌清洁工具供应链0853有限公司（演示）</t>
        </is>
      </c>
      <c r="C857" s="10" t="inlineStr">
        <is>
          <t>清洁工具</t>
        </is>
      </c>
      <c r="D857" s="10" t="inlineStr">
        <is>
          <t>免手洗拖把</t>
        </is>
      </c>
      <c r="E857" s="10" t="inlineStr">
        <is>
          <t>浙江义乌</t>
        </is>
      </c>
      <c r="F857" s="10" t="inlineStr">
        <is>
          <t>慧聪网</t>
        </is>
      </c>
      <c r="G857" s="10" t="inlineStr">
        <is>
          <t>李经理</t>
        </is>
      </c>
      <c r="H857" s="10" t="inlineStr">
        <is>
          <t>000-0000-0853</t>
        </is>
      </c>
      <c r="I857" s="10" t="inlineStr">
        <is>
          <t>DEMO_GYS_0853</t>
        </is>
      </c>
      <c r="J857" s="11" t="n">
        <v>26.9</v>
      </c>
      <c r="K857" s="11" t="n">
        <v>33.2</v>
      </c>
      <c r="L857" s="12" t="n">
        <v>500</v>
      </c>
      <c r="M857" s="10" t="inlineStr">
        <is>
          <t>是</t>
        </is>
      </c>
      <c r="N857" s="10" t="inlineStr">
        <is>
          <t>是</t>
        </is>
      </c>
      <c r="O857" s="10" t="inlineStr">
        <is>
          <t>supplier0853@example.com</t>
        </is>
      </c>
      <c r="P857" s="10" t="inlineStr">
        <is>
          <t>https://example.com/supplier/0853</t>
        </is>
      </c>
      <c r="Q857" s="10">
        <f>IF(R857&gt;=85,"A",IF(R857&gt;=70,"B","C"))</f>
        <v/>
      </c>
      <c r="R857" s="13">
        <f>MIN(100,50+IF(M857="是",10,0)+IF(N857="是",10,0)+IF(L857&lt;=100,10,IF(L857&lt;=300,5,0))+IF(J857&lt;=20,10,IF(J857&lt;=50,5,0))+IF(K857-J857&lt;=20,5,0)+IF(F857="企业官网",5,0))</f>
        <v/>
      </c>
      <c r="S857" s="10">
        <f>IF(Q857="A","价格与起订量有优势，建议优先询盘",IF(Q857="B","条件较均衡，可作为备选","起订量或价格需要进一步确认"))</f>
        <v/>
      </c>
      <c r="T857" s="10" t="inlineStr">
        <is>
          <t>未联系</t>
        </is>
      </c>
      <c r="U857" s="10" t="inlineStr">
        <is>
          <t>虚构演示数据</t>
        </is>
      </c>
    </row>
    <row r="858" ht="21" customHeight="1">
      <c r="A858" s="10" t="inlineStr">
        <is>
          <t>GYS-0854</t>
        </is>
      </c>
      <c r="B858" s="10" t="inlineStr">
        <is>
          <t>台州小家电供应链0854有限公司（演示）</t>
        </is>
      </c>
      <c r="C858" s="10" t="inlineStr">
        <is>
          <t>小家电</t>
        </is>
      </c>
      <c r="D858" s="10" t="inlineStr">
        <is>
          <t>迷你加湿器</t>
        </is>
      </c>
      <c r="E858" s="10" t="inlineStr">
        <is>
          <t>浙江台州</t>
        </is>
      </c>
      <c r="F858" s="10" t="inlineStr">
        <is>
          <t>1688</t>
        </is>
      </c>
      <c r="G858" s="10" t="inlineStr">
        <is>
          <t>张经理</t>
        </is>
      </c>
      <c r="H858" s="10" t="inlineStr">
        <is>
          <t>000-0000-0854</t>
        </is>
      </c>
      <c r="I858" s="10" t="inlineStr">
        <is>
          <t>DEMO_GYS_0854</t>
        </is>
      </c>
      <c r="J858" s="11" t="n">
        <v>28.6</v>
      </c>
      <c r="K858" s="11" t="n">
        <v>36</v>
      </c>
      <c r="L858" s="12" t="n">
        <v>300</v>
      </c>
      <c r="M858" s="10" t="inlineStr">
        <is>
          <t>是</t>
        </is>
      </c>
      <c r="N858" s="10" t="inlineStr">
        <is>
          <t>是</t>
        </is>
      </c>
      <c r="O858" s="10" t="inlineStr">
        <is>
          <t>supplier0854@example.com</t>
        </is>
      </c>
      <c r="P858" s="10" t="inlineStr">
        <is>
          <t>https://example.com/supplier/0854</t>
        </is>
      </c>
      <c r="Q858" s="10">
        <f>IF(R858&gt;=85,"A",IF(R858&gt;=70,"B","C"))</f>
        <v/>
      </c>
      <c r="R858" s="13">
        <f>MIN(100,50+IF(M858="是",10,0)+IF(N858="是",10,0)+IF(L858&lt;=100,10,IF(L858&lt;=300,5,0))+IF(J858&lt;=20,10,IF(J858&lt;=50,5,0))+IF(K858-J858&lt;=20,5,0)+IF(F858="企业官网",5,0))</f>
        <v/>
      </c>
      <c r="S858" s="10">
        <f>IF(Q858="A","价格与起订量有优势，建议优先询盘",IF(Q858="B","条件较均衡，可作为备选","起订量或价格需要进一步确认"))</f>
        <v/>
      </c>
      <c r="T858" s="10" t="inlineStr">
        <is>
          <t>未联系</t>
        </is>
      </c>
      <c r="U858" s="10" t="inlineStr">
        <is>
          <t>虚构演示数据</t>
        </is>
      </c>
    </row>
    <row r="859" ht="21" customHeight="1">
      <c r="A859" s="10" t="inlineStr">
        <is>
          <t>GYS-0855</t>
        </is>
      </c>
      <c r="B859" s="10" t="inlineStr">
        <is>
          <t>东莞礼品包装供应链0855有限公司（演示）</t>
        </is>
      </c>
      <c r="C859" s="10" t="inlineStr">
        <is>
          <t>礼品包装</t>
        </is>
      </c>
      <c r="D859" s="10" t="inlineStr">
        <is>
          <t>节日礼盒</t>
        </is>
      </c>
      <c r="E859" s="10" t="inlineStr">
        <is>
          <t>广东东莞</t>
        </is>
      </c>
      <c r="F859" s="10" t="inlineStr">
        <is>
          <t>中国制造网</t>
        </is>
      </c>
      <c r="G859" s="10" t="inlineStr">
        <is>
          <t>刘经理</t>
        </is>
      </c>
      <c r="H859" s="10" t="inlineStr">
        <is>
          <t>000-0000-0855</t>
        </is>
      </c>
      <c r="I859" s="10" t="inlineStr">
        <is>
          <t>DEMO_GYS_0855</t>
        </is>
      </c>
      <c r="J859" s="11" t="n">
        <v>30.3</v>
      </c>
      <c r="K859" s="11" t="n">
        <v>38.8</v>
      </c>
      <c r="L859" s="12" t="n">
        <v>200</v>
      </c>
      <c r="M859" s="10" t="inlineStr">
        <is>
          <t>是</t>
        </is>
      </c>
      <c r="N859" s="10" t="inlineStr">
        <is>
          <t>否</t>
        </is>
      </c>
      <c r="O859" s="10" t="inlineStr">
        <is>
          <t>supplier0855@example.com</t>
        </is>
      </c>
      <c r="P859" s="10" t="inlineStr">
        <is>
          <t>https://example.com/supplier/0855</t>
        </is>
      </c>
      <c r="Q859" s="10">
        <f>IF(R859&gt;=85,"A",IF(R859&gt;=70,"B","C"))</f>
        <v/>
      </c>
      <c r="R859" s="13">
        <f>MIN(100,50+IF(M859="是",10,0)+IF(N859="是",10,0)+IF(L859&lt;=100,10,IF(L859&lt;=300,5,0))+IF(J859&lt;=20,10,IF(J859&lt;=50,5,0))+IF(K859-J859&lt;=20,5,0)+IF(F859="企业官网",5,0))</f>
        <v/>
      </c>
      <c r="S859" s="10">
        <f>IF(Q859="A","价格与起订量有优势，建议优先询盘",IF(Q859="B","条件较均衡，可作为备选","起订量或价格需要进一步确认"))</f>
        <v/>
      </c>
      <c r="T859" s="10" t="inlineStr">
        <is>
          <t>未联系</t>
        </is>
      </c>
      <c r="U859" s="10" t="inlineStr">
        <is>
          <t>虚构演示数据</t>
        </is>
      </c>
    </row>
    <row r="860" ht="21" customHeight="1">
      <c r="A860" s="10" t="inlineStr">
        <is>
          <t>GYS-0856</t>
        </is>
      </c>
      <c r="B860" s="10" t="inlineStr">
        <is>
          <t>厦门五金工具供应链0856有限公司（演示）</t>
        </is>
      </c>
      <c r="C860" s="10" t="inlineStr">
        <is>
          <t>五金工具</t>
        </is>
      </c>
      <c r="D860" s="10" t="inlineStr">
        <is>
          <t>多功能螺丝刀</t>
        </is>
      </c>
      <c r="E860" s="10" t="inlineStr">
        <is>
          <t>福建厦门</t>
        </is>
      </c>
      <c r="F860" s="10" t="inlineStr">
        <is>
          <t>企业官网</t>
        </is>
      </c>
      <c r="G860" s="10" t="inlineStr">
        <is>
          <t>黄经理</t>
        </is>
      </c>
      <c r="H860" s="10" t="inlineStr">
        <is>
          <t>000-0000-0856</t>
        </is>
      </c>
      <c r="I860" s="10" t="inlineStr">
        <is>
          <t>DEMO_GYS_0856</t>
        </is>
      </c>
      <c r="J860" s="11" t="n">
        <v>32</v>
      </c>
      <c r="K860" s="11" t="n">
        <v>41.6</v>
      </c>
      <c r="L860" s="12" t="n">
        <v>100</v>
      </c>
      <c r="M860" s="10" t="inlineStr">
        <is>
          <t>否</t>
        </is>
      </c>
      <c r="N860" s="10" t="inlineStr">
        <is>
          <t>是</t>
        </is>
      </c>
      <c r="O860" s="10" t="inlineStr">
        <is>
          <t>supplier0856@example.com</t>
        </is>
      </c>
      <c r="P860" s="10" t="inlineStr">
        <is>
          <t>https://example.com/supplier/0856</t>
        </is>
      </c>
      <c r="Q860" s="10">
        <f>IF(R860&gt;=85,"A",IF(R860&gt;=70,"B","C"))</f>
        <v/>
      </c>
      <c r="R860" s="13">
        <f>MIN(100,50+IF(M860="是",10,0)+IF(N860="是",10,0)+IF(L860&lt;=100,10,IF(L860&lt;=300,5,0))+IF(J860&lt;=20,10,IF(J860&lt;=50,5,0))+IF(K860-J860&lt;=20,5,0)+IF(F860="企业官网",5,0))</f>
        <v/>
      </c>
      <c r="S860" s="10">
        <f>IF(Q860="A","价格与起订量有优势，建议优先询盘",IF(Q860="B","条件较均衡，可作为备选","起订量或价格需要进一步确认"))</f>
        <v/>
      </c>
      <c r="T860" s="10" t="inlineStr">
        <is>
          <t>未联系</t>
        </is>
      </c>
      <c r="U860" s="10" t="inlineStr">
        <is>
          <t>虚构演示数据</t>
        </is>
      </c>
    </row>
    <row r="861" ht="21" customHeight="1">
      <c r="A861" s="10" t="inlineStr">
        <is>
          <t>GYS-0857</t>
        </is>
      </c>
      <c r="B861" s="10" t="inlineStr">
        <is>
          <t>临沂鞋靴配件供应链0857有限公司（演示）</t>
        </is>
      </c>
      <c r="C861" s="10" t="inlineStr">
        <is>
          <t>鞋靴配件</t>
        </is>
      </c>
      <c r="D861" s="10" t="inlineStr">
        <is>
          <t>防磨脚贴</t>
        </is>
      </c>
      <c r="E861" s="10" t="inlineStr">
        <is>
          <t>山东临沂</t>
        </is>
      </c>
      <c r="F861" s="10" t="inlineStr">
        <is>
          <t>义乌购</t>
        </is>
      </c>
      <c r="G861" s="10" t="inlineStr">
        <is>
          <t>赵经理</t>
        </is>
      </c>
      <c r="H861" s="10" t="inlineStr">
        <is>
          <t>000-0000-0857</t>
        </is>
      </c>
      <c r="I861" s="10" t="inlineStr">
        <is>
          <t>DEMO_GYS_0857</t>
        </is>
      </c>
      <c r="J861" s="11" t="n">
        <v>33.7</v>
      </c>
      <c r="K861" s="11" t="n">
        <v>44.4</v>
      </c>
      <c r="L861" s="12" t="n">
        <v>50</v>
      </c>
      <c r="M861" s="10" t="inlineStr">
        <is>
          <t>是</t>
        </is>
      </c>
      <c r="N861" s="10" t="inlineStr">
        <is>
          <t>是</t>
        </is>
      </c>
      <c r="O861" s="10" t="inlineStr">
        <is>
          <t>supplier0857@example.com</t>
        </is>
      </c>
      <c r="P861" s="10" t="inlineStr">
        <is>
          <t>https://example.com/supplier/0857</t>
        </is>
      </c>
      <c r="Q861" s="10">
        <f>IF(R861&gt;=85,"A",IF(R861&gt;=70,"B","C"))</f>
        <v/>
      </c>
      <c r="R861" s="13">
        <f>MIN(100,50+IF(M861="是",10,0)+IF(N861="是",10,0)+IF(L861&lt;=100,10,IF(L861&lt;=300,5,0))+IF(J861&lt;=20,10,IF(J861&lt;=50,5,0))+IF(K861-J861&lt;=20,5,0)+IF(F861="企业官网",5,0))</f>
        <v/>
      </c>
      <c r="S861" s="10">
        <f>IF(Q861="A","价格与起订量有优势，建议优先询盘",IF(Q861="B","条件较均衡，可作为备选","起订量或价格需要进一步确认"))</f>
        <v/>
      </c>
      <c r="T861" s="10" t="inlineStr">
        <is>
          <t>未联系</t>
        </is>
      </c>
      <c r="U861" s="10" t="inlineStr">
        <is>
          <t>虚构演示数据</t>
        </is>
      </c>
    </row>
    <row r="862" ht="21" customHeight="1">
      <c r="A862" s="10" t="inlineStr">
        <is>
          <t>GYS-0858</t>
        </is>
      </c>
      <c r="B862" s="10" t="inlineStr">
        <is>
          <t>南昌食品包装供应链0858有限公司（演示）</t>
        </is>
      </c>
      <c r="C862" s="10" t="inlineStr">
        <is>
          <t>食品包装</t>
        </is>
      </c>
      <c r="D862" s="10" t="inlineStr">
        <is>
          <t>密封包装袋</t>
        </is>
      </c>
      <c r="E862" s="10" t="inlineStr">
        <is>
          <t>江西南昌</t>
        </is>
      </c>
      <c r="F862" s="10" t="inlineStr">
        <is>
          <t>慧聪网</t>
        </is>
      </c>
      <c r="G862" s="10" t="inlineStr">
        <is>
          <t>周经理</t>
        </is>
      </c>
      <c r="H862" s="10" t="inlineStr">
        <is>
          <t>000-0000-0858</t>
        </is>
      </c>
      <c r="I862" s="10" t="inlineStr">
        <is>
          <t>DEMO_GYS_0858</t>
        </is>
      </c>
      <c r="J862" s="11" t="n">
        <v>35.4</v>
      </c>
      <c r="K862" s="11" t="n">
        <v>47.2</v>
      </c>
      <c r="L862" s="12" t="n">
        <v>20</v>
      </c>
      <c r="M862" s="10" t="inlineStr">
        <is>
          <t>是</t>
        </is>
      </c>
      <c r="N862" s="10" t="inlineStr">
        <is>
          <t>否</t>
        </is>
      </c>
      <c r="O862" s="10" t="inlineStr">
        <is>
          <t>supplier0858@example.com</t>
        </is>
      </c>
      <c r="P862" s="10" t="inlineStr">
        <is>
          <t>https://example.com/supplier/0858</t>
        </is>
      </c>
      <c r="Q862" s="10">
        <f>IF(R862&gt;=85,"A",IF(R862&gt;=70,"B","C"))</f>
        <v/>
      </c>
      <c r="R862" s="13">
        <f>MIN(100,50+IF(M862="是",10,0)+IF(N862="是",10,0)+IF(L862&lt;=100,10,IF(L862&lt;=300,5,0))+IF(J862&lt;=20,10,IF(J862&lt;=50,5,0))+IF(K862-J862&lt;=20,5,0)+IF(F862="企业官网",5,0))</f>
        <v/>
      </c>
      <c r="S862" s="10">
        <f>IF(Q862="A","价格与起订量有优势，建议优先询盘",IF(Q862="B","条件较均衡，可作为备选","起订量或价格需要进一步确认"))</f>
        <v/>
      </c>
      <c r="T862" s="10" t="inlineStr">
        <is>
          <t>未联系</t>
        </is>
      </c>
      <c r="U862" s="10" t="inlineStr">
        <is>
          <t>虚构演示数据</t>
        </is>
      </c>
    </row>
    <row r="863" ht="21" customHeight="1">
      <c r="A863" s="10" t="inlineStr">
        <is>
          <t>GYS-0859</t>
        </is>
      </c>
      <c r="B863" s="10" t="inlineStr">
        <is>
          <t>温州户外照明供应链0859有限公司（演示）</t>
        </is>
      </c>
      <c r="C863" s="10" t="inlineStr">
        <is>
          <t>户外照明</t>
        </is>
      </c>
      <c r="D863" s="10" t="inlineStr">
        <is>
          <t>便携露营灯</t>
        </is>
      </c>
      <c r="E863" s="10" t="inlineStr">
        <is>
          <t>浙江温州</t>
        </is>
      </c>
      <c r="F863" s="10" t="inlineStr">
        <is>
          <t>1688</t>
        </is>
      </c>
      <c r="G863" s="10" t="inlineStr">
        <is>
          <t>吴经理</t>
        </is>
      </c>
      <c r="H863" s="10" t="inlineStr">
        <is>
          <t>000-0000-0859</t>
        </is>
      </c>
      <c r="I863" s="10" t="inlineStr">
        <is>
          <t>DEMO_GYS_0859</t>
        </is>
      </c>
      <c r="J863" s="11" t="n">
        <v>37.1</v>
      </c>
      <c r="K863" s="11" t="n">
        <v>50</v>
      </c>
      <c r="L863" s="12" t="n">
        <v>500</v>
      </c>
      <c r="M863" s="10" t="inlineStr">
        <is>
          <t>是</t>
        </is>
      </c>
      <c r="N863" s="10" t="inlineStr">
        <is>
          <t>是</t>
        </is>
      </c>
      <c r="O863" s="10" t="inlineStr">
        <is>
          <t>supplier0859@example.com</t>
        </is>
      </c>
      <c r="P863" s="10" t="inlineStr">
        <is>
          <t>https://example.com/supplier/0859</t>
        </is>
      </c>
      <c r="Q863" s="10">
        <f>IF(R863&gt;=85,"A",IF(R863&gt;=70,"B","C"))</f>
        <v/>
      </c>
      <c r="R863" s="13">
        <f>MIN(100,50+IF(M863="是",10,0)+IF(N863="是",10,0)+IF(L863&lt;=100,10,IF(L863&lt;=300,5,0))+IF(J863&lt;=20,10,IF(J863&lt;=50,5,0))+IF(K863-J863&lt;=20,5,0)+IF(F863="企业官网",5,0))</f>
        <v/>
      </c>
      <c r="S863" s="10">
        <f>IF(Q863="A","价格与起订量有优势，建议优先询盘",IF(Q863="B","条件较均衡，可作为备选","起订量或价格需要进一步确认"))</f>
        <v/>
      </c>
      <c r="T863" s="10" t="inlineStr">
        <is>
          <t>未联系</t>
        </is>
      </c>
      <c r="U863" s="10" t="inlineStr">
        <is>
          <t>虚构演示数据</t>
        </is>
      </c>
    </row>
    <row r="864" ht="21" customHeight="1">
      <c r="A864" s="10" t="inlineStr">
        <is>
          <t>GYS-0860</t>
        </is>
      </c>
      <c r="B864" s="10" t="inlineStr">
        <is>
          <t>广州健康用品供应链0860有限公司（演示）</t>
        </is>
      </c>
      <c r="C864" s="10" t="inlineStr">
        <is>
          <t>健康用品</t>
        </is>
      </c>
      <c r="D864" s="10" t="inlineStr">
        <is>
          <t>热敷眼罩</t>
        </is>
      </c>
      <c r="E864" s="10" t="inlineStr">
        <is>
          <t>广东广州</t>
        </is>
      </c>
      <c r="F864" s="10" t="inlineStr">
        <is>
          <t>中国制造网</t>
        </is>
      </c>
      <c r="G864" s="10" t="inlineStr">
        <is>
          <t>陈经理</t>
        </is>
      </c>
      <c r="H864" s="10" t="inlineStr">
        <is>
          <t>000-0000-0860</t>
        </is>
      </c>
      <c r="I864" s="10" t="inlineStr">
        <is>
          <t>DEMO_GYS_0860</t>
        </is>
      </c>
      <c r="J864" s="11" t="n">
        <v>38.8</v>
      </c>
      <c r="K864" s="11" t="n">
        <v>52.8</v>
      </c>
      <c r="L864" s="12" t="n">
        <v>300</v>
      </c>
      <c r="M864" s="10" t="inlineStr">
        <is>
          <t>否</t>
        </is>
      </c>
      <c r="N864" s="10" t="inlineStr">
        <is>
          <t>是</t>
        </is>
      </c>
      <c r="O864" s="10" t="inlineStr">
        <is>
          <t>supplier0860@example.com</t>
        </is>
      </c>
      <c r="P864" s="10" t="inlineStr">
        <is>
          <t>https://example.com/supplier/0860</t>
        </is>
      </c>
      <c r="Q864" s="10">
        <f>IF(R864&gt;=85,"A",IF(R864&gt;=70,"B","C"))</f>
        <v/>
      </c>
      <c r="R864" s="13">
        <f>MIN(100,50+IF(M864="是",10,0)+IF(N864="是",10,0)+IF(L864&lt;=100,10,IF(L864&lt;=300,5,0))+IF(J864&lt;=20,10,IF(J864&lt;=50,5,0))+IF(K864-J864&lt;=20,5,0)+IF(F864="企业官网",5,0))</f>
        <v/>
      </c>
      <c r="S864" s="10">
        <f>IF(Q864="A","价格与起订量有优势，建议优先询盘",IF(Q864="B","条件较均衡，可作为备选","起订量或价格需要进一步确认"))</f>
        <v/>
      </c>
      <c r="T864" s="10" t="inlineStr">
        <is>
          <t>未联系</t>
        </is>
      </c>
      <c r="U864" s="10" t="inlineStr">
        <is>
          <t>虚构演示数据</t>
        </is>
      </c>
    </row>
    <row r="865" ht="21" customHeight="1">
      <c r="A865" s="10" t="inlineStr">
        <is>
          <t>GYS-0861</t>
        </is>
      </c>
      <c r="B865" s="10" t="inlineStr">
        <is>
          <t>泉州服饰内衣供应链0861有限公司（演示）</t>
        </is>
      </c>
      <c r="C865" s="10" t="inlineStr">
        <is>
          <t>服饰内衣</t>
        </is>
      </c>
      <c r="D865" s="10" t="inlineStr">
        <is>
          <t>防滑袜</t>
        </is>
      </c>
      <c r="E865" s="10" t="inlineStr">
        <is>
          <t>福建泉州</t>
        </is>
      </c>
      <c r="F865" s="10" t="inlineStr">
        <is>
          <t>企业官网</t>
        </is>
      </c>
      <c r="G865" s="10" t="inlineStr">
        <is>
          <t>林经理</t>
        </is>
      </c>
      <c r="H865" s="10" t="inlineStr">
        <is>
          <t>000-0000-0861</t>
        </is>
      </c>
      <c r="I865" s="10" t="inlineStr">
        <is>
          <t>DEMO_GYS_0861</t>
        </is>
      </c>
      <c r="J865" s="11" t="n">
        <v>40.5</v>
      </c>
      <c r="K865" s="11" t="n">
        <v>55.6</v>
      </c>
      <c r="L865" s="12" t="n">
        <v>200</v>
      </c>
      <c r="M865" s="10" t="inlineStr">
        <is>
          <t>是</t>
        </is>
      </c>
      <c r="N865" s="10" t="inlineStr">
        <is>
          <t>否</t>
        </is>
      </c>
      <c r="O865" s="10" t="inlineStr">
        <is>
          <t>supplier0861@example.com</t>
        </is>
      </c>
      <c r="P865" s="10" t="inlineStr">
        <is>
          <t>https://example.com/supplier/0861</t>
        </is>
      </c>
      <c r="Q865" s="10">
        <f>IF(R865&gt;=85,"A",IF(R865&gt;=70,"B","C"))</f>
        <v/>
      </c>
      <c r="R865" s="13">
        <f>MIN(100,50+IF(M865="是",10,0)+IF(N865="是",10,0)+IF(L865&lt;=100,10,IF(L865&lt;=300,5,0))+IF(J865&lt;=20,10,IF(J865&lt;=50,5,0))+IF(K865-J865&lt;=20,5,0)+IF(F865="企业官网",5,0))</f>
        <v/>
      </c>
      <c r="S865" s="10">
        <f>IF(Q865="A","价格与起订量有优势，建议优先询盘",IF(Q865="B","条件较均衡，可作为备选","起订量或价格需要进一步确认"))</f>
        <v/>
      </c>
      <c r="T865" s="10" t="inlineStr">
        <is>
          <t>未联系</t>
        </is>
      </c>
      <c r="U865" s="10" t="inlineStr">
        <is>
          <t>虚构演示数据</t>
        </is>
      </c>
    </row>
    <row r="866" ht="21" customHeight="1">
      <c r="A866" s="10" t="inlineStr">
        <is>
          <t>GYS-0862</t>
        </is>
      </c>
      <c r="B866" s="10" t="inlineStr">
        <is>
          <t>南通家居日用供应链0862有限公司（演示）</t>
        </is>
      </c>
      <c r="C866" s="10" t="inlineStr">
        <is>
          <t>家居日用</t>
        </is>
      </c>
      <c r="D866" s="10" t="inlineStr">
        <is>
          <t>折叠收纳箱</t>
        </is>
      </c>
      <c r="E866" s="10" t="inlineStr">
        <is>
          <t>江苏南通</t>
        </is>
      </c>
      <c r="F866" s="10" t="inlineStr">
        <is>
          <t>义乌购</t>
        </is>
      </c>
      <c r="G866" s="10" t="inlineStr">
        <is>
          <t>王经理</t>
        </is>
      </c>
      <c r="H866" s="10" t="inlineStr">
        <is>
          <t>000-0000-0862</t>
        </is>
      </c>
      <c r="I866" s="10" t="inlineStr">
        <is>
          <t>DEMO_GYS_0862</t>
        </is>
      </c>
      <c r="J866" s="11" t="n">
        <v>42.2</v>
      </c>
      <c r="K866" s="11" t="n">
        <v>58.4</v>
      </c>
      <c r="L866" s="12" t="n">
        <v>100</v>
      </c>
      <c r="M866" s="10" t="inlineStr">
        <is>
          <t>是</t>
        </is>
      </c>
      <c r="N866" s="10" t="inlineStr">
        <is>
          <t>是</t>
        </is>
      </c>
      <c r="O866" s="10" t="inlineStr">
        <is>
          <t>supplier0862@example.com</t>
        </is>
      </c>
      <c r="P866" s="10" t="inlineStr">
        <is>
          <t>https://example.com/supplier/0862</t>
        </is>
      </c>
      <c r="Q866" s="10">
        <f>IF(R866&gt;=85,"A",IF(R866&gt;=70,"B","C"))</f>
        <v/>
      </c>
      <c r="R866" s="13">
        <f>MIN(100,50+IF(M866="是",10,0)+IF(N866="是",10,0)+IF(L866&lt;=100,10,IF(L866&lt;=300,5,0))+IF(J866&lt;=20,10,IF(J866&lt;=50,5,0))+IF(K866-J866&lt;=20,5,0)+IF(F866="企业官网",5,0))</f>
        <v/>
      </c>
      <c r="S866" s="10">
        <f>IF(Q866="A","价格与起订量有优势，建议优先询盘",IF(Q866="B","条件较均衡，可作为备选","起订量或价格需要进一步确认"))</f>
        <v/>
      </c>
      <c r="T866" s="10" t="inlineStr">
        <is>
          <t>未联系</t>
        </is>
      </c>
      <c r="U866" s="10" t="inlineStr">
        <is>
          <t>虚构演示数据</t>
        </is>
      </c>
    </row>
    <row r="867" ht="21" customHeight="1">
      <c r="A867" s="10" t="inlineStr">
        <is>
          <t>GYS-0863</t>
        </is>
      </c>
      <c r="B867" s="10" t="inlineStr">
        <is>
          <t>郑州个护清洁供应链0863有限公司（演示）</t>
        </is>
      </c>
      <c r="C867" s="10" t="inlineStr">
        <is>
          <t>个护清洁</t>
        </is>
      </c>
      <c r="D867" s="10" t="inlineStr">
        <is>
          <t>便携洗脸巾</t>
        </is>
      </c>
      <c r="E867" s="10" t="inlineStr">
        <is>
          <t>河南郑州</t>
        </is>
      </c>
      <c r="F867" s="10" t="inlineStr">
        <is>
          <t>慧聪网</t>
        </is>
      </c>
      <c r="G867" s="10" t="inlineStr">
        <is>
          <t>李经理</t>
        </is>
      </c>
      <c r="H867" s="10" t="inlineStr">
        <is>
          <t>000-0000-0863</t>
        </is>
      </c>
      <c r="I867" s="10" t="inlineStr">
        <is>
          <t>DEMO_GYS_0863</t>
        </is>
      </c>
      <c r="J867" s="11" t="n">
        <v>43.9</v>
      </c>
      <c r="K867" s="11" t="n">
        <v>61.2</v>
      </c>
      <c r="L867" s="12" t="n">
        <v>50</v>
      </c>
      <c r="M867" s="10" t="inlineStr">
        <is>
          <t>是</t>
        </is>
      </c>
      <c r="N867" s="10" t="inlineStr">
        <is>
          <t>是</t>
        </is>
      </c>
      <c r="O867" s="10" t="inlineStr">
        <is>
          <t>supplier0863@example.com</t>
        </is>
      </c>
      <c r="P867" s="10" t="inlineStr">
        <is>
          <t>https://example.com/supplier/0863</t>
        </is>
      </c>
      <c r="Q867" s="10">
        <f>IF(R867&gt;=85,"A",IF(R867&gt;=70,"B","C"))</f>
        <v/>
      </c>
      <c r="R867" s="13">
        <f>MIN(100,50+IF(M867="是",10,0)+IF(N867="是",10,0)+IF(L867&lt;=100,10,IF(L867&lt;=300,5,0))+IF(J867&lt;=20,10,IF(J867&lt;=50,5,0))+IF(K867-J867&lt;=20,5,0)+IF(F867="企业官网",5,0))</f>
        <v/>
      </c>
      <c r="S867" s="10">
        <f>IF(Q867="A","价格与起订量有优势，建议优先询盘",IF(Q867="B","条件较均衡，可作为备选","起订量或价格需要进一步确认"))</f>
        <v/>
      </c>
      <c r="T867" s="10" t="inlineStr">
        <is>
          <t>未联系</t>
        </is>
      </c>
      <c r="U867" s="10" t="inlineStr">
        <is>
          <t>虚构演示数据</t>
        </is>
      </c>
    </row>
    <row r="868" ht="21" customHeight="1">
      <c r="A868" s="10" t="inlineStr">
        <is>
          <t>GYS-0864</t>
        </is>
      </c>
      <c r="B868" s="10" t="inlineStr">
        <is>
          <t>宁波厨房用品供应链0864有限公司（演示）</t>
        </is>
      </c>
      <c r="C868" s="10" t="inlineStr">
        <is>
          <t>厨房用品</t>
        </is>
      </c>
      <c r="D868" s="10" t="inlineStr">
        <is>
          <t>硅胶保鲜盒</t>
        </is>
      </c>
      <c r="E868" s="10" t="inlineStr">
        <is>
          <t>浙江宁波</t>
        </is>
      </c>
      <c r="F868" s="10" t="inlineStr">
        <is>
          <t>1688</t>
        </is>
      </c>
      <c r="G868" s="10" t="inlineStr">
        <is>
          <t>张经理</t>
        </is>
      </c>
      <c r="H868" s="10" t="inlineStr">
        <is>
          <t>000-0000-0864</t>
        </is>
      </c>
      <c r="I868" s="10" t="inlineStr">
        <is>
          <t>DEMO_GYS_0864</t>
        </is>
      </c>
      <c r="J868" s="11" t="n">
        <v>45.6</v>
      </c>
      <c r="K868" s="11" t="n">
        <v>64</v>
      </c>
      <c r="L868" s="12" t="n">
        <v>20</v>
      </c>
      <c r="M868" s="10" t="inlineStr">
        <is>
          <t>否</t>
        </is>
      </c>
      <c r="N868" s="10" t="inlineStr">
        <is>
          <t>否</t>
        </is>
      </c>
      <c r="O868" s="10" t="inlineStr">
        <is>
          <t>supplier0864@example.com</t>
        </is>
      </c>
      <c r="P868" s="10" t="inlineStr">
        <is>
          <t>https://example.com/supplier/0864</t>
        </is>
      </c>
      <c r="Q868" s="10">
        <f>IF(R868&gt;=85,"A",IF(R868&gt;=70,"B","C"))</f>
        <v/>
      </c>
      <c r="R868" s="13">
        <f>MIN(100,50+IF(M868="是",10,0)+IF(N868="是",10,0)+IF(L868&lt;=100,10,IF(L868&lt;=300,5,0))+IF(J868&lt;=20,10,IF(J868&lt;=50,5,0))+IF(K868-J868&lt;=20,5,0)+IF(F868="企业官网",5,0))</f>
        <v/>
      </c>
      <c r="S868" s="10">
        <f>IF(Q868="A","价格与起订量有优势，建议优先询盘",IF(Q868="B","条件较均衡，可作为备选","起订量或价格需要进一步确认"))</f>
        <v/>
      </c>
      <c r="T868" s="10" t="inlineStr">
        <is>
          <t>未联系</t>
        </is>
      </c>
      <c r="U868" s="10" t="inlineStr">
        <is>
          <t>虚构演示数据</t>
        </is>
      </c>
    </row>
    <row r="869" ht="21" customHeight="1">
      <c r="A869" s="10" t="inlineStr">
        <is>
          <t>GYS-0865</t>
        </is>
      </c>
      <c r="B869" s="10" t="inlineStr">
        <is>
          <t>深圳数码配件供应链0865有限公司（演示）</t>
        </is>
      </c>
      <c r="C869" s="10" t="inlineStr">
        <is>
          <t>数码配件</t>
        </is>
      </c>
      <c r="D869" s="10" t="inlineStr">
        <is>
          <t>磁吸手机支架</t>
        </is>
      </c>
      <c r="E869" s="10" t="inlineStr">
        <is>
          <t>广东深圳</t>
        </is>
      </c>
      <c r="F869" s="10" t="inlineStr">
        <is>
          <t>中国制造网</t>
        </is>
      </c>
      <c r="G869" s="10" t="inlineStr">
        <is>
          <t>刘经理</t>
        </is>
      </c>
      <c r="H869" s="10" t="inlineStr">
        <is>
          <t>000-0000-0865</t>
        </is>
      </c>
      <c r="I869" s="10" t="inlineStr">
        <is>
          <t>DEMO_GYS_0865</t>
        </is>
      </c>
      <c r="J869" s="11" t="n">
        <v>47.3</v>
      </c>
      <c r="K869" s="11" t="n">
        <v>66.8</v>
      </c>
      <c r="L869" s="12" t="n">
        <v>500</v>
      </c>
      <c r="M869" s="10" t="inlineStr">
        <is>
          <t>是</t>
        </is>
      </c>
      <c r="N869" s="10" t="inlineStr">
        <is>
          <t>是</t>
        </is>
      </c>
      <c r="O869" s="10" t="inlineStr">
        <is>
          <t>supplier0865@example.com</t>
        </is>
      </c>
      <c r="P869" s="10" t="inlineStr">
        <is>
          <t>https://example.com/supplier/0865</t>
        </is>
      </c>
      <c r="Q869" s="10">
        <f>IF(R869&gt;=85,"A",IF(R869&gt;=70,"B","C"))</f>
        <v/>
      </c>
      <c r="R869" s="13">
        <f>MIN(100,50+IF(M869="是",10,0)+IF(N869="是",10,0)+IF(L869&lt;=100,10,IF(L869&lt;=300,5,0))+IF(J869&lt;=20,10,IF(J869&lt;=50,5,0))+IF(K869-J869&lt;=20,5,0)+IF(F869="企业官网",5,0))</f>
        <v/>
      </c>
      <c r="S869" s="10">
        <f>IF(Q869="A","价格与起订量有优势，建议优先询盘",IF(Q869="B","条件较均衡，可作为备选","起订量或价格需要进一步确认"))</f>
        <v/>
      </c>
      <c r="T869" s="10" t="inlineStr">
        <is>
          <t>未联系</t>
        </is>
      </c>
      <c r="U869" s="10" t="inlineStr">
        <is>
          <t>虚构演示数据</t>
        </is>
      </c>
    </row>
    <row r="870" ht="21" customHeight="1">
      <c r="A870" s="10" t="inlineStr">
        <is>
          <t>GYS-0866</t>
        </is>
      </c>
      <c r="B870" s="10" t="inlineStr">
        <is>
          <t>佛山宠物用品供应链0866有限公司（演示）</t>
        </is>
      </c>
      <c r="C870" s="10" t="inlineStr">
        <is>
          <t>宠物用品</t>
        </is>
      </c>
      <c r="D870" s="10" t="inlineStr">
        <is>
          <t>宠物清洁手套</t>
        </is>
      </c>
      <c r="E870" s="10" t="inlineStr">
        <is>
          <t>广东佛山</t>
        </is>
      </c>
      <c r="F870" s="10" t="inlineStr">
        <is>
          <t>企业官网</t>
        </is>
      </c>
      <c r="G870" s="10" t="inlineStr">
        <is>
          <t>黄经理</t>
        </is>
      </c>
      <c r="H870" s="10" t="inlineStr">
        <is>
          <t>000-0000-0866</t>
        </is>
      </c>
      <c r="I870" s="10" t="inlineStr">
        <is>
          <t>DEMO_GYS_0866</t>
        </is>
      </c>
      <c r="J870" s="11" t="n">
        <v>3</v>
      </c>
      <c r="K870" s="11" t="n">
        <v>23.6</v>
      </c>
      <c r="L870" s="12" t="n">
        <v>300</v>
      </c>
      <c r="M870" s="10" t="inlineStr">
        <is>
          <t>是</t>
        </is>
      </c>
      <c r="N870" s="10" t="inlineStr">
        <is>
          <t>是</t>
        </is>
      </c>
      <c r="O870" s="10" t="inlineStr">
        <is>
          <t>supplier0866@example.com</t>
        </is>
      </c>
      <c r="P870" s="10" t="inlineStr">
        <is>
          <t>https://example.com/supplier/0866</t>
        </is>
      </c>
      <c r="Q870" s="10">
        <f>IF(R870&gt;=85,"A",IF(R870&gt;=70,"B","C"))</f>
        <v/>
      </c>
      <c r="R870" s="13">
        <f>MIN(100,50+IF(M870="是",10,0)+IF(N870="是",10,0)+IF(L870&lt;=100,10,IF(L870&lt;=300,5,0))+IF(J870&lt;=20,10,IF(J870&lt;=50,5,0))+IF(K870-J870&lt;=20,5,0)+IF(F870="企业官网",5,0))</f>
        <v/>
      </c>
      <c r="S870" s="10">
        <f>IF(Q870="A","价格与起订量有优势，建议优先询盘",IF(Q870="B","条件较均衡，可作为备选","起订量或价格需要进一步确认"))</f>
        <v/>
      </c>
      <c r="T870" s="10" t="inlineStr">
        <is>
          <t>未联系</t>
        </is>
      </c>
      <c r="U870" s="10" t="inlineStr">
        <is>
          <t>虚构演示数据</t>
        </is>
      </c>
    </row>
    <row r="871" ht="21" customHeight="1">
      <c r="A871" s="10" t="inlineStr">
        <is>
          <t>GYS-0867</t>
        </is>
      </c>
      <c r="B871" s="10" t="inlineStr">
        <is>
          <t>苏州母婴用品供应链0867有限公司（演示）</t>
        </is>
      </c>
      <c r="C871" s="10" t="inlineStr">
        <is>
          <t>母婴用品</t>
        </is>
      </c>
      <c r="D871" s="10" t="inlineStr">
        <is>
          <t>婴儿防撞条</t>
        </is>
      </c>
      <c r="E871" s="10" t="inlineStr">
        <is>
          <t>江苏苏州</t>
        </is>
      </c>
      <c r="F871" s="10" t="inlineStr">
        <is>
          <t>义乌购</t>
        </is>
      </c>
      <c r="G871" s="10" t="inlineStr">
        <is>
          <t>赵经理</t>
        </is>
      </c>
      <c r="H871" s="10" t="inlineStr">
        <is>
          <t>000-0000-0867</t>
        </is>
      </c>
      <c r="I871" s="10" t="inlineStr">
        <is>
          <t>DEMO_GYS_0867</t>
        </is>
      </c>
      <c r="J871" s="11" t="n">
        <v>4.7</v>
      </c>
      <c r="K871" s="11" t="n">
        <v>26.4</v>
      </c>
      <c r="L871" s="12" t="n">
        <v>200</v>
      </c>
      <c r="M871" s="10" t="inlineStr">
        <is>
          <t>是</t>
        </is>
      </c>
      <c r="N871" s="10" t="inlineStr">
        <is>
          <t>否</t>
        </is>
      </c>
      <c r="O871" s="10" t="inlineStr">
        <is>
          <t>supplier0867@example.com</t>
        </is>
      </c>
      <c r="P871" s="10" t="inlineStr">
        <is>
          <t>https://example.com/supplier/0867</t>
        </is>
      </c>
      <c r="Q871" s="10">
        <f>IF(R871&gt;=85,"A",IF(R871&gt;=70,"B","C"))</f>
        <v/>
      </c>
      <c r="R871" s="13">
        <f>MIN(100,50+IF(M871="是",10,0)+IF(N871="是",10,0)+IF(L871&lt;=100,10,IF(L871&lt;=300,5,0))+IF(J871&lt;=20,10,IF(J871&lt;=50,5,0))+IF(K871-J871&lt;=20,5,0)+IF(F871="企业官网",5,0))</f>
        <v/>
      </c>
      <c r="S871" s="10">
        <f>IF(Q871="A","价格与起订量有优势，建议优先询盘",IF(Q871="B","条件较均衡，可作为备选","起订量或价格需要进一步确认"))</f>
        <v/>
      </c>
      <c r="T871" s="10" t="inlineStr">
        <is>
          <t>未联系</t>
        </is>
      </c>
      <c r="U871" s="10" t="inlineStr">
        <is>
          <t>虚构演示数据</t>
        </is>
      </c>
    </row>
    <row r="872" ht="21" customHeight="1">
      <c r="A872" s="10" t="inlineStr">
        <is>
          <t>GYS-0868</t>
        </is>
      </c>
      <c r="B872" s="10" t="inlineStr">
        <is>
          <t>白沟运动户外供应链0868有限公司（演示）</t>
        </is>
      </c>
      <c r="C872" s="10" t="inlineStr">
        <is>
          <t>运动户外</t>
        </is>
      </c>
      <c r="D872" s="10" t="inlineStr">
        <is>
          <t>弹力训练带</t>
        </is>
      </c>
      <c r="E872" s="10" t="inlineStr">
        <is>
          <t>河北白沟</t>
        </is>
      </c>
      <c r="F872" s="10" t="inlineStr">
        <is>
          <t>慧聪网</t>
        </is>
      </c>
      <c r="G872" s="10" t="inlineStr">
        <is>
          <t>周经理</t>
        </is>
      </c>
      <c r="H872" s="10" t="inlineStr">
        <is>
          <t>000-0000-0868</t>
        </is>
      </c>
      <c r="I872" s="10" t="inlineStr">
        <is>
          <t>DEMO_GYS_0868</t>
        </is>
      </c>
      <c r="J872" s="11" t="n">
        <v>6.4</v>
      </c>
      <c r="K872" s="11" t="n">
        <v>11.2</v>
      </c>
      <c r="L872" s="12" t="n">
        <v>100</v>
      </c>
      <c r="M872" s="10" t="inlineStr">
        <is>
          <t>否</t>
        </is>
      </c>
      <c r="N872" s="10" t="inlineStr">
        <is>
          <t>是</t>
        </is>
      </c>
      <c r="O872" s="10" t="inlineStr">
        <is>
          <t>supplier0868@example.com</t>
        </is>
      </c>
      <c r="P872" s="10" t="inlineStr">
        <is>
          <t>https://example.com/supplier/0868</t>
        </is>
      </c>
      <c r="Q872" s="10">
        <f>IF(R872&gt;=85,"A",IF(R872&gt;=70,"B","C"))</f>
        <v/>
      </c>
      <c r="R872" s="13">
        <f>MIN(100,50+IF(M872="是",10,0)+IF(N872="是",10,0)+IF(L872&lt;=100,10,IF(L872&lt;=300,5,0))+IF(J872&lt;=20,10,IF(J872&lt;=50,5,0))+IF(K872-J872&lt;=20,5,0)+IF(F872="企业官网",5,0))</f>
        <v/>
      </c>
      <c r="S872" s="10">
        <f>IF(Q872="A","价格与起订量有优势，建议优先询盘",IF(Q872="B","条件较均衡，可作为备选","起订量或价格需要进一步确认"))</f>
        <v/>
      </c>
      <c r="T872" s="10" t="inlineStr">
        <is>
          <t>未联系</t>
        </is>
      </c>
      <c r="U872" s="10" t="inlineStr">
        <is>
          <t>虚构演示数据</t>
        </is>
      </c>
    </row>
    <row r="873" ht="21" customHeight="1">
      <c r="A873" s="10" t="inlineStr">
        <is>
          <t>GYS-0869</t>
        </is>
      </c>
      <c r="B873" s="10" t="inlineStr">
        <is>
          <t>义乌办公文具供应链0869有限公司（演示）</t>
        </is>
      </c>
      <c r="C873" s="10" t="inlineStr">
        <is>
          <t>办公文具</t>
        </is>
      </c>
      <c r="D873" s="10" t="inlineStr">
        <is>
          <t>桌面收纳架</t>
        </is>
      </c>
      <c r="E873" s="10" t="inlineStr">
        <is>
          <t>浙江义乌</t>
        </is>
      </c>
      <c r="F873" s="10" t="inlineStr">
        <is>
          <t>1688</t>
        </is>
      </c>
      <c r="G873" s="10" t="inlineStr">
        <is>
          <t>吴经理</t>
        </is>
      </c>
      <c r="H873" s="10" t="inlineStr">
        <is>
          <t>000-0000-0869</t>
        </is>
      </c>
      <c r="I873" s="10" t="inlineStr">
        <is>
          <t>DEMO_GYS_0869</t>
        </is>
      </c>
      <c r="J873" s="11" t="n">
        <v>8.1</v>
      </c>
      <c r="K873" s="11" t="n">
        <v>14</v>
      </c>
      <c r="L873" s="12" t="n">
        <v>50</v>
      </c>
      <c r="M873" s="10" t="inlineStr">
        <is>
          <t>是</t>
        </is>
      </c>
      <c r="N873" s="10" t="inlineStr">
        <is>
          <t>是</t>
        </is>
      </c>
      <c r="O873" s="10" t="inlineStr">
        <is>
          <t>supplier0869@example.com</t>
        </is>
      </c>
      <c r="P873" s="10" t="inlineStr">
        <is>
          <t>https://example.com/supplier/0869</t>
        </is>
      </c>
      <c r="Q873" s="10">
        <f>IF(R873&gt;=85,"A",IF(R873&gt;=70,"B","C"))</f>
        <v/>
      </c>
      <c r="R873" s="13">
        <f>MIN(100,50+IF(M873="是",10,0)+IF(N873="是",10,0)+IF(L873&lt;=100,10,IF(L873&lt;=300,5,0))+IF(J873&lt;=20,10,IF(J873&lt;=50,5,0))+IF(K873-J873&lt;=20,5,0)+IF(F873="企业官网",5,0))</f>
        <v/>
      </c>
      <c r="S873" s="10">
        <f>IF(Q873="A","价格与起订量有优势，建议优先询盘",IF(Q873="B","条件较均衡，可作为备选","起订量或价格需要进一步确认"))</f>
        <v/>
      </c>
      <c r="T873" s="10" t="inlineStr">
        <is>
          <t>未联系</t>
        </is>
      </c>
      <c r="U873" s="10" t="inlineStr">
        <is>
          <t>虚构演示数据</t>
        </is>
      </c>
    </row>
    <row r="874" ht="21" customHeight="1">
      <c r="A874" s="10" t="inlineStr">
        <is>
          <t>GYS-0870</t>
        </is>
      </c>
      <c r="B874" s="10" t="inlineStr">
        <is>
          <t>台州汽车用品供应链0870有限公司（演示）</t>
        </is>
      </c>
      <c r="C874" s="10" t="inlineStr">
        <is>
          <t>汽车用品</t>
        </is>
      </c>
      <c r="D874" s="10" t="inlineStr">
        <is>
          <t>车载香薰</t>
        </is>
      </c>
      <c r="E874" s="10" t="inlineStr">
        <is>
          <t>浙江台州</t>
        </is>
      </c>
      <c r="F874" s="10" t="inlineStr">
        <is>
          <t>中国制造网</t>
        </is>
      </c>
      <c r="G874" s="10" t="inlineStr">
        <is>
          <t>陈经理</t>
        </is>
      </c>
      <c r="H874" s="10" t="inlineStr">
        <is>
          <t>000-0000-0870</t>
        </is>
      </c>
      <c r="I874" s="10" t="inlineStr">
        <is>
          <t>DEMO_GYS_0870</t>
        </is>
      </c>
      <c r="J874" s="11" t="n">
        <v>9.800000000000001</v>
      </c>
      <c r="K874" s="11" t="n">
        <v>16.8</v>
      </c>
      <c r="L874" s="12" t="n">
        <v>20</v>
      </c>
      <c r="M874" s="10" t="inlineStr">
        <is>
          <t>是</t>
        </is>
      </c>
      <c r="N874" s="10" t="inlineStr">
        <is>
          <t>否</t>
        </is>
      </c>
      <c r="O874" s="10" t="inlineStr">
        <is>
          <t>supplier0870@example.com</t>
        </is>
      </c>
      <c r="P874" s="10" t="inlineStr">
        <is>
          <t>https://example.com/supplier/0870</t>
        </is>
      </c>
      <c r="Q874" s="10">
        <f>IF(R874&gt;=85,"A",IF(R874&gt;=70,"B","C"))</f>
        <v/>
      </c>
      <c r="R874" s="13">
        <f>MIN(100,50+IF(M874="是",10,0)+IF(N874="是",10,0)+IF(L874&lt;=100,10,IF(L874&lt;=300,5,0))+IF(J874&lt;=20,10,IF(J874&lt;=50,5,0))+IF(K874-J874&lt;=20,5,0)+IF(F874="企业官网",5,0))</f>
        <v/>
      </c>
      <c r="S874" s="10">
        <f>IF(Q874="A","价格与起订量有优势，建议优先询盘",IF(Q874="B","条件较均衡，可作为备选","起订量或价格需要进一步确认"))</f>
        <v/>
      </c>
      <c r="T874" s="10" t="inlineStr">
        <is>
          <t>未联系</t>
        </is>
      </c>
      <c r="U874" s="10" t="inlineStr">
        <is>
          <t>虚构演示数据</t>
        </is>
      </c>
    </row>
    <row r="875" ht="21" customHeight="1">
      <c r="A875" s="10" t="inlineStr">
        <is>
          <t>GYS-0871</t>
        </is>
      </c>
      <c r="B875" s="10" t="inlineStr">
        <is>
          <t>东莞美容工具供应链0871有限公司（演示）</t>
        </is>
      </c>
      <c r="C875" s="10" t="inlineStr">
        <is>
          <t>美容工具</t>
        </is>
      </c>
      <c r="D875" s="10" t="inlineStr">
        <is>
          <t>便携化妆镜</t>
        </is>
      </c>
      <c r="E875" s="10" t="inlineStr">
        <is>
          <t>广东东莞</t>
        </is>
      </c>
      <c r="F875" s="10" t="inlineStr">
        <is>
          <t>企业官网</t>
        </is>
      </c>
      <c r="G875" s="10" t="inlineStr">
        <is>
          <t>林经理</t>
        </is>
      </c>
      <c r="H875" s="10" t="inlineStr">
        <is>
          <t>000-0000-0871</t>
        </is>
      </c>
      <c r="I875" s="10" t="inlineStr">
        <is>
          <t>DEMO_GYS_0871</t>
        </is>
      </c>
      <c r="J875" s="11" t="n">
        <v>11.5</v>
      </c>
      <c r="K875" s="11" t="n">
        <v>19.6</v>
      </c>
      <c r="L875" s="12" t="n">
        <v>500</v>
      </c>
      <c r="M875" s="10" t="inlineStr">
        <is>
          <t>是</t>
        </is>
      </c>
      <c r="N875" s="10" t="inlineStr">
        <is>
          <t>是</t>
        </is>
      </c>
      <c r="O875" s="10" t="inlineStr">
        <is>
          <t>supplier0871@example.com</t>
        </is>
      </c>
      <c r="P875" s="10" t="inlineStr">
        <is>
          <t>https://example.com/supplier/0871</t>
        </is>
      </c>
      <c r="Q875" s="10">
        <f>IF(R875&gt;=85,"A",IF(R875&gt;=70,"B","C"))</f>
        <v/>
      </c>
      <c r="R875" s="13">
        <f>MIN(100,50+IF(M875="是",10,0)+IF(N875="是",10,0)+IF(L875&lt;=100,10,IF(L875&lt;=300,5,0))+IF(J875&lt;=20,10,IF(J875&lt;=50,5,0))+IF(K875-J875&lt;=20,5,0)+IF(F875="企业官网",5,0))</f>
        <v/>
      </c>
      <c r="S875" s="10">
        <f>IF(Q875="A","价格与起订量有优势，建议优先询盘",IF(Q875="B","条件较均衡，可作为备选","起订量或价格需要进一步确认"))</f>
        <v/>
      </c>
      <c r="T875" s="10" t="inlineStr">
        <is>
          <t>未联系</t>
        </is>
      </c>
      <c r="U875" s="10" t="inlineStr">
        <is>
          <t>虚构演示数据</t>
        </is>
      </c>
    </row>
    <row r="876" ht="21" customHeight="1">
      <c r="A876" s="10" t="inlineStr">
        <is>
          <t>GYS-0872</t>
        </is>
      </c>
      <c r="B876" s="10" t="inlineStr">
        <is>
          <t>厦门旅行用品供应链0872有限公司（演示）</t>
        </is>
      </c>
      <c r="C876" s="10" t="inlineStr">
        <is>
          <t>旅行用品</t>
        </is>
      </c>
      <c r="D876" s="10" t="inlineStr">
        <is>
          <t>压缩收纳袋</t>
        </is>
      </c>
      <c r="E876" s="10" t="inlineStr">
        <is>
          <t>福建厦门</t>
        </is>
      </c>
      <c r="F876" s="10" t="inlineStr">
        <is>
          <t>义乌购</t>
        </is>
      </c>
      <c r="G876" s="10" t="inlineStr">
        <is>
          <t>王经理</t>
        </is>
      </c>
      <c r="H876" s="10" t="inlineStr">
        <is>
          <t>000-0000-0872</t>
        </is>
      </c>
      <c r="I876" s="10" t="inlineStr">
        <is>
          <t>DEMO_GYS_0872</t>
        </is>
      </c>
      <c r="J876" s="11" t="n">
        <v>13.2</v>
      </c>
      <c r="K876" s="11" t="n">
        <v>22.4</v>
      </c>
      <c r="L876" s="12" t="n">
        <v>300</v>
      </c>
      <c r="M876" s="10" t="inlineStr">
        <is>
          <t>否</t>
        </is>
      </c>
      <c r="N876" s="10" t="inlineStr">
        <is>
          <t>是</t>
        </is>
      </c>
      <c r="O876" s="10" t="inlineStr">
        <is>
          <t>supplier0872@example.com</t>
        </is>
      </c>
      <c r="P876" s="10" t="inlineStr">
        <is>
          <t>https://example.com/supplier/0872</t>
        </is>
      </c>
      <c r="Q876" s="10">
        <f>IF(R876&gt;=85,"A",IF(R876&gt;=70,"B","C"))</f>
        <v/>
      </c>
      <c r="R876" s="13">
        <f>MIN(100,50+IF(M876="是",10,0)+IF(N876="是",10,0)+IF(L876&lt;=100,10,IF(L876&lt;=300,5,0))+IF(J876&lt;=20,10,IF(J876&lt;=50,5,0))+IF(K876-J876&lt;=20,5,0)+IF(F876="企业官网",5,0))</f>
        <v/>
      </c>
      <c r="S876" s="10">
        <f>IF(Q876="A","价格与起订量有优势，建议优先询盘",IF(Q876="B","条件较均衡，可作为备选","起订量或价格需要进一步确认"))</f>
        <v/>
      </c>
      <c r="T876" s="10" t="inlineStr">
        <is>
          <t>未联系</t>
        </is>
      </c>
      <c r="U876" s="10" t="inlineStr">
        <is>
          <t>虚构演示数据</t>
        </is>
      </c>
    </row>
    <row r="877" ht="21" customHeight="1">
      <c r="A877" s="10" t="inlineStr">
        <is>
          <t>GYS-0873</t>
        </is>
      </c>
      <c r="B877" s="10" t="inlineStr">
        <is>
          <t>临沂清洁工具供应链0873有限公司（演示）</t>
        </is>
      </c>
      <c r="C877" s="10" t="inlineStr">
        <is>
          <t>清洁工具</t>
        </is>
      </c>
      <c r="D877" s="10" t="inlineStr">
        <is>
          <t>免手洗拖把</t>
        </is>
      </c>
      <c r="E877" s="10" t="inlineStr">
        <is>
          <t>山东临沂</t>
        </is>
      </c>
      <c r="F877" s="10" t="inlineStr">
        <is>
          <t>慧聪网</t>
        </is>
      </c>
      <c r="G877" s="10" t="inlineStr">
        <is>
          <t>李经理</t>
        </is>
      </c>
      <c r="H877" s="10" t="inlineStr">
        <is>
          <t>000-0000-0873</t>
        </is>
      </c>
      <c r="I877" s="10" t="inlineStr">
        <is>
          <t>DEMO_GYS_0873</t>
        </is>
      </c>
      <c r="J877" s="11" t="n">
        <v>14.9</v>
      </c>
      <c r="K877" s="11" t="n">
        <v>25.2</v>
      </c>
      <c r="L877" s="12" t="n">
        <v>200</v>
      </c>
      <c r="M877" s="10" t="inlineStr">
        <is>
          <t>是</t>
        </is>
      </c>
      <c r="N877" s="10" t="inlineStr">
        <is>
          <t>否</t>
        </is>
      </c>
      <c r="O877" s="10" t="inlineStr">
        <is>
          <t>supplier0873@example.com</t>
        </is>
      </c>
      <c r="P877" s="10" t="inlineStr">
        <is>
          <t>https://example.com/supplier/0873</t>
        </is>
      </c>
      <c r="Q877" s="10">
        <f>IF(R877&gt;=85,"A",IF(R877&gt;=70,"B","C"))</f>
        <v/>
      </c>
      <c r="R877" s="13">
        <f>MIN(100,50+IF(M877="是",10,0)+IF(N877="是",10,0)+IF(L877&lt;=100,10,IF(L877&lt;=300,5,0))+IF(J877&lt;=20,10,IF(J877&lt;=50,5,0))+IF(K877-J877&lt;=20,5,0)+IF(F877="企业官网",5,0))</f>
        <v/>
      </c>
      <c r="S877" s="10">
        <f>IF(Q877="A","价格与起订量有优势，建议优先询盘",IF(Q877="B","条件较均衡，可作为备选","起订量或价格需要进一步确认"))</f>
        <v/>
      </c>
      <c r="T877" s="10" t="inlineStr">
        <is>
          <t>未联系</t>
        </is>
      </c>
      <c r="U877" s="10" t="inlineStr">
        <is>
          <t>虚构演示数据</t>
        </is>
      </c>
    </row>
    <row r="878" ht="21" customHeight="1">
      <c r="A878" s="10" t="inlineStr">
        <is>
          <t>GYS-0874</t>
        </is>
      </c>
      <c r="B878" s="10" t="inlineStr">
        <is>
          <t>南昌小家电供应链0874有限公司（演示）</t>
        </is>
      </c>
      <c r="C878" s="10" t="inlineStr">
        <is>
          <t>小家电</t>
        </is>
      </c>
      <c r="D878" s="10" t="inlineStr">
        <is>
          <t>迷你加湿器</t>
        </is>
      </c>
      <c r="E878" s="10" t="inlineStr">
        <is>
          <t>江西南昌</t>
        </is>
      </c>
      <c r="F878" s="10" t="inlineStr">
        <is>
          <t>1688</t>
        </is>
      </c>
      <c r="G878" s="10" t="inlineStr">
        <is>
          <t>张经理</t>
        </is>
      </c>
      <c r="H878" s="10" t="inlineStr">
        <is>
          <t>000-0000-0874</t>
        </is>
      </c>
      <c r="I878" s="10" t="inlineStr">
        <is>
          <t>DEMO_GYS_0874</t>
        </is>
      </c>
      <c r="J878" s="11" t="n">
        <v>16.6</v>
      </c>
      <c r="K878" s="11" t="n">
        <v>28</v>
      </c>
      <c r="L878" s="12" t="n">
        <v>100</v>
      </c>
      <c r="M878" s="10" t="inlineStr">
        <is>
          <t>是</t>
        </is>
      </c>
      <c r="N878" s="10" t="inlineStr">
        <is>
          <t>是</t>
        </is>
      </c>
      <c r="O878" s="10" t="inlineStr">
        <is>
          <t>supplier0874@example.com</t>
        </is>
      </c>
      <c r="P878" s="10" t="inlineStr">
        <is>
          <t>https://example.com/supplier/0874</t>
        </is>
      </c>
      <c r="Q878" s="10">
        <f>IF(R878&gt;=85,"A",IF(R878&gt;=70,"B","C"))</f>
        <v/>
      </c>
      <c r="R878" s="13">
        <f>MIN(100,50+IF(M878="是",10,0)+IF(N878="是",10,0)+IF(L878&lt;=100,10,IF(L878&lt;=300,5,0))+IF(J878&lt;=20,10,IF(J878&lt;=50,5,0))+IF(K878-J878&lt;=20,5,0)+IF(F878="企业官网",5,0))</f>
        <v/>
      </c>
      <c r="S878" s="10">
        <f>IF(Q878="A","价格与起订量有优势，建议优先询盘",IF(Q878="B","条件较均衡，可作为备选","起订量或价格需要进一步确认"))</f>
        <v/>
      </c>
      <c r="T878" s="10" t="inlineStr">
        <is>
          <t>未联系</t>
        </is>
      </c>
      <c r="U878" s="10" t="inlineStr">
        <is>
          <t>虚构演示数据</t>
        </is>
      </c>
    </row>
    <row r="879" ht="21" customHeight="1">
      <c r="A879" s="10" t="inlineStr">
        <is>
          <t>GYS-0875</t>
        </is>
      </c>
      <c r="B879" s="10" t="inlineStr">
        <is>
          <t>温州礼品包装供应链0875有限公司（演示）</t>
        </is>
      </c>
      <c r="C879" s="10" t="inlineStr">
        <is>
          <t>礼品包装</t>
        </is>
      </c>
      <c r="D879" s="10" t="inlineStr">
        <is>
          <t>节日礼盒</t>
        </is>
      </c>
      <c r="E879" s="10" t="inlineStr">
        <is>
          <t>浙江温州</t>
        </is>
      </c>
      <c r="F879" s="10" t="inlineStr">
        <is>
          <t>中国制造网</t>
        </is>
      </c>
      <c r="G879" s="10" t="inlineStr">
        <is>
          <t>刘经理</t>
        </is>
      </c>
      <c r="H879" s="10" t="inlineStr">
        <is>
          <t>000-0000-0875</t>
        </is>
      </c>
      <c r="I879" s="10" t="inlineStr">
        <is>
          <t>DEMO_GYS_0875</t>
        </is>
      </c>
      <c r="J879" s="11" t="n">
        <v>18.3</v>
      </c>
      <c r="K879" s="11" t="n">
        <v>30.8</v>
      </c>
      <c r="L879" s="12" t="n">
        <v>50</v>
      </c>
      <c r="M879" s="10" t="inlineStr">
        <is>
          <t>是</t>
        </is>
      </c>
      <c r="N879" s="10" t="inlineStr">
        <is>
          <t>是</t>
        </is>
      </c>
      <c r="O879" s="10" t="inlineStr">
        <is>
          <t>supplier0875@example.com</t>
        </is>
      </c>
      <c r="P879" s="10" t="inlineStr">
        <is>
          <t>https://example.com/supplier/0875</t>
        </is>
      </c>
      <c r="Q879" s="10">
        <f>IF(R879&gt;=85,"A",IF(R879&gt;=70,"B","C"))</f>
        <v/>
      </c>
      <c r="R879" s="13">
        <f>MIN(100,50+IF(M879="是",10,0)+IF(N879="是",10,0)+IF(L879&lt;=100,10,IF(L879&lt;=300,5,0))+IF(J879&lt;=20,10,IF(J879&lt;=50,5,0))+IF(K879-J879&lt;=20,5,0)+IF(F879="企业官网",5,0))</f>
        <v/>
      </c>
      <c r="S879" s="10">
        <f>IF(Q879="A","价格与起订量有优势，建议优先询盘",IF(Q879="B","条件较均衡，可作为备选","起订量或价格需要进一步确认"))</f>
        <v/>
      </c>
      <c r="T879" s="10" t="inlineStr">
        <is>
          <t>未联系</t>
        </is>
      </c>
      <c r="U879" s="10" t="inlineStr">
        <is>
          <t>虚构演示数据</t>
        </is>
      </c>
    </row>
    <row r="880" ht="21" customHeight="1">
      <c r="A880" s="10" t="inlineStr">
        <is>
          <t>GYS-0876</t>
        </is>
      </c>
      <c r="B880" s="10" t="inlineStr">
        <is>
          <t>广州五金工具供应链0876有限公司（演示）</t>
        </is>
      </c>
      <c r="C880" s="10" t="inlineStr">
        <is>
          <t>五金工具</t>
        </is>
      </c>
      <c r="D880" s="10" t="inlineStr">
        <is>
          <t>多功能螺丝刀</t>
        </is>
      </c>
      <c r="E880" s="10" t="inlineStr">
        <is>
          <t>广东广州</t>
        </is>
      </c>
      <c r="F880" s="10" t="inlineStr">
        <is>
          <t>企业官网</t>
        </is>
      </c>
      <c r="G880" s="10" t="inlineStr">
        <is>
          <t>黄经理</t>
        </is>
      </c>
      <c r="H880" s="10" t="inlineStr">
        <is>
          <t>000-0000-0876</t>
        </is>
      </c>
      <c r="I880" s="10" t="inlineStr">
        <is>
          <t>DEMO_GYS_0876</t>
        </is>
      </c>
      <c r="J880" s="11" t="n">
        <v>20</v>
      </c>
      <c r="K880" s="11" t="n">
        <v>33.6</v>
      </c>
      <c r="L880" s="12" t="n">
        <v>20</v>
      </c>
      <c r="M880" s="10" t="inlineStr">
        <is>
          <t>否</t>
        </is>
      </c>
      <c r="N880" s="10" t="inlineStr">
        <is>
          <t>否</t>
        </is>
      </c>
      <c r="O880" s="10" t="inlineStr">
        <is>
          <t>supplier0876@example.com</t>
        </is>
      </c>
      <c r="P880" s="10" t="inlineStr">
        <is>
          <t>https://example.com/supplier/0876</t>
        </is>
      </c>
      <c r="Q880" s="10">
        <f>IF(R880&gt;=85,"A",IF(R880&gt;=70,"B","C"))</f>
        <v/>
      </c>
      <c r="R880" s="13">
        <f>MIN(100,50+IF(M880="是",10,0)+IF(N880="是",10,0)+IF(L880&lt;=100,10,IF(L880&lt;=300,5,0))+IF(J880&lt;=20,10,IF(J880&lt;=50,5,0))+IF(K880-J880&lt;=20,5,0)+IF(F880="企业官网",5,0))</f>
        <v/>
      </c>
      <c r="S880" s="10">
        <f>IF(Q880="A","价格与起订量有优势，建议优先询盘",IF(Q880="B","条件较均衡，可作为备选","起订量或价格需要进一步确认"))</f>
        <v/>
      </c>
      <c r="T880" s="10" t="inlineStr">
        <is>
          <t>未联系</t>
        </is>
      </c>
      <c r="U880" s="10" t="inlineStr">
        <is>
          <t>虚构演示数据</t>
        </is>
      </c>
    </row>
    <row r="881" ht="21" customHeight="1">
      <c r="A881" s="10" t="inlineStr">
        <is>
          <t>GYS-0877</t>
        </is>
      </c>
      <c r="B881" s="10" t="inlineStr">
        <is>
          <t>泉州鞋靴配件供应链0877有限公司（演示）</t>
        </is>
      </c>
      <c r="C881" s="10" t="inlineStr">
        <is>
          <t>鞋靴配件</t>
        </is>
      </c>
      <c r="D881" s="10" t="inlineStr">
        <is>
          <t>防磨脚贴</t>
        </is>
      </c>
      <c r="E881" s="10" t="inlineStr">
        <is>
          <t>福建泉州</t>
        </is>
      </c>
      <c r="F881" s="10" t="inlineStr">
        <is>
          <t>义乌购</t>
        </is>
      </c>
      <c r="G881" s="10" t="inlineStr">
        <is>
          <t>赵经理</t>
        </is>
      </c>
      <c r="H881" s="10" t="inlineStr">
        <is>
          <t>000-0000-0877</t>
        </is>
      </c>
      <c r="I881" s="10" t="inlineStr">
        <is>
          <t>DEMO_GYS_0877</t>
        </is>
      </c>
      <c r="J881" s="11" t="n">
        <v>21.7</v>
      </c>
      <c r="K881" s="11" t="n">
        <v>36.4</v>
      </c>
      <c r="L881" s="12" t="n">
        <v>500</v>
      </c>
      <c r="M881" s="10" t="inlineStr">
        <is>
          <t>是</t>
        </is>
      </c>
      <c r="N881" s="10" t="inlineStr">
        <is>
          <t>是</t>
        </is>
      </c>
      <c r="O881" s="10" t="inlineStr">
        <is>
          <t>supplier0877@example.com</t>
        </is>
      </c>
      <c r="P881" s="10" t="inlineStr">
        <is>
          <t>https://example.com/supplier/0877</t>
        </is>
      </c>
      <c r="Q881" s="10">
        <f>IF(R881&gt;=85,"A",IF(R881&gt;=70,"B","C"))</f>
        <v/>
      </c>
      <c r="R881" s="13">
        <f>MIN(100,50+IF(M881="是",10,0)+IF(N881="是",10,0)+IF(L881&lt;=100,10,IF(L881&lt;=300,5,0))+IF(J881&lt;=20,10,IF(J881&lt;=50,5,0))+IF(K881-J881&lt;=20,5,0)+IF(F881="企业官网",5,0))</f>
        <v/>
      </c>
      <c r="S881" s="10">
        <f>IF(Q881="A","价格与起订量有优势，建议优先询盘",IF(Q881="B","条件较均衡，可作为备选","起订量或价格需要进一步确认"))</f>
        <v/>
      </c>
      <c r="T881" s="10" t="inlineStr">
        <is>
          <t>未联系</t>
        </is>
      </c>
      <c r="U881" s="10" t="inlineStr">
        <is>
          <t>虚构演示数据</t>
        </is>
      </c>
    </row>
    <row r="882" ht="21" customHeight="1">
      <c r="A882" s="10" t="inlineStr">
        <is>
          <t>GYS-0878</t>
        </is>
      </c>
      <c r="B882" s="10" t="inlineStr">
        <is>
          <t>南通食品包装供应链0878有限公司（演示）</t>
        </is>
      </c>
      <c r="C882" s="10" t="inlineStr">
        <is>
          <t>食品包装</t>
        </is>
      </c>
      <c r="D882" s="10" t="inlineStr">
        <is>
          <t>密封包装袋</t>
        </is>
      </c>
      <c r="E882" s="10" t="inlineStr">
        <is>
          <t>江苏南通</t>
        </is>
      </c>
      <c r="F882" s="10" t="inlineStr">
        <is>
          <t>慧聪网</t>
        </is>
      </c>
      <c r="G882" s="10" t="inlineStr">
        <is>
          <t>周经理</t>
        </is>
      </c>
      <c r="H882" s="10" t="inlineStr">
        <is>
          <t>000-0000-0878</t>
        </is>
      </c>
      <c r="I882" s="10" t="inlineStr">
        <is>
          <t>DEMO_GYS_0878</t>
        </is>
      </c>
      <c r="J882" s="11" t="n">
        <v>23.4</v>
      </c>
      <c r="K882" s="11" t="n">
        <v>39.2</v>
      </c>
      <c r="L882" s="12" t="n">
        <v>300</v>
      </c>
      <c r="M882" s="10" t="inlineStr">
        <is>
          <t>是</t>
        </is>
      </c>
      <c r="N882" s="10" t="inlineStr">
        <is>
          <t>是</t>
        </is>
      </c>
      <c r="O882" s="10" t="inlineStr">
        <is>
          <t>supplier0878@example.com</t>
        </is>
      </c>
      <c r="P882" s="10" t="inlineStr">
        <is>
          <t>https://example.com/supplier/0878</t>
        </is>
      </c>
      <c r="Q882" s="10">
        <f>IF(R882&gt;=85,"A",IF(R882&gt;=70,"B","C"))</f>
        <v/>
      </c>
      <c r="R882" s="13">
        <f>MIN(100,50+IF(M882="是",10,0)+IF(N882="是",10,0)+IF(L882&lt;=100,10,IF(L882&lt;=300,5,0))+IF(J882&lt;=20,10,IF(J882&lt;=50,5,0))+IF(K882-J882&lt;=20,5,0)+IF(F882="企业官网",5,0))</f>
        <v/>
      </c>
      <c r="S882" s="10">
        <f>IF(Q882="A","价格与起订量有优势，建议优先询盘",IF(Q882="B","条件较均衡，可作为备选","起订量或价格需要进一步确认"))</f>
        <v/>
      </c>
      <c r="T882" s="10" t="inlineStr">
        <is>
          <t>未联系</t>
        </is>
      </c>
      <c r="U882" s="10" t="inlineStr">
        <is>
          <t>虚构演示数据</t>
        </is>
      </c>
    </row>
    <row r="883" ht="21" customHeight="1">
      <c r="A883" s="10" t="inlineStr">
        <is>
          <t>GYS-0879</t>
        </is>
      </c>
      <c r="B883" s="10" t="inlineStr">
        <is>
          <t>郑州户外照明供应链0879有限公司（演示）</t>
        </is>
      </c>
      <c r="C883" s="10" t="inlineStr">
        <is>
          <t>户外照明</t>
        </is>
      </c>
      <c r="D883" s="10" t="inlineStr">
        <is>
          <t>便携露营灯</t>
        </is>
      </c>
      <c r="E883" s="10" t="inlineStr">
        <is>
          <t>河南郑州</t>
        </is>
      </c>
      <c r="F883" s="10" t="inlineStr">
        <is>
          <t>1688</t>
        </is>
      </c>
      <c r="G883" s="10" t="inlineStr">
        <is>
          <t>吴经理</t>
        </is>
      </c>
      <c r="H883" s="10" t="inlineStr">
        <is>
          <t>000-0000-0879</t>
        </is>
      </c>
      <c r="I883" s="10" t="inlineStr">
        <is>
          <t>DEMO_GYS_0879</t>
        </is>
      </c>
      <c r="J883" s="11" t="n">
        <v>25.1</v>
      </c>
      <c r="K883" s="11" t="n">
        <v>42</v>
      </c>
      <c r="L883" s="12" t="n">
        <v>200</v>
      </c>
      <c r="M883" s="10" t="inlineStr">
        <is>
          <t>是</t>
        </is>
      </c>
      <c r="N883" s="10" t="inlineStr">
        <is>
          <t>否</t>
        </is>
      </c>
      <c r="O883" s="10" t="inlineStr">
        <is>
          <t>supplier0879@example.com</t>
        </is>
      </c>
      <c r="P883" s="10" t="inlineStr">
        <is>
          <t>https://example.com/supplier/0879</t>
        </is>
      </c>
      <c r="Q883" s="10">
        <f>IF(R883&gt;=85,"A",IF(R883&gt;=70,"B","C"))</f>
        <v/>
      </c>
      <c r="R883" s="13">
        <f>MIN(100,50+IF(M883="是",10,0)+IF(N883="是",10,0)+IF(L883&lt;=100,10,IF(L883&lt;=300,5,0))+IF(J883&lt;=20,10,IF(J883&lt;=50,5,0))+IF(K883-J883&lt;=20,5,0)+IF(F883="企业官网",5,0))</f>
        <v/>
      </c>
      <c r="S883" s="10">
        <f>IF(Q883="A","价格与起订量有优势，建议优先询盘",IF(Q883="B","条件较均衡，可作为备选","起订量或价格需要进一步确认"))</f>
        <v/>
      </c>
      <c r="T883" s="10" t="inlineStr">
        <is>
          <t>未联系</t>
        </is>
      </c>
      <c r="U883" s="10" t="inlineStr">
        <is>
          <t>虚构演示数据</t>
        </is>
      </c>
    </row>
    <row r="884" ht="21" customHeight="1">
      <c r="A884" s="10" t="inlineStr">
        <is>
          <t>GYS-0880</t>
        </is>
      </c>
      <c r="B884" s="10" t="inlineStr">
        <is>
          <t>宁波健康用品供应链0880有限公司（演示）</t>
        </is>
      </c>
      <c r="C884" s="10" t="inlineStr">
        <is>
          <t>健康用品</t>
        </is>
      </c>
      <c r="D884" s="10" t="inlineStr">
        <is>
          <t>热敷眼罩</t>
        </is>
      </c>
      <c r="E884" s="10" t="inlineStr">
        <is>
          <t>浙江宁波</t>
        </is>
      </c>
      <c r="F884" s="10" t="inlineStr">
        <is>
          <t>中国制造网</t>
        </is>
      </c>
      <c r="G884" s="10" t="inlineStr">
        <is>
          <t>陈经理</t>
        </is>
      </c>
      <c r="H884" s="10" t="inlineStr">
        <is>
          <t>000-0000-0880</t>
        </is>
      </c>
      <c r="I884" s="10" t="inlineStr">
        <is>
          <t>DEMO_GYS_0880</t>
        </is>
      </c>
      <c r="J884" s="11" t="n">
        <v>26.8</v>
      </c>
      <c r="K884" s="11" t="n">
        <v>44.8</v>
      </c>
      <c r="L884" s="12" t="n">
        <v>100</v>
      </c>
      <c r="M884" s="10" t="inlineStr">
        <is>
          <t>否</t>
        </is>
      </c>
      <c r="N884" s="10" t="inlineStr">
        <is>
          <t>是</t>
        </is>
      </c>
      <c r="O884" s="10" t="inlineStr">
        <is>
          <t>supplier0880@example.com</t>
        </is>
      </c>
      <c r="P884" s="10" t="inlineStr">
        <is>
          <t>https://example.com/supplier/0880</t>
        </is>
      </c>
      <c r="Q884" s="10">
        <f>IF(R884&gt;=85,"A",IF(R884&gt;=70,"B","C"))</f>
        <v/>
      </c>
      <c r="R884" s="13">
        <f>MIN(100,50+IF(M884="是",10,0)+IF(N884="是",10,0)+IF(L884&lt;=100,10,IF(L884&lt;=300,5,0))+IF(J884&lt;=20,10,IF(J884&lt;=50,5,0))+IF(K884-J884&lt;=20,5,0)+IF(F884="企业官网",5,0))</f>
        <v/>
      </c>
      <c r="S884" s="10">
        <f>IF(Q884="A","价格与起订量有优势，建议优先询盘",IF(Q884="B","条件较均衡，可作为备选","起订量或价格需要进一步确认"))</f>
        <v/>
      </c>
      <c r="T884" s="10" t="inlineStr">
        <is>
          <t>未联系</t>
        </is>
      </c>
      <c r="U884" s="10" t="inlineStr">
        <is>
          <t>虚构演示数据</t>
        </is>
      </c>
    </row>
    <row r="885" ht="21" customHeight="1">
      <c r="A885" s="10" t="inlineStr">
        <is>
          <t>GYS-0881</t>
        </is>
      </c>
      <c r="B885" s="10" t="inlineStr">
        <is>
          <t>深圳服饰内衣供应链0881有限公司（演示）</t>
        </is>
      </c>
      <c r="C885" s="10" t="inlineStr">
        <is>
          <t>服饰内衣</t>
        </is>
      </c>
      <c r="D885" s="10" t="inlineStr">
        <is>
          <t>防滑袜</t>
        </is>
      </c>
      <c r="E885" s="10" t="inlineStr">
        <is>
          <t>广东深圳</t>
        </is>
      </c>
      <c r="F885" s="10" t="inlineStr">
        <is>
          <t>企业官网</t>
        </is>
      </c>
      <c r="G885" s="10" t="inlineStr">
        <is>
          <t>林经理</t>
        </is>
      </c>
      <c r="H885" s="10" t="inlineStr">
        <is>
          <t>000-0000-0881</t>
        </is>
      </c>
      <c r="I885" s="10" t="inlineStr">
        <is>
          <t>DEMO_GYS_0881</t>
        </is>
      </c>
      <c r="J885" s="11" t="n">
        <v>28.5</v>
      </c>
      <c r="K885" s="11" t="n">
        <v>47.6</v>
      </c>
      <c r="L885" s="12" t="n">
        <v>50</v>
      </c>
      <c r="M885" s="10" t="inlineStr">
        <is>
          <t>是</t>
        </is>
      </c>
      <c r="N885" s="10" t="inlineStr">
        <is>
          <t>是</t>
        </is>
      </c>
      <c r="O885" s="10" t="inlineStr">
        <is>
          <t>supplier0881@example.com</t>
        </is>
      </c>
      <c r="P885" s="10" t="inlineStr">
        <is>
          <t>https://example.com/supplier/0881</t>
        </is>
      </c>
      <c r="Q885" s="10">
        <f>IF(R885&gt;=85,"A",IF(R885&gt;=70,"B","C"))</f>
        <v/>
      </c>
      <c r="R885" s="13">
        <f>MIN(100,50+IF(M885="是",10,0)+IF(N885="是",10,0)+IF(L885&lt;=100,10,IF(L885&lt;=300,5,0))+IF(J885&lt;=20,10,IF(J885&lt;=50,5,0))+IF(K885-J885&lt;=20,5,0)+IF(F885="企业官网",5,0))</f>
        <v/>
      </c>
      <c r="S885" s="10">
        <f>IF(Q885="A","价格与起订量有优势，建议优先询盘",IF(Q885="B","条件较均衡，可作为备选","起订量或价格需要进一步确认"))</f>
        <v/>
      </c>
      <c r="T885" s="10" t="inlineStr">
        <is>
          <t>未联系</t>
        </is>
      </c>
      <c r="U885" s="10" t="inlineStr">
        <is>
          <t>虚构演示数据</t>
        </is>
      </c>
    </row>
    <row r="886" ht="21" customHeight="1">
      <c r="A886" s="10" t="inlineStr">
        <is>
          <t>GYS-0882</t>
        </is>
      </c>
      <c r="B886" s="10" t="inlineStr">
        <is>
          <t>佛山家居日用供应链0882有限公司（演示）</t>
        </is>
      </c>
      <c r="C886" s="10" t="inlineStr">
        <is>
          <t>家居日用</t>
        </is>
      </c>
      <c r="D886" s="10" t="inlineStr">
        <is>
          <t>折叠收纳箱</t>
        </is>
      </c>
      <c r="E886" s="10" t="inlineStr">
        <is>
          <t>广东佛山</t>
        </is>
      </c>
      <c r="F886" s="10" t="inlineStr">
        <is>
          <t>义乌购</t>
        </is>
      </c>
      <c r="G886" s="10" t="inlineStr">
        <is>
          <t>王经理</t>
        </is>
      </c>
      <c r="H886" s="10" t="inlineStr">
        <is>
          <t>000-0000-0882</t>
        </is>
      </c>
      <c r="I886" s="10" t="inlineStr">
        <is>
          <t>DEMO_GYS_0882</t>
        </is>
      </c>
      <c r="J886" s="11" t="n">
        <v>30.2</v>
      </c>
      <c r="K886" s="11" t="n">
        <v>50.4</v>
      </c>
      <c r="L886" s="12" t="n">
        <v>20</v>
      </c>
      <c r="M886" s="10" t="inlineStr">
        <is>
          <t>是</t>
        </is>
      </c>
      <c r="N886" s="10" t="inlineStr">
        <is>
          <t>否</t>
        </is>
      </c>
      <c r="O886" s="10" t="inlineStr">
        <is>
          <t>supplier0882@example.com</t>
        </is>
      </c>
      <c r="P886" s="10" t="inlineStr">
        <is>
          <t>https://example.com/supplier/0882</t>
        </is>
      </c>
      <c r="Q886" s="10">
        <f>IF(R886&gt;=85,"A",IF(R886&gt;=70,"B","C"))</f>
        <v/>
      </c>
      <c r="R886" s="13">
        <f>MIN(100,50+IF(M886="是",10,0)+IF(N886="是",10,0)+IF(L886&lt;=100,10,IF(L886&lt;=300,5,0))+IF(J886&lt;=20,10,IF(J886&lt;=50,5,0))+IF(K886-J886&lt;=20,5,0)+IF(F886="企业官网",5,0))</f>
        <v/>
      </c>
      <c r="S886" s="10">
        <f>IF(Q886="A","价格与起订量有优势，建议优先询盘",IF(Q886="B","条件较均衡，可作为备选","起订量或价格需要进一步确认"))</f>
        <v/>
      </c>
      <c r="T886" s="10" t="inlineStr">
        <is>
          <t>未联系</t>
        </is>
      </c>
      <c r="U886" s="10" t="inlineStr">
        <is>
          <t>虚构演示数据</t>
        </is>
      </c>
    </row>
    <row r="887" ht="21" customHeight="1">
      <c r="A887" s="10" t="inlineStr">
        <is>
          <t>GYS-0883</t>
        </is>
      </c>
      <c r="B887" s="10" t="inlineStr">
        <is>
          <t>苏州个护清洁供应链0883有限公司（演示）</t>
        </is>
      </c>
      <c r="C887" s="10" t="inlineStr">
        <is>
          <t>个护清洁</t>
        </is>
      </c>
      <c r="D887" s="10" t="inlineStr">
        <is>
          <t>便携洗脸巾</t>
        </is>
      </c>
      <c r="E887" s="10" t="inlineStr">
        <is>
          <t>江苏苏州</t>
        </is>
      </c>
      <c r="F887" s="10" t="inlineStr">
        <is>
          <t>慧聪网</t>
        </is>
      </c>
      <c r="G887" s="10" t="inlineStr">
        <is>
          <t>李经理</t>
        </is>
      </c>
      <c r="H887" s="10" t="inlineStr">
        <is>
          <t>000-0000-0883</t>
        </is>
      </c>
      <c r="I887" s="10" t="inlineStr">
        <is>
          <t>DEMO_GYS_0883</t>
        </is>
      </c>
      <c r="J887" s="11" t="n">
        <v>31.9</v>
      </c>
      <c r="K887" s="11" t="n">
        <v>53.2</v>
      </c>
      <c r="L887" s="12" t="n">
        <v>500</v>
      </c>
      <c r="M887" s="10" t="inlineStr">
        <is>
          <t>是</t>
        </is>
      </c>
      <c r="N887" s="10" t="inlineStr">
        <is>
          <t>是</t>
        </is>
      </c>
      <c r="O887" s="10" t="inlineStr">
        <is>
          <t>supplier0883@example.com</t>
        </is>
      </c>
      <c r="P887" s="10" t="inlineStr">
        <is>
          <t>https://example.com/supplier/0883</t>
        </is>
      </c>
      <c r="Q887" s="10">
        <f>IF(R887&gt;=85,"A",IF(R887&gt;=70,"B","C"))</f>
        <v/>
      </c>
      <c r="R887" s="13">
        <f>MIN(100,50+IF(M887="是",10,0)+IF(N887="是",10,0)+IF(L887&lt;=100,10,IF(L887&lt;=300,5,0))+IF(J887&lt;=20,10,IF(J887&lt;=50,5,0))+IF(K887-J887&lt;=20,5,0)+IF(F887="企业官网",5,0))</f>
        <v/>
      </c>
      <c r="S887" s="10">
        <f>IF(Q887="A","价格与起订量有优势，建议优先询盘",IF(Q887="B","条件较均衡，可作为备选","起订量或价格需要进一步确认"))</f>
        <v/>
      </c>
      <c r="T887" s="10" t="inlineStr">
        <is>
          <t>未联系</t>
        </is>
      </c>
      <c r="U887" s="10" t="inlineStr">
        <is>
          <t>虚构演示数据</t>
        </is>
      </c>
    </row>
    <row r="888" ht="21" customHeight="1">
      <c r="A888" s="10" t="inlineStr">
        <is>
          <t>GYS-0884</t>
        </is>
      </c>
      <c r="B888" s="10" t="inlineStr">
        <is>
          <t>白沟厨房用品供应链0884有限公司（演示）</t>
        </is>
      </c>
      <c r="C888" s="10" t="inlineStr">
        <is>
          <t>厨房用品</t>
        </is>
      </c>
      <c r="D888" s="10" t="inlineStr">
        <is>
          <t>硅胶保鲜盒</t>
        </is>
      </c>
      <c r="E888" s="10" t="inlineStr">
        <is>
          <t>河北白沟</t>
        </is>
      </c>
      <c r="F888" s="10" t="inlineStr">
        <is>
          <t>1688</t>
        </is>
      </c>
      <c r="G888" s="10" t="inlineStr">
        <is>
          <t>张经理</t>
        </is>
      </c>
      <c r="H888" s="10" t="inlineStr">
        <is>
          <t>000-0000-0884</t>
        </is>
      </c>
      <c r="I888" s="10" t="inlineStr">
        <is>
          <t>DEMO_GYS_0884</t>
        </is>
      </c>
      <c r="J888" s="11" t="n">
        <v>33.6</v>
      </c>
      <c r="K888" s="11" t="n">
        <v>38</v>
      </c>
      <c r="L888" s="12" t="n">
        <v>300</v>
      </c>
      <c r="M888" s="10" t="inlineStr">
        <is>
          <t>否</t>
        </is>
      </c>
      <c r="N888" s="10" t="inlineStr">
        <is>
          <t>是</t>
        </is>
      </c>
      <c r="O888" s="10" t="inlineStr">
        <is>
          <t>supplier0884@example.com</t>
        </is>
      </c>
      <c r="P888" s="10" t="inlineStr">
        <is>
          <t>https://example.com/supplier/0884</t>
        </is>
      </c>
      <c r="Q888" s="10">
        <f>IF(R888&gt;=85,"A",IF(R888&gt;=70,"B","C"))</f>
        <v/>
      </c>
      <c r="R888" s="13">
        <f>MIN(100,50+IF(M888="是",10,0)+IF(N888="是",10,0)+IF(L888&lt;=100,10,IF(L888&lt;=300,5,0))+IF(J888&lt;=20,10,IF(J888&lt;=50,5,0))+IF(K888-J888&lt;=20,5,0)+IF(F888="企业官网",5,0))</f>
        <v/>
      </c>
      <c r="S888" s="10">
        <f>IF(Q888="A","价格与起订量有优势，建议优先询盘",IF(Q888="B","条件较均衡，可作为备选","起订量或价格需要进一步确认"))</f>
        <v/>
      </c>
      <c r="T888" s="10" t="inlineStr">
        <is>
          <t>未联系</t>
        </is>
      </c>
      <c r="U888" s="10" t="inlineStr">
        <is>
          <t>虚构演示数据</t>
        </is>
      </c>
    </row>
    <row r="889" ht="21" customHeight="1">
      <c r="A889" s="10" t="inlineStr">
        <is>
          <t>GYS-0885</t>
        </is>
      </c>
      <c r="B889" s="10" t="inlineStr">
        <is>
          <t>义乌数码配件供应链0885有限公司（演示）</t>
        </is>
      </c>
      <c r="C889" s="10" t="inlineStr">
        <is>
          <t>数码配件</t>
        </is>
      </c>
      <c r="D889" s="10" t="inlineStr">
        <is>
          <t>磁吸手机支架</t>
        </is>
      </c>
      <c r="E889" s="10" t="inlineStr">
        <is>
          <t>浙江义乌</t>
        </is>
      </c>
      <c r="F889" s="10" t="inlineStr">
        <is>
          <t>中国制造网</t>
        </is>
      </c>
      <c r="G889" s="10" t="inlineStr">
        <is>
          <t>刘经理</t>
        </is>
      </c>
      <c r="H889" s="10" t="inlineStr">
        <is>
          <t>000-0000-0885</t>
        </is>
      </c>
      <c r="I889" s="10" t="inlineStr">
        <is>
          <t>DEMO_GYS_0885</t>
        </is>
      </c>
      <c r="J889" s="11" t="n">
        <v>35.3</v>
      </c>
      <c r="K889" s="11" t="n">
        <v>40.8</v>
      </c>
      <c r="L889" s="12" t="n">
        <v>200</v>
      </c>
      <c r="M889" s="10" t="inlineStr">
        <is>
          <t>是</t>
        </is>
      </c>
      <c r="N889" s="10" t="inlineStr">
        <is>
          <t>否</t>
        </is>
      </c>
      <c r="O889" s="10" t="inlineStr">
        <is>
          <t>supplier0885@example.com</t>
        </is>
      </c>
      <c r="P889" s="10" t="inlineStr">
        <is>
          <t>https://example.com/supplier/0885</t>
        </is>
      </c>
      <c r="Q889" s="10">
        <f>IF(R889&gt;=85,"A",IF(R889&gt;=70,"B","C"))</f>
        <v/>
      </c>
      <c r="R889" s="13">
        <f>MIN(100,50+IF(M889="是",10,0)+IF(N889="是",10,0)+IF(L889&lt;=100,10,IF(L889&lt;=300,5,0))+IF(J889&lt;=20,10,IF(J889&lt;=50,5,0))+IF(K889-J889&lt;=20,5,0)+IF(F889="企业官网",5,0))</f>
        <v/>
      </c>
      <c r="S889" s="10">
        <f>IF(Q889="A","价格与起订量有优势，建议优先询盘",IF(Q889="B","条件较均衡，可作为备选","起订量或价格需要进一步确认"))</f>
        <v/>
      </c>
      <c r="T889" s="10" t="inlineStr">
        <is>
          <t>未联系</t>
        </is>
      </c>
      <c r="U889" s="10" t="inlineStr">
        <is>
          <t>虚构演示数据</t>
        </is>
      </c>
    </row>
    <row r="890" ht="21" customHeight="1">
      <c r="A890" s="10" t="inlineStr">
        <is>
          <t>GYS-0886</t>
        </is>
      </c>
      <c r="B890" s="10" t="inlineStr">
        <is>
          <t>台州宠物用品供应链0886有限公司（演示）</t>
        </is>
      </c>
      <c r="C890" s="10" t="inlineStr">
        <is>
          <t>宠物用品</t>
        </is>
      </c>
      <c r="D890" s="10" t="inlineStr">
        <is>
          <t>宠物清洁手套</t>
        </is>
      </c>
      <c r="E890" s="10" t="inlineStr">
        <is>
          <t>浙江台州</t>
        </is>
      </c>
      <c r="F890" s="10" t="inlineStr">
        <is>
          <t>企业官网</t>
        </is>
      </c>
      <c r="G890" s="10" t="inlineStr">
        <is>
          <t>黄经理</t>
        </is>
      </c>
      <c r="H890" s="10" t="inlineStr">
        <is>
          <t>000-0000-0886</t>
        </is>
      </c>
      <c r="I890" s="10" t="inlineStr">
        <is>
          <t>DEMO_GYS_0886</t>
        </is>
      </c>
      <c r="J890" s="11" t="n">
        <v>37</v>
      </c>
      <c r="K890" s="11" t="n">
        <v>43.6</v>
      </c>
      <c r="L890" s="12" t="n">
        <v>100</v>
      </c>
      <c r="M890" s="10" t="inlineStr">
        <is>
          <t>是</t>
        </is>
      </c>
      <c r="N890" s="10" t="inlineStr">
        <is>
          <t>是</t>
        </is>
      </c>
      <c r="O890" s="10" t="inlineStr">
        <is>
          <t>supplier0886@example.com</t>
        </is>
      </c>
      <c r="P890" s="10" t="inlineStr">
        <is>
          <t>https://example.com/supplier/0886</t>
        </is>
      </c>
      <c r="Q890" s="10">
        <f>IF(R890&gt;=85,"A",IF(R890&gt;=70,"B","C"))</f>
        <v/>
      </c>
      <c r="R890" s="13">
        <f>MIN(100,50+IF(M890="是",10,0)+IF(N890="是",10,0)+IF(L890&lt;=100,10,IF(L890&lt;=300,5,0))+IF(J890&lt;=20,10,IF(J890&lt;=50,5,0))+IF(K890-J890&lt;=20,5,0)+IF(F890="企业官网",5,0))</f>
        <v/>
      </c>
      <c r="S890" s="10">
        <f>IF(Q890="A","价格与起订量有优势，建议优先询盘",IF(Q890="B","条件较均衡，可作为备选","起订量或价格需要进一步确认"))</f>
        <v/>
      </c>
      <c r="T890" s="10" t="inlineStr">
        <is>
          <t>未联系</t>
        </is>
      </c>
      <c r="U890" s="10" t="inlineStr">
        <is>
          <t>虚构演示数据</t>
        </is>
      </c>
    </row>
    <row r="891" ht="21" customHeight="1">
      <c r="A891" s="10" t="inlineStr">
        <is>
          <t>GYS-0887</t>
        </is>
      </c>
      <c r="B891" s="10" t="inlineStr">
        <is>
          <t>东莞母婴用品供应链0887有限公司（演示）</t>
        </is>
      </c>
      <c r="C891" s="10" t="inlineStr">
        <is>
          <t>母婴用品</t>
        </is>
      </c>
      <c r="D891" s="10" t="inlineStr">
        <is>
          <t>婴儿防撞条</t>
        </is>
      </c>
      <c r="E891" s="10" t="inlineStr">
        <is>
          <t>广东东莞</t>
        </is>
      </c>
      <c r="F891" s="10" t="inlineStr">
        <is>
          <t>义乌购</t>
        </is>
      </c>
      <c r="G891" s="10" t="inlineStr">
        <is>
          <t>赵经理</t>
        </is>
      </c>
      <c r="H891" s="10" t="inlineStr">
        <is>
          <t>000-0000-0887</t>
        </is>
      </c>
      <c r="I891" s="10" t="inlineStr">
        <is>
          <t>DEMO_GYS_0887</t>
        </is>
      </c>
      <c r="J891" s="11" t="n">
        <v>38.7</v>
      </c>
      <c r="K891" s="11" t="n">
        <v>46.4</v>
      </c>
      <c r="L891" s="12" t="n">
        <v>50</v>
      </c>
      <c r="M891" s="10" t="inlineStr">
        <is>
          <t>是</t>
        </is>
      </c>
      <c r="N891" s="10" t="inlineStr">
        <is>
          <t>是</t>
        </is>
      </c>
      <c r="O891" s="10" t="inlineStr">
        <is>
          <t>supplier0887@example.com</t>
        </is>
      </c>
      <c r="P891" s="10" t="inlineStr">
        <is>
          <t>https://example.com/supplier/0887</t>
        </is>
      </c>
      <c r="Q891" s="10">
        <f>IF(R891&gt;=85,"A",IF(R891&gt;=70,"B","C"))</f>
        <v/>
      </c>
      <c r="R891" s="13">
        <f>MIN(100,50+IF(M891="是",10,0)+IF(N891="是",10,0)+IF(L891&lt;=100,10,IF(L891&lt;=300,5,0))+IF(J891&lt;=20,10,IF(J891&lt;=50,5,0))+IF(K891-J891&lt;=20,5,0)+IF(F891="企业官网",5,0))</f>
        <v/>
      </c>
      <c r="S891" s="10">
        <f>IF(Q891="A","价格与起订量有优势，建议优先询盘",IF(Q891="B","条件较均衡，可作为备选","起订量或价格需要进一步确认"))</f>
        <v/>
      </c>
      <c r="T891" s="10" t="inlineStr">
        <is>
          <t>未联系</t>
        </is>
      </c>
      <c r="U891" s="10" t="inlineStr">
        <is>
          <t>虚构演示数据</t>
        </is>
      </c>
    </row>
    <row r="892" ht="21" customHeight="1">
      <c r="A892" s="10" t="inlineStr">
        <is>
          <t>GYS-0888</t>
        </is>
      </c>
      <c r="B892" s="10" t="inlineStr">
        <is>
          <t>厦门运动户外供应链0888有限公司（演示）</t>
        </is>
      </c>
      <c r="C892" s="10" t="inlineStr">
        <is>
          <t>运动户外</t>
        </is>
      </c>
      <c r="D892" s="10" t="inlineStr">
        <is>
          <t>弹力训练带</t>
        </is>
      </c>
      <c r="E892" s="10" t="inlineStr">
        <is>
          <t>福建厦门</t>
        </is>
      </c>
      <c r="F892" s="10" t="inlineStr">
        <is>
          <t>慧聪网</t>
        </is>
      </c>
      <c r="G892" s="10" t="inlineStr">
        <is>
          <t>周经理</t>
        </is>
      </c>
      <c r="H892" s="10" t="inlineStr">
        <is>
          <t>000-0000-0888</t>
        </is>
      </c>
      <c r="I892" s="10" t="inlineStr">
        <is>
          <t>DEMO_GYS_0888</t>
        </is>
      </c>
      <c r="J892" s="11" t="n">
        <v>40.4</v>
      </c>
      <c r="K892" s="11" t="n">
        <v>49.2</v>
      </c>
      <c r="L892" s="12" t="n">
        <v>20</v>
      </c>
      <c r="M892" s="10" t="inlineStr">
        <is>
          <t>否</t>
        </is>
      </c>
      <c r="N892" s="10" t="inlineStr">
        <is>
          <t>否</t>
        </is>
      </c>
      <c r="O892" s="10" t="inlineStr">
        <is>
          <t>supplier0888@example.com</t>
        </is>
      </c>
      <c r="P892" s="10" t="inlineStr">
        <is>
          <t>https://example.com/supplier/0888</t>
        </is>
      </c>
      <c r="Q892" s="10">
        <f>IF(R892&gt;=85,"A",IF(R892&gt;=70,"B","C"))</f>
        <v/>
      </c>
      <c r="R892" s="13">
        <f>MIN(100,50+IF(M892="是",10,0)+IF(N892="是",10,0)+IF(L892&lt;=100,10,IF(L892&lt;=300,5,0))+IF(J892&lt;=20,10,IF(J892&lt;=50,5,0))+IF(K892-J892&lt;=20,5,0)+IF(F892="企业官网",5,0))</f>
        <v/>
      </c>
      <c r="S892" s="10">
        <f>IF(Q892="A","价格与起订量有优势，建议优先询盘",IF(Q892="B","条件较均衡，可作为备选","起订量或价格需要进一步确认"))</f>
        <v/>
      </c>
      <c r="T892" s="10" t="inlineStr">
        <is>
          <t>未联系</t>
        </is>
      </c>
      <c r="U892" s="10" t="inlineStr">
        <is>
          <t>虚构演示数据</t>
        </is>
      </c>
    </row>
    <row r="893" ht="21" customHeight="1">
      <c r="A893" s="10" t="inlineStr">
        <is>
          <t>GYS-0889</t>
        </is>
      </c>
      <c r="B893" s="10" t="inlineStr">
        <is>
          <t>临沂办公文具供应链0889有限公司（演示）</t>
        </is>
      </c>
      <c r="C893" s="10" t="inlineStr">
        <is>
          <t>办公文具</t>
        </is>
      </c>
      <c r="D893" s="10" t="inlineStr">
        <is>
          <t>桌面收纳架</t>
        </is>
      </c>
      <c r="E893" s="10" t="inlineStr">
        <is>
          <t>山东临沂</t>
        </is>
      </c>
      <c r="F893" s="10" t="inlineStr">
        <is>
          <t>1688</t>
        </is>
      </c>
      <c r="G893" s="10" t="inlineStr">
        <is>
          <t>吴经理</t>
        </is>
      </c>
      <c r="H893" s="10" t="inlineStr">
        <is>
          <t>000-0000-0889</t>
        </is>
      </c>
      <c r="I893" s="10" t="inlineStr">
        <is>
          <t>DEMO_GYS_0889</t>
        </is>
      </c>
      <c r="J893" s="11" t="n">
        <v>42.1</v>
      </c>
      <c r="K893" s="11" t="n">
        <v>52</v>
      </c>
      <c r="L893" s="12" t="n">
        <v>500</v>
      </c>
      <c r="M893" s="10" t="inlineStr">
        <is>
          <t>是</t>
        </is>
      </c>
      <c r="N893" s="10" t="inlineStr">
        <is>
          <t>是</t>
        </is>
      </c>
      <c r="O893" s="10" t="inlineStr">
        <is>
          <t>supplier0889@example.com</t>
        </is>
      </c>
      <c r="P893" s="10" t="inlineStr">
        <is>
          <t>https://example.com/supplier/0889</t>
        </is>
      </c>
      <c r="Q893" s="10">
        <f>IF(R893&gt;=85,"A",IF(R893&gt;=70,"B","C"))</f>
        <v/>
      </c>
      <c r="R893" s="13">
        <f>MIN(100,50+IF(M893="是",10,0)+IF(N893="是",10,0)+IF(L893&lt;=100,10,IF(L893&lt;=300,5,0))+IF(J893&lt;=20,10,IF(J893&lt;=50,5,0))+IF(K893-J893&lt;=20,5,0)+IF(F893="企业官网",5,0))</f>
        <v/>
      </c>
      <c r="S893" s="10">
        <f>IF(Q893="A","价格与起订量有优势，建议优先询盘",IF(Q893="B","条件较均衡，可作为备选","起订量或价格需要进一步确认"))</f>
        <v/>
      </c>
      <c r="T893" s="10" t="inlineStr">
        <is>
          <t>未联系</t>
        </is>
      </c>
      <c r="U893" s="10" t="inlineStr">
        <is>
          <t>虚构演示数据</t>
        </is>
      </c>
    </row>
    <row r="894" ht="21" customHeight="1">
      <c r="A894" s="10" t="inlineStr">
        <is>
          <t>GYS-0890</t>
        </is>
      </c>
      <c r="B894" s="10" t="inlineStr">
        <is>
          <t>南昌汽车用品供应链0890有限公司（演示）</t>
        </is>
      </c>
      <c r="C894" s="10" t="inlineStr">
        <is>
          <t>汽车用品</t>
        </is>
      </c>
      <c r="D894" s="10" t="inlineStr">
        <is>
          <t>车载香薰</t>
        </is>
      </c>
      <c r="E894" s="10" t="inlineStr">
        <is>
          <t>江西南昌</t>
        </is>
      </c>
      <c r="F894" s="10" t="inlineStr">
        <is>
          <t>中国制造网</t>
        </is>
      </c>
      <c r="G894" s="10" t="inlineStr">
        <is>
          <t>陈经理</t>
        </is>
      </c>
      <c r="H894" s="10" t="inlineStr">
        <is>
          <t>000-0000-0890</t>
        </is>
      </c>
      <c r="I894" s="10" t="inlineStr">
        <is>
          <t>DEMO_GYS_0890</t>
        </is>
      </c>
      <c r="J894" s="11" t="n">
        <v>43.8</v>
      </c>
      <c r="K894" s="11" t="n">
        <v>54.8</v>
      </c>
      <c r="L894" s="12" t="n">
        <v>300</v>
      </c>
      <c r="M894" s="10" t="inlineStr">
        <is>
          <t>是</t>
        </is>
      </c>
      <c r="N894" s="10" t="inlineStr">
        <is>
          <t>是</t>
        </is>
      </c>
      <c r="O894" s="10" t="inlineStr">
        <is>
          <t>supplier0890@example.com</t>
        </is>
      </c>
      <c r="P894" s="10" t="inlineStr">
        <is>
          <t>https://example.com/supplier/0890</t>
        </is>
      </c>
      <c r="Q894" s="10">
        <f>IF(R894&gt;=85,"A",IF(R894&gt;=70,"B","C"))</f>
        <v/>
      </c>
      <c r="R894" s="13">
        <f>MIN(100,50+IF(M894="是",10,0)+IF(N894="是",10,0)+IF(L894&lt;=100,10,IF(L894&lt;=300,5,0))+IF(J894&lt;=20,10,IF(J894&lt;=50,5,0))+IF(K894-J894&lt;=20,5,0)+IF(F894="企业官网",5,0))</f>
        <v/>
      </c>
      <c r="S894" s="10">
        <f>IF(Q894="A","价格与起订量有优势，建议优先询盘",IF(Q894="B","条件较均衡，可作为备选","起订量或价格需要进一步确认"))</f>
        <v/>
      </c>
      <c r="T894" s="10" t="inlineStr">
        <is>
          <t>未联系</t>
        </is>
      </c>
      <c r="U894" s="10" t="inlineStr">
        <is>
          <t>虚构演示数据</t>
        </is>
      </c>
    </row>
    <row r="895" ht="21" customHeight="1">
      <c r="A895" s="10" t="inlineStr">
        <is>
          <t>GYS-0891</t>
        </is>
      </c>
      <c r="B895" s="10" t="inlineStr">
        <is>
          <t>温州美容工具供应链0891有限公司（演示）</t>
        </is>
      </c>
      <c r="C895" s="10" t="inlineStr">
        <is>
          <t>美容工具</t>
        </is>
      </c>
      <c r="D895" s="10" t="inlineStr">
        <is>
          <t>便携化妆镜</t>
        </is>
      </c>
      <c r="E895" s="10" t="inlineStr">
        <is>
          <t>浙江温州</t>
        </is>
      </c>
      <c r="F895" s="10" t="inlineStr">
        <is>
          <t>企业官网</t>
        </is>
      </c>
      <c r="G895" s="10" t="inlineStr">
        <is>
          <t>林经理</t>
        </is>
      </c>
      <c r="H895" s="10" t="inlineStr">
        <is>
          <t>000-0000-0891</t>
        </is>
      </c>
      <c r="I895" s="10" t="inlineStr">
        <is>
          <t>DEMO_GYS_0891</t>
        </is>
      </c>
      <c r="J895" s="11" t="n">
        <v>45.5</v>
      </c>
      <c r="K895" s="11" t="n">
        <v>57.6</v>
      </c>
      <c r="L895" s="12" t="n">
        <v>200</v>
      </c>
      <c r="M895" s="10" t="inlineStr">
        <is>
          <t>是</t>
        </is>
      </c>
      <c r="N895" s="10" t="inlineStr">
        <is>
          <t>否</t>
        </is>
      </c>
      <c r="O895" s="10" t="inlineStr">
        <is>
          <t>supplier0891@example.com</t>
        </is>
      </c>
      <c r="P895" s="10" t="inlineStr">
        <is>
          <t>https://example.com/supplier/0891</t>
        </is>
      </c>
      <c r="Q895" s="10">
        <f>IF(R895&gt;=85,"A",IF(R895&gt;=70,"B","C"))</f>
        <v/>
      </c>
      <c r="R895" s="13">
        <f>MIN(100,50+IF(M895="是",10,0)+IF(N895="是",10,0)+IF(L895&lt;=100,10,IF(L895&lt;=300,5,0))+IF(J895&lt;=20,10,IF(J895&lt;=50,5,0))+IF(K895-J895&lt;=20,5,0)+IF(F895="企业官网",5,0))</f>
        <v/>
      </c>
      <c r="S895" s="10">
        <f>IF(Q895="A","价格与起订量有优势，建议优先询盘",IF(Q895="B","条件较均衡，可作为备选","起订量或价格需要进一步确认"))</f>
        <v/>
      </c>
      <c r="T895" s="10" t="inlineStr">
        <is>
          <t>未联系</t>
        </is>
      </c>
      <c r="U895" s="10" t="inlineStr">
        <is>
          <t>虚构演示数据</t>
        </is>
      </c>
    </row>
    <row r="896" ht="21" customHeight="1">
      <c r="A896" s="10" t="inlineStr">
        <is>
          <t>GYS-0892</t>
        </is>
      </c>
      <c r="B896" s="10" t="inlineStr">
        <is>
          <t>广州旅行用品供应链0892有限公司（演示）</t>
        </is>
      </c>
      <c r="C896" s="10" t="inlineStr">
        <is>
          <t>旅行用品</t>
        </is>
      </c>
      <c r="D896" s="10" t="inlineStr">
        <is>
          <t>压缩收纳袋</t>
        </is>
      </c>
      <c r="E896" s="10" t="inlineStr">
        <is>
          <t>广东广州</t>
        </is>
      </c>
      <c r="F896" s="10" t="inlineStr">
        <is>
          <t>义乌购</t>
        </is>
      </c>
      <c r="G896" s="10" t="inlineStr">
        <is>
          <t>王经理</t>
        </is>
      </c>
      <c r="H896" s="10" t="inlineStr">
        <is>
          <t>000-0000-0892</t>
        </is>
      </c>
      <c r="I896" s="10" t="inlineStr">
        <is>
          <t>DEMO_GYS_0892</t>
        </is>
      </c>
      <c r="J896" s="11" t="n">
        <v>47.2</v>
      </c>
      <c r="K896" s="11" t="n">
        <v>60.4</v>
      </c>
      <c r="L896" s="12" t="n">
        <v>100</v>
      </c>
      <c r="M896" s="10" t="inlineStr">
        <is>
          <t>否</t>
        </is>
      </c>
      <c r="N896" s="10" t="inlineStr">
        <is>
          <t>是</t>
        </is>
      </c>
      <c r="O896" s="10" t="inlineStr">
        <is>
          <t>supplier0892@example.com</t>
        </is>
      </c>
      <c r="P896" s="10" t="inlineStr">
        <is>
          <t>https://example.com/supplier/0892</t>
        </is>
      </c>
      <c r="Q896" s="10">
        <f>IF(R896&gt;=85,"A",IF(R896&gt;=70,"B","C"))</f>
        <v/>
      </c>
      <c r="R896" s="13">
        <f>MIN(100,50+IF(M896="是",10,0)+IF(N896="是",10,0)+IF(L896&lt;=100,10,IF(L896&lt;=300,5,0))+IF(J896&lt;=20,10,IF(J896&lt;=50,5,0))+IF(K896-J896&lt;=20,5,0)+IF(F896="企业官网",5,0))</f>
        <v/>
      </c>
      <c r="S896" s="10">
        <f>IF(Q896="A","价格与起订量有优势，建议优先询盘",IF(Q896="B","条件较均衡，可作为备选","起订量或价格需要进一步确认"))</f>
        <v/>
      </c>
      <c r="T896" s="10" t="inlineStr">
        <is>
          <t>未联系</t>
        </is>
      </c>
      <c r="U896" s="10" t="inlineStr">
        <is>
          <t>虚构演示数据</t>
        </is>
      </c>
    </row>
    <row r="897" ht="21" customHeight="1">
      <c r="A897" s="10" t="inlineStr">
        <is>
          <t>GYS-0893</t>
        </is>
      </c>
      <c r="B897" s="10" t="inlineStr">
        <is>
          <t>泉州清洁工具供应链0893有限公司（演示）</t>
        </is>
      </c>
      <c r="C897" s="10" t="inlineStr">
        <is>
          <t>清洁工具</t>
        </is>
      </c>
      <c r="D897" s="10" t="inlineStr">
        <is>
          <t>免手洗拖把</t>
        </is>
      </c>
      <c r="E897" s="10" t="inlineStr">
        <is>
          <t>福建泉州</t>
        </is>
      </c>
      <c r="F897" s="10" t="inlineStr">
        <is>
          <t>慧聪网</t>
        </is>
      </c>
      <c r="G897" s="10" t="inlineStr">
        <is>
          <t>李经理</t>
        </is>
      </c>
      <c r="H897" s="10" t="inlineStr">
        <is>
          <t>000-0000-0893</t>
        </is>
      </c>
      <c r="I897" s="10" t="inlineStr">
        <is>
          <t>DEMO_GYS_0893</t>
        </is>
      </c>
      <c r="J897" s="11" t="n">
        <v>2.9</v>
      </c>
      <c r="K897" s="11" t="n">
        <v>17.2</v>
      </c>
      <c r="L897" s="12" t="n">
        <v>50</v>
      </c>
      <c r="M897" s="10" t="inlineStr">
        <is>
          <t>是</t>
        </is>
      </c>
      <c r="N897" s="10" t="inlineStr">
        <is>
          <t>是</t>
        </is>
      </c>
      <c r="O897" s="10" t="inlineStr">
        <is>
          <t>supplier0893@example.com</t>
        </is>
      </c>
      <c r="P897" s="10" t="inlineStr">
        <is>
          <t>https://example.com/supplier/0893</t>
        </is>
      </c>
      <c r="Q897" s="10">
        <f>IF(R897&gt;=85,"A",IF(R897&gt;=70,"B","C"))</f>
        <v/>
      </c>
      <c r="R897" s="13">
        <f>MIN(100,50+IF(M897="是",10,0)+IF(N897="是",10,0)+IF(L897&lt;=100,10,IF(L897&lt;=300,5,0))+IF(J897&lt;=20,10,IF(J897&lt;=50,5,0))+IF(K897-J897&lt;=20,5,0)+IF(F897="企业官网",5,0))</f>
        <v/>
      </c>
      <c r="S897" s="10">
        <f>IF(Q897="A","价格与起订量有优势，建议优先询盘",IF(Q897="B","条件较均衡，可作为备选","起订量或价格需要进一步确认"))</f>
        <v/>
      </c>
      <c r="T897" s="10" t="inlineStr">
        <is>
          <t>未联系</t>
        </is>
      </c>
      <c r="U897" s="10" t="inlineStr">
        <is>
          <t>虚构演示数据</t>
        </is>
      </c>
    </row>
    <row r="898" ht="21" customHeight="1">
      <c r="A898" s="10" t="inlineStr">
        <is>
          <t>GYS-0894</t>
        </is>
      </c>
      <c r="B898" s="10" t="inlineStr">
        <is>
          <t>南通小家电供应链0894有限公司（演示）</t>
        </is>
      </c>
      <c r="C898" s="10" t="inlineStr">
        <is>
          <t>小家电</t>
        </is>
      </c>
      <c r="D898" s="10" t="inlineStr">
        <is>
          <t>迷你加湿器</t>
        </is>
      </c>
      <c r="E898" s="10" t="inlineStr">
        <is>
          <t>江苏南通</t>
        </is>
      </c>
      <c r="F898" s="10" t="inlineStr">
        <is>
          <t>1688</t>
        </is>
      </c>
      <c r="G898" s="10" t="inlineStr">
        <is>
          <t>张经理</t>
        </is>
      </c>
      <c r="H898" s="10" t="inlineStr">
        <is>
          <t>000-0000-0894</t>
        </is>
      </c>
      <c r="I898" s="10" t="inlineStr">
        <is>
          <t>DEMO_GYS_0894</t>
        </is>
      </c>
      <c r="J898" s="11" t="n">
        <v>4.6</v>
      </c>
      <c r="K898" s="11" t="n">
        <v>20</v>
      </c>
      <c r="L898" s="12" t="n">
        <v>20</v>
      </c>
      <c r="M898" s="10" t="inlineStr">
        <is>
          <t>是</t>
        </is>
      </c>
      <c r="N898" s="10" t="inlineStr">
        <is>
          <t>否</t>
        </is>
      </c>
      <c r="O898" s="10" t="inlineStr">
        <is>
          <t>supplier0894@example.com</t>
        </is>
      </c>
      <c r="P898" s="10" t="inlineStr">
        <is>
          <t>https://example.com/supplier/0894</t>
        </is>
      </c>
      <c r="Q898" s="10">
        <f>IF(R898&gt;=85,"A",IF(R898&gt;=70,"B","C"))</f>
        <v/>
      </c>
      <c r="R898" s="13">
        <f>MIN(100,50+IF(M898="是",10,0)+IF(N898="是",10,0)+IF(L898&lt;=100,10,IF(L898&lt;=300,5,0))+IF(J898&lt;=20,10,IF(J898&lt;=50,5,0))+IF(K898-J898&lt;=20,5,0)+IF(F898="企业官网",5,0))</f>
        <v/>
      </c>
      <c r="S898" s="10">
        <f>IF(Q898="A","价格与起订量有优势，建议优先询盘",IF(Q898="B","条件较均衡，可作为备选","起订量或价格需要进一步确认"))</f>
        <v/>
      </c>
      <c r="T898" s="10" t="inlineStr">
        <is>
          <t>未联系</t>
        </is>
      </c>
      <c r="U898" s="10" t="inlineStr">
        <is>
          <t>虚构演示数据</t>
        </is>
      </c>
    </row>
    <row r="899" ht="21" customHeight="1">
      <c r="A899" s="10" t="inlineStr">
        <is>
          <t>GYS-0895</t>
        </is>
      </c>
      <c r="B899" s="10" t="inlineStr">
        <is>
          <t>郑州礼品包装供应链0895有限公司（演示）</t>
        </is>
      </c>
      <c r="C899" s="10" t="inlineStr">
        <is>
          <t>礼品包装</t>
        </is>
      </c>
      <c r="D899" s="10" t="inlineStr">
        <is>
          <t>节日礼盒</t>
        </is>
      </c>
      <c r="E899" s="10" t="inlineStr">
        <is>
          <t>河南郑州</t>
        </is>
      </c>
      <c r="F899" s="10" t="inlineStr">
        <is>
          <t>中国制造网</t>
        </is>
      </c>
      <c r="G899" s="10" t="inlineStr">
        <is>
          <t>刘经理</t>
        </is>
      </c>
      <c r="H899" s="10" t="inlineStr">
        <is>
          <t>000-0000-0895</t>
        </is>
      </c>
      <c r="I899" s="10" t="inlineStr">
        <is>
          <t>DEMO_GYS_0895</t>
        </is>
      </c>
      <c r="J899" s="11" t="n">
        <v>6.3</v>
      </c>
      <c r="K899" s="11" t="n">
        <v>22.8</v>
      </c>
      <c r="L899" s="12" t="n">
        <v>500</v>
      </c>
      <c r="M899" s="10" t="inlineStr">
        <is>
          <t>是</t>
        </is>
      </c>
      <c r="N899" s="10" t="inlineStr">
        <is>
          <t>是</t>
        </is>
      </c>
      <c r="O899" s="10" t="inlineStr">
        <is>
          <t>supplier0895@example.com</t>
        </is>
      </c>
      <c r="P899" s="10" t="inlineStr">
        <is>
          <t>https://example.com/supplier/0895</t>
        </is>
      </c>
      <c r="Q899" s="10">
        <f>IF(R899&gt;=85,"A",IF(R899&gt;=70,"B","C"))</f>
        <v/>
      </c>
      <c r="R899" s="13">
        <f>MIN(100,50+IF(M899="是",10,0)+IF(N899="是",10,0)+IF(L899&lt;=100,10,IF(L899&lt;=300,5,0))+IF(J899&lt;=20,10,IF(J899&lt;=50,5,0))+IF(K899-J899&lt;=20,5,0)+IF(F899="企业官网",5,0))</f>
        <v/>
      </c>
      <c r="S899" s="10">
        <f>IF(Q899="A","价格与起订量有优势，建议优先询盘",IF(Q899="B","条件较均衡，可作为备选","起订量或价格需要进一步确认"))</f>
        <v/>
      </c>
      <c r="T899" s="10" t="inlineStr">
        <is>
          <t>未联系</t>
        </is>
      </c>
      <c r="U899" s="10" t="inlineStr">
        <is>
          <t>虚构演示数据</t>
        </is>
      </c>
    </row>
    <row r="900" ht="21" customHeight="1">
      <c r="A900" s="10" t="inlineStr">
        <is>
          <t>GYS-0896</t>
        </is>
      </c>
      <c r="B900" s="10" t="inlineStr">
        <is>
          <t>宁波五金工具供应链0896有限公司（演示）</t>
        </is>
      </c>
      <c r="C900" s="10" t="inlineStr">
        <is>
          <t>五金工具</t>
        </is>
      </c>
      <c r="D900" s="10" t="inlineStr">
        <is>
          <t>多功能螺丝刀</t>
        </is>
      </c>
      <c r="E900" s="10" t="inlineStr">
        <is>
          <t>浙江宁波</t>
        </is>
      </c>
      <c r="F900" s="10" t="inlineStr">
        <is>
          <t>企业官网</t>
        </is>
      </c>
      <c r="G900" s="10" t="inlineStr">
        <is>
          <t>黄经理</t>
        </is>
      </c>
      <c r="H900" s="10" t="inlineStr">
        <is>
          <t>000-0000-0896</t>
        </is>
      </c>
      <c r="I900" s="10" t="inlineStr">
        <is>
          <t>DEMO_GYS_0896</t>
        </is>
      </c>
      <c r="J900" s="11" t="n">
        <v>8</v>
      </c>
      <c r="K900" s="11" t="n">
        <v>25.6</v>
      </c>
      <c r="L900" s="12" t="n">
        <v>300</v>
      </c>
      <c r="M900" s="10" t="inlineStr">
        <is>
          <t>否</t>
        </is>
      </c>
      <c r="N900" s="10" t="inlineStr">
        <is>
          <t>是</t>
        </is>
      </c>
      <c r="O900" s="10" t="inlineStr">
        <is>
          <t>supplier0896@example.com</t>
        </is>
      </c>
      <c r="P900" s="10" t="inlineStr">
        <is>
          <t>https://example.com/supplier/0896</t>
        </is>
      </c>
      <c r="Q900" s="10">
        <f>IF(R900&gt;=85,"A",IF(R900&gt;=70,"B","C"))</f>
        <v/>
      </c>
      <c r="R900" s="13">
        <f>MIN(100,50+IF(M900="是",10,0)+IF(N900="是",10,0)+IF(L900&lt;=100,10,IF(L900&lt;=300,5,0))+IF(J900&lt;=20,10,IF(J900&lt;=50,5,0))+IF(K900-J900&lt;=20,5,0)+IF(F900="企业官网",5,0))</f>
        <v/>
      </c>
      <c r="S900" s="10">
        <f>IF(Q900="A","价格与起订量有优势，建议优先询盘",IF(Q900="B","条件较均衡，可作为备选","起订量或价格需要进一步确认"))</f>
        <v/>
      </c>
      <c r="T900" s="10" t="inlineStr">
        <is>
          <t>未联系</t>
        </is>
      </c>
      <c r="U900" s="10" t="inlineStr">
        <is>
          <t>虚构演示数据</t>
        </is>
      </c>
    </row>
    <row r="901" ht="21" customHeight="1">
      <c r="A901" s="10" t="inlineStr">
        <is>
          <t>GYS-0897</t>
        </is>
      </c>
      <c r="B901" s="10" t="inlineStr">
        <is>
          <t>深圳鞋靴配件供应链0897有限公司（演示）</t>
        </is>
      </c>
      <c r="C901" s="10" t="inlineStr">
        <is>
          <t>鞋靴配件</t>
        </is>
      </c>
      <c r="D901" s="10" t="inlineStr">
        <is>
          <t>防磨脚贴</t>
        </is>
      </c>
      <c r="E901" s="10" t="inlineStr">
        <is>
          <t>广东深圳</t>
        </is>
      </c>
      <c r="F901" s="10" t="inlineStr">
        <is>
          <t>义乌购</t>
        </is>
      </c>
      <c r="G901" s="10" t="inlineStr">
        <is>
          <t>赵经理</t>
        </is>
      </c>
      <c r="H901" s="10" t="inlineStr">
        <is>
          <t>000-0000-0897</t>
        </is>
      </c>
      <c r="I901" s="10" t="inlineStr">
        <is>
          <t>DEMO_GYS_0897</t>
        </is>
      </c>
      <c r="J901" s="11" t="n">
        <v>9.699999999999999</v>
      </c>
      <c r="K901" s="11" t="n">
        <v>28.4</v>
      </c>
      <c r="L901" s="12" t="n">
        <v>200</v>
      </c>
      <c r="M901" s="10" t="inlineStr">
        <is>
          <t>是</t>
        </is>
      </c>
      <c r="N901" s="10" t="inlineStr">
        <is>
          <t>否</t>
        </is>
      </c>
      <c r="O901" s="10" t="inlineStr">
        <is>
          <t>supplier0897@example.com</t>
        </is>
      </c>
      <c r="P901" s="10" t="inlineStr">
        <is>
          <t>https://example.com/supplier/0897</t>
        </is>
      </c>
      <c r="Q901" s="10">
        <f>IF(R901&gt;=85,"A",IF(R901&gt;=70,"B","C"))</f>
        <v/>
      </c>
      <c r="R901" s="13">
        <f>MIN(100,50+IF(M901="是",10,0)+IF(N901="是",10,0)+IF(L901&lt;=100,10,IF(L901&lt;=300,5,0))+IF(J901&lt;=20,10,IF(J901&lt;=50,5,0))+IF(K901-J901&lt;=20,5,0)+IF(F901="企业官网",5,0))</f>
        <v/>
      </c>
      <c r="S901" s="10">
        <f>IF(Q901="A","价格与起订量有优势，建议优先询盘",IF(Q901="B","条件较均衡，可作为备选","起订量或价格需要进一步确认"))</f>
        <v/>
      </c>
      <c r="T901" s="10" t="inlineStr">
        <is>
          <t>未联系</t>
        </is>
      </c>
      <c r="U901" s="10" t="inlineStr">
        <is>
          <t>虚构演示数据</t>
        </is>
      </c>
    </row>
    <row r="902" ht="21" customHeight="1">
      <c r="A902" s="10" t="inlineStr">
        <is>
          <t>GYS-0898</t>
        </is>
      </c>
      <c r="B902" s="10" t="inlineStr">
        <is>
          <t>佛山食品包装供应链0898有限公司（演示）</t>
        </is>
      </c>
      <c r="C902" s="10" t="inlineStr">
        <is>
          <t>食品包装</t>
        </is>
      </c>
      <c r="D902" s="10" t="inlineStr">
        <is>
          <t>密封包装袋</t>
        </is>
      </c>
      <c r="E902" s="10" t="inlineStr">
        <is>
          <t>广东佛山</t>
        </is>
      </c>
      <c r="F902" s="10" t="inlineStr">
        <is>
          <t>慧聪网</t>
        </is>
      </c>
      <c r="G902" s="10" t="inlineStr">
        <is>
          <t>周经理</t>
        </is>
      </c>
      <c r="H902" s="10" t="inlineStr">
        <is>
          <t>000-0000-0898</t>
        </is>
      </c>
      <c r="I902" s="10" t="inlineStr">
        <is>
          <t>DEMO_GYS_0898</t>
        </is>
      </c>
      <c r="J902" s="11" t="n">
        <v>11.4</v>
      </c>
      <c r="K902" s="11" t="n">
        <v>31.2</v>
      </c>
      <c r="L902" s="12" t="n">
        <v>100</v>
      </c>
      <c r="M902" s="10" t="inlineStr">
        <is>
          <t>是</t>
        </is>
      </c>
      <c r="N902" s="10" t="inlineStr">
        <is>
          <t>是</t>
        </is>
      </c>
      <c r="O902" s="10" t="inlineStr">
        <is>
          <t>supplier0898@example.com</t>
        </is>
      </c>
      <c r="P902" s="10" t="inlineStr">
        <is>
          <t>https://example.com/supplier/0898</t>
        </is>
      </c>
      <c r="Q902" s="10">
        <f>IF(R902&gt;=85,"A",IF(R902&gt;=70,"B","C"))</f>
        <v/>
      </c>
      <c r="R902" s="13">
        <f>MIN(100,50+IF(M902="是",10,0)+IF(N902="是",10,0)+IF(L902&lt;=100,10,IF(L902&lt;=300,5,0))+IF(J902&lt;=20,10,IF(J902&lt;=50,5,0))+IF(K902-J902&lt;=20,5,0)+IF(F902="企业官网",5,0))</f>
        <v/>
      </c>
      <c r="S902" s="10">
        <f>IF(Q902="A","价格与起订量有优势，建议优先询盘",IF(Q902="B","条件较均衡，可作为备选","起订量或价格需要进一步确认"))</f>
        <v/>
      </c>
      <c r="T902" s="10" t="inlineStr">
        <is>
          <t>未联系</t>
        </is>
      </c>
      <c r="U902" s="10" t="inlineStr">
        <is>
          <t>虚构演示数据</t>
        </is>
      </c>
    </row>
    <row r="903" ht="21" customHeight="1">
      <c r="A903" s="10" t="inlineStr">
        <is>
          <t>GYS-0899</t>
        </is>
      </c>
      <c r="B903" s="10" t="inlineStr">
        <is>
          <t>苏州户外照明供应链0899有限公司（演示）</t>
        </is>
      </c>
      <c r="C903" s="10" t="inlineStr">
        <is>
          <t>户外照明</t>
        </is>
      </c>
      <c r="D903" s="10" t="inlineStr">
        <is>
          <t>便携露营灯</t>
        </is>
      </c>
      <c r="E903" s="10" t="inlineStr">
        <is>
          <t>江苏苏州</t>
        </is>
      </c>
      <c r="F903" s="10" t="inlineStr">
        <is>
          <t>1688</t>
        </is>
      </c>
      <c r="G903" s="10" t="inlineStr">
        <is>
          <t>吴经理</t>
        </is>
      </c>
      <c r="H903" s="10" t="inlineStr">
        <is>
          <t>000-0000-0899</t>
        </is>
      </c>
      <c r="I903" s="10" t="inlineStr">
        <is>
          <t>DEMO_GYS_0899</t>
        </is>
      </c>
      <c r="J903" s="11" t="n">
        <v>13.1</v>
      </c>
      <c r="K903" s="11" t="n">
        <v>34</v>
      </c>
      <c r="L903" s="12" t="n">
        <v>50</v>
      </c>
      <c r="M903" s="10" t="inlineStr">
        <is>
          <t>是</t>
        </is>
      </c>
      <c r="N903" s="10" t="inlineStr">
        <is>
          <t>是</t>
        </is>
      </c>
      <c r="O903" s="10" t="inlineStr">
        <is>
          <t>supplier0899@example.com</t>
        </is>
      </c>
      <c r="P903" s="10" t="inlineStr">
        <is>
          <t>https://example.com/supplier/0899</t>
        </is>
      </c>
      <c r="Q903" s="10">
        <f>IF(R903&gt;=85,"A",IF(R903&gt;=70,"B","C"))</f>
        <v/>
      </c>
      <c r="R903" s="13">
        <f>MIN(100,50+IF(M903="是",10,0)+IF(N903="是",10,0)+IF(L903&lt;=100,10,IF(L903&lt;=300,5,0))+IF(J903&lt;=20,10,IF(J903&lt;=50,5,0))+IF(K903-J903&lt;=20,5,0)+IF(F903="企业官网",5,0))</f>
        <v/>
      </c>
      <c r="S903" s="10">
        <f>IF(Q903="A","价格与起订量有优势，建议优先询盘",IF(Q903="B","条件较均衡，可作为备选","起订量或价格需要进一步确认"))</f>
        <v/>
      </c>
      <c r="T903" s="10" t="inlineStr">
        <is>
          <t>未联系</t>
        </is>
      </c>
      <c r="U903" s="10" t="inlineStr">
        <is>
          <t>虚构演示数据</t>
        </is>
      </c>
    </row>
    <row r="904" ht="21" customHeight="1">
      <c r="A904" s="10" t="inlineStr">
        <is>
          <t>GYS-0900</t>
        </is>
      </c>
      <c r="B904" s="10" t="inlineStr">
        <is>
          <t>白沟健康用品供应链0900有限公司（演示）</t>
        </is>
      </c>
      <c r="C904" s="10" t="inlineStr">
        <is>
          <t>健康用品</t>
        </is>
      </c>
      <c r="D904" s="10" t="inlineStr">
        <is>
          <t>热敷眼罩</t>
        </is>
      </c>
      <c r="E904" s="10" t="inlineStr">
        <is>
          <t>河北白沟</t>
        </is>
      </c>
      <c r="F904" s="10" t="inlineStr">
        <is>
          <t>中国制造网</t>
        </is>
      </c>
      <c r="G904" s="10" t="inlineStr">
        <is>
          <t>陈经理</t>
        </is>
      </c>
      <c r="H904" s="10" t="inlineStr">
        <is>
          <t>000-0000-0900</t>
        </is>
      </c>
      <c r="I904" s="10" t="inlineStr">
        <is>
          <t>DEMO_GYS_0900</t>
        </is>
      </c>
      <c r="J904" s="11" t="n">
        <v>14.8</v>
      </c>
      <c r="K904" s="11" t="n">
        <v>18.8</v>
      </c>
      <c r="L904" s="12" t="n">
        <v>20</v>
      </c>
      <c r="M904" s="10" t="inlineStr">
        <is>
          <t>否</t>
        </is>
      </c>
      <c r="N904" s="10" t="inlineStr">
        <is>
          <t>否</t>
        </is>
      </c>
      <c r="O904" s="10" t="inlineStr">
        <is>
          <t>supplier0900@example.com</t>
        </is>
      </c>
      <c r="P904" s="10" t="inlineStr">
        <is>
          <t>https://example.com/supplier/0900</t>
        </is>
      </c>
      <c r="Q904" s="10">
        <f>IF(R904&gt;=85,"A",IF(R904&gt;=70,"B","C"))</f>
        <v/>
      </c>
      <c r="R904" s="13">
        <f>MIN(100,50+IF(M904="是",10,0)+IF(N904="是",10,0)+IF(L904&lt;=100,10,IF(L904&lt;=300,5,0))+IF(J904&lt;=20,10,IF(J904&lt;=50,5,0))+IF(K904-J904&lt;=20,5,0)+IF(F904="企业官网",5,0))</f>
        <v/>
      </c>
      <c r="S904" s="10">
        <f>IF(Q904="A","价格与起订量有优势，建议优先询盘",IF(Q904="B","条件较均衡，可作为备选","起订量或价格需要进一步确认"))</f>
        <v/>
      </c>
      <c r="T904" s="10" t="inlineStr">
        <is>
          <t>未联系</t>
        </is>
      </c>
      <c r="U904" s="10" t="inlineStr">
        <is>
          <t>虚构演示数据</t>
        </is>
      </c>
    </row>
    <row r="905" ht="21" customHeight="1">
      <c r="A905" s="10" t="inlineStr">
        <is>
          <t>GYS-0901</t>
        </is>
      </c>
      <c r="B905" s="10" t="inlineStr">
        <is>
          <t>义乌服饰内衣供应链0901有限公司（演示）</t>
        </is>
      </c>
      <c r="C905" s="10" t="inlineStr">
        <is>
          <t>服饰内衣</t>
        </is>
      </c>
      <c r="D905" s="10" t="inlineStr">
        <is>
          <t>防滑袜</t>
        </is>
      </c>
      <c r="E905" s="10" t="inlineStr">
        <is>
          <t>浙江义乌</t>
        </is>
      </c>
      <c r="F905" s="10" t="inlineStr">
        <is>
          <t>企业官网</t>
        </is>
      </c>
      <c r="G905" s="10" t="inlineStr">
        <is>
          <t>林经理</t>
        </is>
      </c>
      <c r="H905" s="10" t="inlineStr">
        <is>
          <t>000-0000-0901</t>
        </is>
      </c>
      <c r="I905" s="10" t="inlineStr">
        <is>
          <t>DEMO_GYS_0901</t>
        </is>
      </c>
      <c r="J905" s="11" t="n">
        <v>16.5</v>
      </c>
      <c r="K905" s="11" t="n">
        <v>21.6</v>
      </c>
      <c r="L905" s="12" t="n">
        <v>500</v>
      </c>
      <c r="M905" s="10" t="inlineStr">
        <is>
          <t>是</t>
        </is>
      </c>
      <c r="N905" s="10" t="inlineStr">
        <is>
          <t>是</t>
        </is>
      </c>
      <c r="O905" s="10" t="inlineStr">
        <is>
          <t>supplier0901@example.com</t>
        </is>
      </c>
      <c r="P905" s="10" t="inlineStr">
        <is>
          <t>https://example.com/supplier/0901</t>
        </is>
      </c>
      <c r="Q905" s="10">
        <f>IF(R905&gt;=85,"A",IF(R905&gt;=70,"B","C"))</f>
        <v/>
      </c>
      <c r="R905" s="13">
        <f>MIN(100,50+IF(M905="是",10,0)+IF(N905="是",10,0)+IF(L905&lt;=100,10,IF(L905&lt;=300,5,0))+IF(J905&lt;=20,10,IF(J905&lt;=50,5,0))+IF(K905-J905&lt;=20,5,0)+IF(F905="企业官网",5,0))</f>
        <v/>
      </c>
      <c r="S905" s="10">
        <f>IF(Q905="A","价格与起订量有优势，建议优先询盘",IF(Q905="B","条件较均衡，可作为备选","起订量或价格需要进一步确认"))</f>
        <v/>
      </c>
      <c r="T905" s="10" t="inlineStr">
        <is>
          <t>未联系</t>
        </is>
      </c>
      <c r="U905" s="10" t="inlineStr">
        <is>
          <t>虚构演示数据</t>
        </is>
      </c>
    </row>
    <row r="906" ht="21" customHeight="1">
      <c r="A906" s="10" t="inlineStr">
        <is>
          <t>GYS-0902</t>
        </is>
      </c>
      <c r="B906" s="10" t="inlineStr">
        <is>
          <t>台州家居日用供应链0902有限公司（演示）</t>
        </is>
      </c>
      <c r="C906" s="10" t="inlineStr">
        <is>
          <t>家居日用</t>
        </is>
      </c>
      <c r="D906" s="10" t="inlineStr">
        <is>
          <t>折叠收纳箱</t>
        </is>
      </c>
      <c r="E906" s="10" t="inlineStr">
        <is>
          <t>浙江台州</t>
        </is>
      </c>
      <c r="F906" s="10" t="inlineStr">
        <is>
          <t>义乌购</t>
        </is>
      </c>
      <c r="G906" s="10" t="inlineStr">
        <is>
          <t>王经理</t>
        </is>
      </c>
      <c r="H906" s="10" t="inlineStr">
        <is>
          <t>000-0000-0902</t>
        </is>
      </c>
      <c r="I906" s="10" t="inlineStr">
        <is>
          <t>DEMO_GYS_0902</t>
        </is>
      </c>
      <c r="J906" s="11" t="n">
        <v>18.2</v>
      </c>
      <c r="K906" s="11" t="n">
        <v>24.4</v>
      </c>
      <c r="L906" s="12" t="n">
        <v>300</v>
      </c>
      <c r="M906" s="10" t="inlineStr">
        <is>
          <t>是</t>
        </is>
      </c>
      <c r="N906" s="10" t="inlineStr">
        <is>
          <t>是</t>
        </is>
      </c>
      <c r="O906" s="10" t="inlineStr">
        <is>
          <t>supplier0902@example.com</t>
        </is>
      </c>
      <c r="P906" s="10" t="inlineStr">
        <is>
          <t>https://example.com/supplier/0902</t>
        </is>
      </c>
      <c r="Q906" s="10">
        <f>IF(R906&gt;=85,"A",IF(R906&gt;=70,"B","C"))</f>
        <v/>
      </c>
      <c r="R906" s="13">
        <f>MIN(100,50+IF(M906="是",10,0)+IF(N906="是",10,0)+IF(L906&lt;=100,10,IF(L906&lt;=300,5,0))+IF(J906&lt;=20,10,IF(J906&lt;=50,5,0))+IF(K906-J906&lt;=20,5,0)+IF(F906="企业官网",5,0))</f>
        <v/>
      </c>
      <c r="S906" s="10">
        <f>IF(Q906="A","价格与起订量有优势，建议优先询盘",IF(Q906="B","条件较均衡，可作为备选","起订量或价格需要进一步确认"))</f>
        <v/>
      </c>
      <c r="T906" s="10" t="inlineStr">
        <is>
          <t>未联系</t>
        </is>
      </c>
      <c r="U906" s="10" t="inlineStr">
        <is>
          <t>虚构演示数据</t>
        </is>
      </c>
    </row>
    <row r="907" ht="21" customHeight="1">
      <c r="A907" s="10" t="inlineStr">
        <is>
          <t>GYS-0903</t>
        </is>
      </c>
      <c r="B907" s="10" t="inlineStr">
        <is>
          <t>东莞个护清洁供应链0903有限公司（演示）</t>
        </is>
      </c>
      <c r="C907" s="10" t="inlineStr">
        <is>
          <t>个护清洁</t>
        </is>
      </c>
      <c r="D907" s="10" t="inlineStr">
        <is>
          <t>便携洗脸巾</t>
        </is>
      </c>
      <c r="E907" s="10" t="inlineStr">
        <is>
          <t>广东东莞</t>
        </is>
      </c>
      <c r="F907" s="10" t="inlineStr">
        <is>
          <t>慧聪网</t>
        </is>
      </c>
      <c r="G907" s="10" t="inlineStr">
        <is>
          <t>李经理</t>
        </is>
      </c>
      <c r="H907" s="10" t="inlineStr">
        <is>
          <t>000-0000-0903</t>
        </is>
      </c>
      <c r="I907" s="10" t="inlineStr">
        <is>
          <t>DEMO_GYS_0903</t>
        </is>
      </c>
      <c r="J907" s="11" t="n">
        <v>19.9</v>
      </c>
      <c r="K907" s="11" t="n">
        <v>27.2</v>
      </c>
      <c r="L907" s="12" t="n">
        <v>200</v>
      </c>
      <c r="M907" s="10" t="inlineStr">
        <is>
          <t>是</t>
        </is>
      </c>
      <c r="N907" s="10" t="inlineStr">
        <is>
          <t>否</t>
        </is>
      </c>
      <c r="O907" s="10" t="inlineStr">
        <is>
          <t>supplier0903@example.com</t>
        </is>
      </c>
      <c r="P907" s="10" t="inlineStr">
        <is>
          <t>https://example.com/supplier/0903</t>
        </is>
      </c>
      <c r="Q907" s="10">
        <f>IF(R907&gt;=85,"A",IF(R907&gt;=70,"B","C"))</f>
        <v/>
      </c>
      <c r="R907" s="13">
        <f>MIN(100,50+IF(M907="是",10,0)+IF(N907="是",10,0)+IF(L907&lt;=100,10,IF(L907&lt;=300,5,0))+IF(J907&lt;=20,10,IF(J907&lt;=50,5,0))+IF(K907-J907&lt;=20,5,0)+IF(F907="企业官网",5,0))</f>
        <v/>
      </c>
      <c r="S907" s="10">
        <f>IF(Q907="A","价格与起订量有优势，建议优先询盘",IF(Q907="B","条件较均衡，可作为备选","起订量或价格需要进一步确认"))</f>
        <v/>
      </c>
      <c r="T907" s="10" t="inlineStr">
        <is>
          <t>未联系</t>
        </is>
      </c>
      <c r="U907" s="10" t="inlineStr">
        <is>
          <t>虚构演示数据</t>
        </is>
      </c>
    </row>
    <row r="908" ht="21" customHeight="1">
      <c r="A908" s="10" t="inlineStr">
        <is>
          <t>GYS-0904</t>
        </is>
      </c>
      <c r="B908" s="10" t="inlineStr">
        <is>
          <t>厦门厨房用品供应链0904有限公司（演示）</t>
        </is>
      </c>
      <c r="C908" s="10" t="inlineStr">
        <is>
          <t>厨房用品</t>
        </is>
      </c>
      <c r="D908" s="10" t="inlineStr">
        <is>
          <t>硅胶保鲜盒</t>
        </is>
      </c>
      <c r="E908" s="10" t="inlineStr">
        <is>
          <t>福建厦门</t>
        </is>
      </c>
      <c r="F908" s="10" t="inlineStr">
        <is>
          <t>1688</t>
        </is>
      </c>
      <c r="G908" s="10" t="inlineStr">
        <is>
          <t>张经理</t>
        </is>
      </c>
      <c r="H908" s="10" t="inlineStr">
        <is>
          <t>000-0000-0904</t>
        </is>
      </c>
      <c r="I908" s="10" t="inlineStr">
        <is>
          <t>DEMO_GYS_0904</t>
        </is>
      </c>
      <c r="J908" s="11" t="n">
        <v>21.6</v>
      </c>
      <c r="K908" s="11" t="n">
        <v>30</v>
      </c>
      <c r="L908" s="12" t="n">
        <v>100</v>
      </c>
      <c r="M908" s="10" t="inlineStr">
        <is>
          <t>否</t>
        </is>
      </c>
      <c r="N908" s="10" t="inlineStr">
        <is>
          <t>是</t>
        </is>
      </c>
      <c r="O908" s="10" t="inlineStr">
        <is>
          <t>supplier0904@example.com</t>
        </is>
      </c>
      <c r="P908" s="10" t="inlineStr">
        <is>
          <t>https://example.com/supplier/0904</t>
        </is>
      </c>
      <c r="Q908" s="10">
        <f>IF(R908&gt;=85,"A",IF(R908&gt;=70,"B","C"))</f>
        <v/>
      </c>
      <c r="R908" s="13">
        <f>MIN(100,50+IF(M908="是",10,0)+IF(N908="是",10,0)+IF(L908&lt;=100,10,IF(L908&lt;=300,5,0))+IF(J908&lt;=20,10,IF(J908&lt;=50,5,0))+IF(K908-J908&lt;=20,5,0)+IF(F908="企业官网",5,0))</f>
        <v/>
      </c>
      <c r="S908" s="10">
        <f>IF(Q908="A","价格与起订量有优势，建议优先询盘",IF(Q908="B","条件较均衡，可作为备选","起订量或价格需要进一步确认"))</f>
        <v/>
      </c>
      <c r="T908" s="10" t="inlineStr">
        <is>
          <t>未联系</t>
        </is>
      </c>
      <c r="U908" s="10" t="inlineStr">
        <is>
          <t>虚构演示数据</t>
        </is>
      </c>
    </row>
    <row r="909" ht="21" customHeight="1">
      <c r="A909" s="10" t="inlineStr">
        <is>
          <t>GYS-0905</t>
        </is>
      </c>
      <c r="B909" s="10" t="inlineStr">
        <is>
          <t>临沂数码配件供应链0905有限公司（演示）</t>
        </is>
      </c>
      <c r="C909" s="10" t="inlineStr">
        <is>
          <t>数码配件</t>
        </is>
      </c>
      <c r="D909" s="10" t="inlineStr">
        <is>
          <t>磁吸手机支架</t>
        </is>
      </c>
      <c r="E909" s="10" t="inlineStr">
        <is>
          <t>山东临沂</t>
        </is>
      </c>
      <c r="F909" s="10" t="inlineStr">
        <is>
          <t>中国制造网</t>
        </is>
      </c>
      <c r="G909" s="10" t="inlineStr">
        <is>
          <t>刘经理</t>
        </is>
      </c>
      <c r="H909" s="10" t="inlineStr">
        <is>
          <t>000-0000-0905</t>
        </is>
      </c>
      <c r="I909" s="10" t="inlineStr">
        <is>
          <t>DEMO_GYS_0905</t>
        </is>
      </c>
      <c r="J909" s="11" t="n">
        <v>23.3</v>
      </c>
      <c r="K909" s="11" t="n">
        <v>32.8</v>
      </c>
      <c r="L909" s="12" t="n">
        <v>50</v>
      </c>
      <c r="M909" s="10" t="inlineStr">
        <is>
          <t>是</t>
        </is>
      </c>
      <c r="N909" s="10" t="inlineStr">
        <is>
          <t>是</t>
        </is>
      </c>
      <c r="O909" s="10" t="inlineStr">
        <is>
          <t>supplier0905@example.com</t>
        </is>
      </c>
      <c r="P909" s="10" t="inlineStr">
        <is>
          <t>https://example.com/supplier/0905</t>
        </is>
      </c>
      <c r="Q909" s="10">
        <f>IF(R909&gt;=85,"A",IF(R909&gt;=70,"B","C"))</f>
        <v/>
      </c>
      <c r="R909" s="13">
        <f>MIN(100,50+IF(M909="是",10,0)+IF(N909="是",10,0)+IF(L909&lt;=100,10,IF(L909&lt;=300,5,0))+IF(J909&lt;=20,10,IF(J909&lt;=50,5,0))+IF(K909-J909&lt;=20,5,0)+IF(F909="企业官网",5,0))</f>
        <v/>
      </c>
      <c r="S909" s="10">
        <f>IF(Q909="A","价格与起订量有优势，建议优先询盘",IF(Q909="B","条件较均衡，可作为备选","起订量或价格需要进一步确认"))</f>
        <v/>
      </c>
      <c r="T909" s="10" t="inlineStr">
        <is>
          <t>未联系</t>
        </is>
      </c>
      <c r="U909" s="10" t="inlineStr">
        <is>
          <t>虚构演示数据</t>
        </is>
      </c>
    </row>
    <row r="910" ht="21" customHeight="1">
      <c r="A910" s="10" t="inlineStr">
        <is>
          <t>GYS-0906</t>
        </is>
      </c>
      <c r="B910" s="10" t="inlineStr">
        <is>
          <t>南昌宠物用品供应链0906有限公司（演示）</t>
        </is>
      </c>
      <c r="C910" s="10" t="inlineStr">
        <is>
          <t>宠物用品</t>
        </is>
      </c>
      <c r="D910" s="10" t="inlineStr">
        <is>
          <t>宠物清洁手套</t>
        </is>
      </c>
      <c r="E910" s="10" t="inlineStr">
        <is>
          <t>江西南昌</t>
        </is>
      </c>
      <c r="F910" s="10" t="inlineStr">
        <is>
          <t>企业官网</t>
        </is>
      </c>
      <c r="G910" s="10" t="inlineStr">
        <is>
          <t>黄经理</t>
        </is>
      </c>
      <c r="H910" s="10" t="inlineStr">
        <is>
          <t>000-0000-0906</t>
        </is>
      </c>
      <c r="I910" s="10" t="inlineStr">
        <is>
          <t>DEMO_GYS_0906</t>
        </is>
      </c>
      <c r="J910" s="11" t="n">
        <v>25</v>
      </c>
      <c r="K910" s="11" t="n">
        <v>35.6</v>
      </c>
      <c r="L910" s="12" t="n">
        <v>20</v>
      </c>
      <c r="M910" s="10" t="inlineStr">
        <is>
          <t>是</t>
        </is>
      </c>
      <c r="N910" s="10" t="inlineStr">
        <is>
          <t>否</t>
        </is>
      </c>
      <c r="O910" s="10" t="inlineStr">
        <is>
          <t>supplier0906@example.com</t>
        </is>
      </c>
      <c r="P910" s="10" t="inlineStr">
        <is>
          <t>https://example.com/supplier/0906</t>
        </is>
      </c>
      <c r="Q910" s="10">
        <f>IF(R910&gt;=85,"A",IF(R910&gt;=70,"B","C"))</f>
        <v/>
      </c>
      <c r="R910" s="13">
        <f>MIN(100,50+IF(M910="是",10,0)+IF(N910="是",10,0)+IF(L910&lt;=100,10,IF(L910&lt;=300,5,0))+IF(J910&lt;=20,10,IF(J910&lt;=50,5,0))+IF(K910-J910&lt;=20,5,0)+IF(F910="企业官网",5,0))</f>
        <v/>
      </c>
      <c r="S910" s="10">
        <f>IF(Q910="A","价格与起订量有优势，建议优先询盘",IF(Q910="B","条件较均衡，可作为备选","起订量或价格需要进一步确认"))</f>
        <v/>
      </c>
      <c r="T910" s="10" t="inlineStr">
        <is>
          <t>未联系</t>
        </is>
      </c>
      <c r="U910" s="10" t="inlineStr">
        <is>
          <t>虚构演示数据</t>
        </is>
      </c>
    </row>
    <row r="911" ht="21" customHeight="1">
      <c r="A911" s="10" t="inlineStr">
        <is>
          <t>GYS-0907</t>
        </is>
      </c>
      <c r="B911" s="10" t="inlineStr">
        <is>
          <t>温州母婴用品供应链0907有限公司（演示）</t>
        </is>
      </c>
      <c r="C911" s="10" t="inlineStr">
        <is>
          <t>母婴用品</t>
        </is>
      </c>
      <c r="D911" s="10" t="inlineStr">
        <is>
          <t>婴儿防撞条</t>
        </is>
      </c>
      <c r="E911" s="10" t="inlineStr">
        <is>
          <t>浙江温州</t>
        </is>
      </c>
      <c r="F911" s="10" t="inlineStr">
        <is>
          <t>义乌购</t>
        </is>
      </c>
      <c r="G911" s="10" t="inlineStr">
        <is>
          <t>赵经理</t>
        </is>
      </c>
      <c r="H911" s="10" t="inlineStr">
        <is>
          <t>000-0000-0907</t>
        </is>
      </c>
      <c r="I911" s="10" t="inlineStr">
        <is>
          <t>DEMO_GYS_0907</t>
        </is>
      </c>
      <c r="J911" s="11" t="n">
        <v>26.7</v>
      </c>
      <c r="K911" s="11" t="n">
        <v>38.4</v>
      </c>
      <c r="L911" s="12" t="n">
        <v>500</v>
      </c>
      <c r="M911" s="10" t="inlineStr">
        <is>
          <t>是</t>
        </is>
      </c>
      <c r="N911" s="10" t="inlineStr">
        <is>
          <t>是</t>
        </is>
      </c>
      <c r="O911" s="10" t="inlineStr">
        <is>
          <t>supplier0907@example.com</t>
        </is>
      </c>
      <c r="P911" s="10" t="inlineStr">
        <is>
          <t>https://example.com/supplier/0907</t>
        </is>
      </c>
      <c r="Q911" s="10">
        <f>IF(R911&gt;=85,"A",IF(R911&gt;=70,"B","C"))</f>
        <v/>
      </c>
      <c r="R911" s="13">
        <f>MIN(100,50+IF(M911="是",10,0)+IF(N911="是",10,0)+IF(L911&lt;=100,10,IF(L911&lt;=300,5,0))+IF(J911&lt;=20,10,IF(J911&lt;=50,5,0))+IF(K911-J911&lt;=20,5,0)+IF(F911="企业官网",5,0))</f>
        <v/>
      </c>
      <c r="S911" s="10">
        <f>IF(Q911="A","价格与起订量有优势，建议优先询盘",IF(Q911="B","条件较均衡，可作为备选","起订量或价格需要进一步确认"))</f>
        <v/>
      </c>
      <c r="T911" s="10" t="inlineStr">
        <is>
          <t>未联系</t>
        </is>
      </c>
      <c r="U911" s="10" t="inlineStr">
        <is>
          <t>虚构演示数据</t>
        </is>
      </c>
    </row>
    <row r="912" ht="21" customHeight="1">
      <c r="A912" s="10" t="inlineStr">
        <is>
          <t>GYS-0908</t>
        </is>
      </c>
      <c r="B912" s="10" t="inlineStr">
        <is>
          <t>广州运动户外供应链0908有限公司（演示）</t>
        </is>
      </c>
      <c r="C912" s="10" t="inlineStr">
        <is>
          <t>运动户外</t>
        </is>
      </c>
      <c r="D912" s="10" t="inlineStr">
        <is>
          <t>弹力训练带</t>
        </is>
      </c>
      <c r="E912" s="10" t="inlineStr">
        <is>
          <t>广东广州</t>
        </is>
      </c>
      <c r="F912" s="10" t="inlineStr">
        <is>
          <t>慧聪网</t>
        </is>
      </c>
      <c r="G912" s="10" t="inlineStr">
        <is>
          <t>周经理</t>
        </is>
      </c>
      <c r="H912" s="10" t="inlineStr">
        <is>
          <t>000-0000-0908</t>
        </is>
      </c>
      <c r="I912" s="10" t="inlineStr">
        <is>
          <t>DEMO_GYS_0908</t>
        </is>
      </c>
      <c r="J912" s="11" t="n">
        <v>28.4</v>
      </c>
      <c r="K912" s="11" t="n">
        <v>41.2</v>
      </c>
      <c r="L912" s="12" t="n">
        <v>300</v>
      </c>
      <c r="M912" s="10" t="inlineStr">
        <is>
          <t>否</t>
        </is>
      </c>
      <c r="N912" s="10" t="inlineStr">
        <is>
          <t>是</t>
        </is>
      </c>
      <c r="O912" s="10" t="inlineStr">
        <is>
          <t>supplier0908@example.com</t>
        </is>
      </c>
      <c r="P912" s="10" t="inlineStr">
        <is>
          <t>https://example.com/supplier/0908</t>
        </is>
      </c>
      <c r="Q912" s="10">
        <f>IF(R912&gt;=85,"A",IF(R912&gt;=70,"B","C"))</f>
        <v/>
      </c>
      <c r="R912" s="13">
        <f>MIN(100,50+IF(M912="是",10,0)+IF(N912="是",10,0)+IF(L912&lt;=100,10,IF(L912&lt;=300,5,0))+IF(J912&lt;=20,10,IF(J912&lt;=50,5,0))+IF(K912-J912&lt;=20,5,0)+IF(F912="企业官网",5,0))</f>
        <v/>
      </c>
      <c r="S912" s="10">
        <f>IF(Q912="A","价格与起订量有优势，建议优先询盘",IF(Q912="B","条件较均衡，可作为备选","起订量或价格需要进一步确认"))</f>
        <v/>
      </c>
      <c r="T912" s="10" t="inlineStr">
        <is>
          <t>未联系</t>
        </is>
      </c>
      <c r="U912" s="10" t="inlineStr">
        <is>
          <t>虚构演示数据</t>
        </is>
      </c>
    </row>
    <row r="913" ht="21" customHeight="1">
      <c r="A913" s="10" t="inlineStr">
        <is>
          <t>GYS-0909</t>
        </is>
      </c>
      <c r="B913" s="10" t="inlineStr">
        <is>
          <t>泉州办公文具供应链0909有限公司（演示）</t>
        </is>
      </c>
      <c r="C913" s="10" t="inlineStr">
        <is>
          <t>办公文具</t>
        </is>
      </c>
      <c r="D913" s="10" t="inlineStr">
        <is>
          <t>桌面收纳架</t>
        </is>
      </c>
      <c r="E913" s="10" t="inlineStr">
        <is>
          <t>福建泉州</t>
        </is>
      </c>
      <c r="F913" s="10" t="inlineStr">
        <is>
          <t>1688</t>
        </is>
      </c>
      <c r="G913" s="10" t="inlineStr">
        <is>
          <t>吴经理</t>
        </is>
      </c>
      <c r="H913" s="10" t="inlineStr">
        <is>
          <t>000-0000-0909</t>
        </is>
      </c>
      <c r="I913" s="10" t="inlineStr">
        <is>
          <t>DEMO_GYS_0909</t>
        </is>
      </c>
      <c r="J913" s="11" t="n">
        <v>30.1</v>
      </c>
      <c r="K913" s="11" t="n">
        <v>44</v>
      </c>
      <c r="L913" s="12" t="n">
        <v>200</v>
      </c>
      <c r="M913" s="10" t="inlineStr">
        <is>
          <t>是</t>
        </is>
      </c>
      <c r="N913" s="10" t="inlineStr">
        <is>
          <t>否</t>
        </is>
      </c>
      <c r="O913" s="10" t="inlineStr">
        <is>
          <t>supplier0909@example.com</t>
        </is>
      </c>
      <c r="P913" s="10" t="inlineStr">
        <is>
          <t>https://example.com/supplier/0909</t>
        </is>
      </c>
      <c r="Q913" s="10">
        <f>IF(R913&gt;=85,"A",IF(R913&gt;=70,"B","C"))</f>
        <v/>
      </c>
      <c r="R913" s="13">
        <f>MIN(100,50+IF(M913="是",10,0)+IF(N913="是",10,0)+IF(L913&lt;=100,10,IF(L913&lt;=300,5,0))+IF(J913&lt;=20,10,IF(J913&lt;=50,5,0))+IF(K913-J913&lt;=20,5,0)+IF(F913="企业官网",5,0))</f>
        <v/>
      </c>
      <c r="S913" s="10">
        <f>IF(Q913="A","价格与起订量有优势，建议优先询盘",IF(Q913="B","条件较均衡，可作为备选","起订量或价格需要进一步确认"))</f>
        <v/>
      </c>
      <c r="T913" s="10" t="inlineStr">
        <is>
          <t>未联系</t>
        </is>
      </c>
      <c r="U913" s="10" t="inlineStr">
        <is>
          <t>虚构演示数据</t>
        </is>
      </c>
    </row>
    <row r="914" ht="21" customHeight="1">
      <c r="A914" s="10" t="inlineStr">
        <is>
          <t>GYS-0910</t>
        </is>
      </c>
      <c r="B914" s="10" t="inlineStr">
        <is>
          <t>南通汽车用品供应链0910有限公司（演示）</t>
        </is>
      </c>
      <c r="C914" s="10" t="inlineStr">
        <is>
          <t>汽车用品</t>
        </is>
      </c>
      <c r="D914" s="10" t="inlineStr">
        <is>
          <t>车载香薰</t>
        </is>
      </c>
      <c r="E914" s="10" t="inlineStr">
        <is>
          <t>江苏南通</t>
        </is>
      </c>
      <c r="F914" s="10" t="inlineStr">
        <is>
          <t>中国制造网</t>
        </is>
      </c>
      <c r="G914" s="10" t="inlineStr">
        <is>
          <t>陈经理</t>
        </is>
      </c>
      <c r="H914" s="10" t="inlineStr">
        <is>
          <t>000-0000-0910</t>
        </is>
      </c>
      <c r="I914" s="10" t="inlineStr">
        <is>
          <t>DEMO_GYS_0910</t>
        </is>
      </c>
      <c r="J914" s="11" t="n">
        <v>31.8</v>
      </c>
      <c r="K914" s="11" t="n">
        <v>46.8</v>
      </c>
      <c r="L914" s="12" t="n">
        <v>100</v>
      </c>
      <c r="M914" s="10" t="inlineStr">
        <is>
          <t>是</t>
        </is>
      </c>
      <c r="N914" s="10" t="inlineStr">
        <is>
          <t>是</t>
        </is>
      </c>
      <c r="O914" s="10" t="inlineStr">
        <is>
          <t>supplier0910@example.com</t>
        </is>
      </c>
      <c r="P914" s="10" t="inlineStr">
        <is>
          <t>https://example.com/supplier/0910</t>
        </is>
      </c>
      <c r="Q914" s="10">
        <f>IF(R914&gt;=85,"A",IF(R914&gt;=70,"B","C"))</f>
        <v/>
      </c>
      <c r="R914" s="13">
        <f>MIN(100,50+IF(M914="是",10,0)+IF(N914="是",10,0)+IF(L914&lt;=100,10,IF(L914&lt;=300,5,0))+IF(J914&lt;=20,10,IF(J914&lt;=50,5,0))+IF(K914-J914&lt;=20,5,0)+IF(F914="企业官网",5,0))</f>
        <v/>
      </c>
      <c r="S914" s="10">
        <f>IF(Q914="A","价格与起订量有优势，建议优先询盘",IF(Q914="B","条件较均衡，可作为备选","起订量或价格需要进一步确认"))</f>
        <v/>
      </c>
      <c r="T914" s="10" t="inlineStr">
        <is>
          <t>未联系</t>
        </is>
      </c>
      <c r="U914" s="10" t="inlineStr">
        <is>
          <t>虚构演示数据</t>
        </is>
      </c>
    </row>
    <row r="915" ht="21" customHeight="1">
      <c r="A915" s="10" t="inlineStr">
        <is>
          <t>GYS-0911</t>
        </is>
      </c>
      <c r="B915" s="10" t="inlineStr">
        <is>
          <t>郑州美容工具供应链0911有限公司（演示）</t>
        </is>
      </c>
      <c r="C915" s="10" t="inlineStr">
        <is>
          <t>美容工具</t>
        </is>
      </c>
      <c r="D915" s="10" t="inlineStr">
        <is>
          <t>便携化妆镜</t>
        </is>
      </c>
      <c r="E915" s="10" t="inlineStr">
        <is>
          <t>河南郑州</t>
        </is>
      </c>
      <c r="F915" s="10" t="inlineStr">
        <is>
          <t>企业官网</t>
        </is>
      </c>
      <c r="G915" s="10" t="inlineStr">
        <is>
          <t>林经理</t>
        </is>
      </c>
      <c r="H915" s="10" t="inlineStr">
        <is>
          <t>000-0000-0911</t>
        </is>
      </c>
      <c r="I915" s="10" t="inlineStr">
        <is>
          <t>DEMO_GYS_0911</t>
        </is>
      </c>
      <c r="J915" s="11" t="n">
        <v>33.5</v>
      </c>
      <c r="K915" s="11" t="n">
        <v>49.6</v>
      </c>
      <c r="L915" s="12" t="n">
        <v>50</v>
      </c>
      <c r="M915" s="10" t="inlineStr">
        <is>
          <t>是</t>
        </is>
      </c>
      <c r="N915" s="10" t="inlineStr">
        <is>
          <t>是</t>
        </is>
      </c>
      <c r="O915" s="10" t="inlineStr">
        <is>
          <t>supplier0911@example.com</t>
        </is>
      </c>
      <c r="P915" s="10" t="inlineStr">
        <is>
          <t>https://example.com/supplier/0911</t>
        </is>
      </c>
      <c r="Q915" s="10">
        <f>IF(R915&gt;=85,"A",IF(R915&gt;=70,"B","C"))</f>
        <v/>
      </c>
      <c r="R915" s="13">
        <f>MIN(100,50+IF(M915="是",10,0)+IF(N915="是",10,0)+IF(L915&lt;=100,10,IF(L915&lt;=300,5,0))+IF(J915&lt;=20,10,IF(J915&lt;=50,5,0))+IF(K915-J915&lt;=20,5,0)+IF(F915="企业官网",5,0))</f>
        <v/>
      </c>
      <c r="S915" s="10">
        <f>IF(Q915="A","价格与起订量有优势，建议优先询盘",IF(Q915="B","条件较均衡，可作为备选","起订量或价格需要进一步确认"))</f>
        <v/>
      </c>
      <c r="T915" s="10" t="inlineStr">
        <is>
          <t>未联系</t>
        </is>
      </c>
      <c r="U915" s="10" t="inlineStr">
        <is>
          <t>虚构演示数据</t>
        </is>
      </c>
    </row>
    <row r="916" ht="21" customHeight="1">
      <c r="A916" s="10" t="inlineStr">
        <is>
          <t>GYS-0912</t>
        </is>
      </c>
      <c r="B916" s="10" t="inlineStr">
        <is>
          <t>宁波旅行用品供应链0912有限公司（演示）</t>
        </is>
      </c>
      <c r="C916" s="10" t="inlineStr">
        <is>
          <t>旅行用品</t>
        </is>
      </c>
      <c r="D916" s="10" t="inlineStr">
        <is>
          <t>压缩收纳袋</t>
        </is>
      </c>
      <c r="E916" s="10" t="inlineStr">
        <is>
          <t>浙江宁波</t>
        </is>
      </c>
      <c r="F916" s="10" t="inlineStr">
        <is>
          <t>义乌购</t>
        </is>
      </c>
      <c r="G916" s="10" t="inlineStr">
        <is>
          <t>王经理</t>
        </is>
      </c>
      <c r="H916" s="10" t="inlineStr">
        <is>
          <t>000-0000-0912</t>
        </is>
      </c>
      <c r="I916" s="10" t="inlineStr">
        <is>
          <t>DEMO_GYS_0912</t>
        </is>
      </c>
      <c r="J916" s="11" t="n">
        <v>35.2</v>
      </c>
      <c r="K916" s="11" t="n">
        <v>52.4</v>
      </c>
      <c r="L916" s="12" t="n">
        <v>20</v>
      </c>
      <c r="M916" s="10" t="inlineStr">
        <is>
          <t>否</t>
        </is>
      </c>
      <c r="N916" s="10" t="inlineStr">
        <is>
          <t>否</t>
        </is>
      </c>
      <c r="O916" s="10" t="inlineStr">
        <is>
          <t>supplier0912@example.com</t>
        </is>
      </c>
      <c r="P916" s="10" t="inlineStr">
        <is>
          <t>https://example.com/supplier/0912</t>
        </is>
      </c>
      <c r="Q916" s="10">
        <f>IF(R916&gt;=85,"A",IF(R916&gt;=70,"B","C"))</f>
        <v/>
      </c>
      <c r="R916" s="13">
        <f>MIN(100,50+IF(M916="是",10,0)+IF(N916="是",10,0)+IF(L916&lt;=100,10,IF(L916&lt;=300,5,0))+IF(J916&lt;=20,10,IF(J916&lt;=50,5,0))+IF(K916-J916&lt;=20,5,0)+IF(F916="企业官网",5,0))</f>
        <v/>
      </c>
      <c r="S916" s="10">
        <f>IF(Q916="A","价格与起订量有优势，建议优先询盘",IF(Q916="B","条件较均衡，可作为备选","起订量或价格需要进一步确认"))</f>
        <v/>
      </c>
      <c r="T916" s="10" t="inlineStr">
        <is>
          <t>未联系</t>
        </is>
      </c>
      <c r="U916" s="10" t="inlineStr">
        <is>
          <t>虚构演示数据</t>
        </is>
      </c>
    </row>
    <row r="917" ht="21" customHeight="1">
      <c r="A917" s="10" t="inlineStr">
        <is>
          <t>GYS-0913</t>
        </is>
      </c>
      <c r="B917" s="10" t="inlineStr">
        <is>
          <t>深圳清洁工具供应链0913有限公司（演示）</t>
        </is>
      </c>
      <c r="C917" s="10" t="inlineStr">
        <is>
          <t>清洁工具</t>
        </is>
      </c>
      <c r="D917" s="10" t="inlineStr">
        <is>
          <t>免手洗拖把</t>
        </is>
      </c>
      <c r="E917" s="10" t="inlineStr">
        <is>
          <t>广东深圳</t>
        </is>
      </c>
      <c r="F917" s="10" t="inlineStr">
        <is>
          <t>慧聪网</t>
        </is>
      </c>
      <c r="G917" s="10" t="inlineStr">
        <is>
          <t>李经理</t>
        </is>
      </c>
      <c r="H917" s="10" t="inlineStr">
        <is>
          <t>000-0000-0913</t>
        </is>
      </c>
      <c r="I917" s="10" t="inlineStr">
        <is>
          <t>DEMO_GYS_0913</t>
        </is>
      </c>
      <c r="J917" s="11" t="n">
        <v>36.9</v>
      </c>
      <c r="K917" s="11" t="n">
        <v>55.2</v>
      </c>
      <c r="L917" s="12" t="n">
        <v>500</v>
      </c>
      <c r="M917" s="10" t="inlineStr">
        <is>
          <t>是</t>
        </is>
      </c>
      <c r="N917" s="10" t="inlineStr">
        <is>
          <t>是</t>
        </is>
      </c>
      <c r="O917" s="10" t="inlineStr">
        <is>
          <t>supplier0913@example.com</t>
        </is>
      </c>
      <c r="P917" s="10" t="inlineStr">
        <is>
          <t>https://example.com/supplier/0913</t>
        </is>
      </c>
      <c r="Q917" s="10">
        <f>IF(R917&gt;=85,"A",IF(R917&gt;=70,"B","C"))</f>
        <v/>
      </c>
      <c r="R917" s="13">
        <f>MIN(100,50+IF(M917="是",10,0)+IF(N917="是",10,0)+IF(L917&lt;=100,10,IF(L917&lt;=300,5,0))+IF(J917&lt;=20,10,IF(J917&lt;=50,5,0))+IF(K917-J917&lt;=20,5,0)+IF(F917="企业官网",5,0))</f>
        <v/>
      </c>
      <c r="S917" s="10">
        <f>IF(Q917="A","价格与起订量有优势，建议优先询盘",IF(Q917="B","条件较均衡，可作为备选","起订量或价格需要进一步确认"))</f>
        <v/>
      </c>
      <c r="T917" s="10" t="inlineStr">
        <is>
          <t>未联系</t>
        </is>
      </c>
      <c r="U917" s="10" t="inlineStr">
        <is>
          <t>虚构演示数据</t>
        </is>
      </c>
    </row>
    <row r="918" ht="21" customHeight="1">
      <c r="A918" s="10" t="inlineStr">
        <is>
          <t>GYS-0914</t>
        </is>
      </c>
      <c r="B918" s="10" t="inlineStr">
        <is>
          <t>佛山小家电供应链0914有限公司（演示）</t>
        </is>
      </c>
      <c r="C918" s="10" t="inlineStr">
        <is>
          <t>小家电</t>
        </is>
      </c>
      <c r="D918" s="10" t="inlineStr">
        <is>
          <t>迷你加湿器</t>
        </is>
      </c>
      <c r="E918" s="10" t="inlineStr">
        <is>
          <t>广东佛山</t>
        </is>
      </c>
      <c r="F918" s="10" t="inlineStr">
        <is>
          <t>1688</t>
        </is>
      </c>
      <c r="G918" s="10" t="inlineStr">
        <is>
          <t>张经理</t>
        </is>
      </c>
      <c r="H918" s="10" t="inlineStr">
        <is>
          <t>000-0000-0914</t>
        </is>
      </c>
      <c r="I918" s="10" t="inlineStr">
        <is>
          <t>DEMO_GYS_0914</t>
        </is>
      </c>
      <c r="J918" s="11" t="n">
        <v>38.6</v>
      </c>
      <c r="K918" s="11" t="n">
        <v>58</v>
      </c>
      <c r="L918" s="12" t="n">
        <v>300</v>
      </c>
      <c r="M918" s="10" t="inlineStr">
        <is>
          <t>是</t>
        </is>
      </c>
      <c r="N918" s="10" t="inlineStr">
        <is>
          <t>是</t>
        </is>
      </c>
      <c r="O918" s="10" t="inlineStr">
        <is>
          <t>supplier0914@example.com</t>
        </is>
      </c>
      <c r="P918" s="10" t="inlineStr">
        <is>
          <t>https://example.com/supplier/0914</t>
        </is>
      </c>
      <c r="Q918" s="10">
        <f>IF(R918&gt;=85,"A",IF(R918&gt;=70,"B","C"))</f>
        <v/>
      </c>
      <c r="R918" s="13">
        <f>MIN(100,50+IF(M918="是",10,0)+IF(N918="是",10,0)+IF(L918&lt;=100,10,IF(L918&lt;=300,5,0))+IF(J918&lt;=20,10,IF(J918&lt;=50,5,0))+IF(K918-J918&lt;=20,5,0)+IF(F918="企业官网",5,0))</f>
        <v/>
      </c>
      <c r="S918" s="10">
        <f>IF(Q918="A","价格与起订量有优势，建议优先询盘",IF(Q918="B","条件较均衡，可作为备选","起订量或价格需要进一步确认"))</f>
        <v/>
      </c>
      <c r="T918" s="10" t="inlineStr">
        <is>
          <t>未联系</t>
        </is>
      </c>
      <c r="U918" s="10" t="inlineStr">
        <is>
          <t>虚构演示数据</t>
        </is>
      </c>
    </row>
    <row r="919" ht="21" customHeight="1">
      <c r="A919" s="10" t="inlineStr">
        <is>
          <t>GYS-0915</t>
        </is>
      </c>
      <c r="B919" s="10" t="inlineStr">
        <is>
          <t>苏州礼品包装供应链0915有限公司（演示）</t>
        </is>
      </c>
      <c r="C919" s="10" t="inlineStr">
        <is>
          <t>礼品包装</t>
        </is>
      </c>
      <c r="D919" s="10" t="inlineStr">
        <is>
          <t>节日礼盒</t>
        </is>
      </c>
      <c r="E919" s="10" t="inlineStr">
        <is>
          <t>江苏苏州</t>
        </is>
      </c>
      <c r="F919" s="10" t="inlineStr">
        <is>
          <t>中国制造网</t>
        </is>
      </c>
      <c r="G919" s="10" t="inlineStr">
        <is>
          <t>刘经理</t>
        </is>
      </c>
      <c r="H919" s="10" t="inlineStr">
        <is>
          <t>000-0000-0915</t>
        </is>
      </c>
      <c r="I919" s="10" t="inlineStr">
        <is>
          <t>DEMO_GYS_0915</t>
        </is>
      </c>
      <c r="J919" s="11" t="n">
        <v>40.3</v>
      </c>
      <c r="K919" s="11" t="n">
        <v>60.8</v>
      </c>
      <c r="L919" s="12" t="n">
        <v>200</v>
      </c>
      <c r="M919" s="10" t="inlineStr">
        <is>
          <t>是</t>
        </is>
      </c>
      <c r="N919" s="10" t="inlineStr">
        <is>
          <t>否</t>
        </is>
      </c>
      <c r="O919" s="10" t="inlineStr">
        <is>
          <t>supplier0915@example.com</t>
        </is>
      </c>
      <c r="P919" s="10" t="inlineStr">
        <is>
          <t>https://example.com/supplier/0915</t>
        </is>
      </c>
      <c r="Q919" s="10">
        <f>IF(R919&gt;=85,"A",IF(R919&gt;=70,"B","C"))</f>
        <v/>
      </c>
      <c r="R919" s="13">
        <f>MIN(100,50+IF(M919="是",10,0)+IF(N919="是",10,0)+IF(L919&lt;=100,10,IF(L919&lt;=300,5,0))+IF(J919&lt;=20,10,IF(J919&lt;=50,5,0))+IF(K919-J919&lt;=20,5,0)+IF(F919="企业官网",5,0))</f>
        <v/>
      </c>
      <c r="S919" s="10">
        <f>IF(Q919="A","价格与起订量有优势，建议优先询盘",IF(Q919="B","条件较均衡，可作为备选","起订量或价格需要进一步确认"))</f>
        <v/>
      </c>
      <c r="T919" s="10" t="inlineStr">
        <is>
          <t>未联系</t>
        </is>
      </c>
      <c r="U919" s="10" t="inlineStr">
        <is>
          <t>虚构演示数据</t>
        </is>
      </c>
    </row>
    <row r="920" ht="21" customHeight="1">
      <c r="A920" s="10" t="inlineStr">
        <is>
          <t>GYS-0916</t>
        </is>
      </c>
      <c r="B920" s="10" t="inlineStr">
        <is>
          <t>白沟五金工具供应链0916有限公司（演示）</t>
        </is>
      </c>
      <c r="C920" s="10" t="inlineStr">
        <is>
          <t>五金工具</t>
        </is>
      </c>
      <c r="D920" s="10" t="inlineStr">
        <is>
          <t>多功能螺丝刀</t>
        </is>
      </c>
      <c r="E920" s="10" t="inlineStr">
        <is>
          <t>河北白沟</t>
        </is>
      </c>
      <c r="F920" s="10" t="inlineStr">
        <is>
          <t>企业官网</t>
        </is>
      </c>
      <c r="G920" s="10" t="inlineStr">
        <is>
          <t>黄经理</t>
        </is>
      </c>
      <c r="H920" s="10" t="inlineStr">
        <is>
          <t>000-0000-0916</t>
        </is>
      </c>
      <c r="I920" s="10" t="inlineStr">
        <is>
          <t>DEMO_GYS_0916</t>
        </is>
      </c>
      <c r="J920" s="11" t="n">
        <v>42</v>
      </c>
      <c r="K920" s="11" t="n">
        <v>63.6</v>
      </c>
      <c r="L920" s="12" t="n">
        <v>100</v>
      </c>
      <c r="M920" s="10" t="inlineStr">
        <is>
          <t>否</t>
        </is>
      </c>
      <c r="N920" s="10" t="inlineStr">
        <is>
          <t>是</t>
        </is>
      </c>
      <c r="O920" s="10" t="inlineStr">
        <is>
          <t>supplier0916@example.com</t>
        </is>
      </c>
      <c r="P920" s="10" t="inlineStr">
        <is>
          <t>https://example.com/supplier/0916</t>
        </is>
      </c>
      <c r="Q920" s="10">
        <f>IF(R920&gt;=85,"A",IF(R920&gt;=70,"B","C"))</f>
        <v/>
      </c>
      <c r="R920" s="13">
        <f>MIN(100,50+IF(M920="是",10,0)+IF(N920="是",10,0)+IF(L920&lt;=100,10,IF(L920&lt;=300,5,0))+IF(J920&lt;=20,10,IF(J920&lt;=50,5,0))+IF(K920-J920&lt;=20,5,0)+IF(F920="企业官网",5,0))</f>
        <v/>
      </c>
      <c r="S920" s="10">
        <f>IF(Q920="A","价格与起订量有优势，建议优先询盘",IF(Q920="B","条件较均衡，可作为备选","起订量或价格需要进一步确认"))</f>
        <v/>
      </c>
      <c r="T920" s="10" t="inlineStr">
        <is>
          <t>未联系</t>
        </is>
      </c>
      <c r="U920" s="10" t="inlineStr">
        <is>
          <t>虚构演示数据</t>
        </is>
      </c>
    </row>
    <row r="921" ht="21" customHeight="1">
      <c r="A921" s="10" t="inlineStr">
        <is>
          <t>GYS-0917</t>
        </is>
      </c>
      <c r="B921" s="10" t="inlineStr">
        <is>
          <t>义乌鞋靴配件供应链0917有限公司（演示）</t>
        </is>
      </c>
      <c r="C921" s="10" t="inlineStr">
        <is>
          <t>鞋靴配件</t>
        </is>
      </c>
      <c r="D921" s="10" t="inlineStr">
        <is>
          <t>防磨脚贴</t>
        </is>
      </c>
      <c r="E921" s="10" t="inlineStr">
        <is>
          <t>浙江义乌</t>
        </is>
      </c>
      <c r="F921" s="10" t="inlineStr">
        <is>
          <t>义乌购</t>
        </is>
      </c>
      <c r="G921" s="10" t="inlineStr">
        <is>
          <t>赵经理</t>
        </is>
      </c>
      <c r="H921" s="10" t="inlineStr">
        <is>
          <t>000-0000-0917</t>
        </is>
      </c>
      <c r="I921" s="10" t="inlineStr">
        <is>
          <t>DEMO_GYS_0917</t>
        </is>
      </c>
      <c r="J921" s="11" t="n">
        <v>43.7</v>
      </c>
      <c r="K921" s="11" t="n">
        <v>48.4</v>
      </c>
      <c r="L921" s="12" t="n">
        <v>50</v>
      </c>
      <c r="M921" s="10" t="inlineStr">
        <is>
          <t>是</t>
        </is>
      </c>
      <c r="N921" s="10" t="inlineStr">
        <is>
          <t>是</t>
        </is>
      </c>
      <c r="O921" s="10" t="inlineStr">
        <is>
          <t>supplier0917@example.com</t>
        </is>
      </c>
      <c r="P921" s="10" t="inlineStr">
        <is>
          <t>https://example.com/supplier/0917</t>
        </is>
      </c>
      <c r="Q921" s="10">
        <f>IF(R921&gt;=85,"A",IF(R921&gt;=70,"B","C"))</f>
        <v/>
      </c>
      <c r="R921" s="13">
        <f>MIN(100,50+IF(M921="是",10,0)+IF(N921="是",10,0)+IF(L921&lt;=100,10,IF(L921&lt;=300,5,0))+IF(J921&lt;=20,10,IF(J921&lt;=50,5,0))+IF(K921-J921&lt;=20,5,0)+IF(F921="企业官网",5,0))</f>
        <v/>
      </c>
      <c r="S921" s="10">
        <f>IF(Q921="A","价格与起订量有优势，建议优先询盘",IF(Q921="B","条件较均衡，可作为备选","起订量或价格需要进一步确认"))</f>
        <v/>
      </c>
      <c r="T921" s="10" t="inlineStr">
        <is>
          <t>未联系</t>
        </is>
      </c>
      <c r="U921" s="10" t="inlineStr">
        <is>
          <t>虚构演示数据</t>
        </is>
      </c>
    </row>
    <row r="922" ht="21" customHeight="1">
      <c r="A922" s="10" t="inlineStr">
        <is>
          <t>GYS-0918</t>
        </is>
      </c>
      <c r="B922" s="10" t="inlineStr">
        <is>
          <t>台州食品包装供应链0918有限公司（演示）</t>
        </is>
      </c>
      <c r="C922" s="10" t="inlineStr">
        <is>
          <t>食品包装</t>
        </is>
      </c>
      <c r="D922" s="10" t="inlineStr">
        <is>
          <t>密封包装袋</t>
        </is>
      </c>
      <c r="E922" s="10" t="inlineStr">
        <is>
          <t>浙江台州</t>
        </is>
      </c>
      <c r="F922" s="10" t="inlineStr">
        <is>
          <t>慧聪网</t>
        </is>
      </c>
      <c r="G922" s="10" t="inlineStr">
        <is>
          <t>周经理</t>
        </is>
      </c>
      <c r="H922" s="10" t="inlineStr">
        <is>
          <t>000-0000-0918</t>
        </is>
      </c>
      <c r="I922" s="10" t="inlineStr">
        <is>
          <t>DEMO_GYS_0918</t>
        </is>
      </c>
      <c r="J922" s="11" t="n">
        <v>45.4</v>
      </c>
      <c r="K922" s="11" t="n">
        <v>51.2</v>
      </c>
      <c r="L922" s="12" t="n">
        <v>20</v>
      </c>
      <c r="M922" s="10" t="inlineStr">
        <is>
          <t>是</t>
        </is>
      </c>
      <c r="N922" s="10" t="inlineStr">
        <is>
          <t>否</t>
        </is>
      </c>
      <c r="O922" s="10" t="inlineStr">
        <is>
          <t>supplier0918@example.com</t>
        </is>
      </c>
      <c r="P922" s="10" t="inlineStr">
        <is>
          <t>https://example.com/supplier/0918</t>
        </is>
      </c>
      <c r="Q922" s="10">
        <f>IF(R922&gt;=85,"A",IF(R922&gt;=70,"B","C"))</f>
        <v/>
      </c>
      <c r="R922" s="13">
        <f>MIN(100,50+IF(M922="是",10,0)+IF(N922="是",10,0)+IF(L922&lt;=100,10,IF(L922&lt;=300,5,0))+IF(J922&lt;=20,10,IF(J922&lt;=50,5,0))+IF(K922-J922&lt;=20,5,0)+IF(F922="企业官网",5,0))</f>
        <v/>
      </c>
      <c r="S922" s="10">
        <f>IF(Q922="A","价格与起订量有优势，建议优先询盘",IF(Q922="B","条件较均衡，可作为备选","起订量或价格需要进一步确认"))</f>
        <v/>
      </c>
      <c r="T922" s="10" t="inlineStr">
        <is>
          <t>未联系</t>
        </is>
      </c>
      <c r="U922" s="10" t="inlineStr">
        <is>
          <t>虚构演示数据</t>
        </is>
      </c>
    </row>
    <row r="923" ht="21" customHeight="1">
      <c r="A923" s="10" t="inlineStr">
        <is>
          <t>GYS-0919</t>
        </is>
      </c>
      <c r="B923" s="10" t="inlineStr">
        <is>
          <t>东莞户外照明供应链0919有限公司（演示）</t>
        </is>
      </c>
      <c r="C923" s="10" t="inlineStr">
        <is>
          <t>户外照明</t>
        </is>
      </c>
      <c r="D923" s="10" t="inlineStr">
        <is>
          <t>便携露营灯</t>
        </is>
      </c>
      <c r="E923" s="10" t="inlineStr">
        <is>
          <t>广东东莞</t>
        </is>
      </c>
      <c r="F923" s="10" t="inlineStr">
        <is>
          <t>1688</t>
        </is>
      </c>
      <c r="G923" s="10" t="inlineStr">
        <is>
          <t>吴经理</t>
        </is>
      </c>
      <c r="H923" s="10" t="inlineStr">
        <is>
          <t>000-0000-0919</t>
        </is>
      </c>
      <c r="I923" s="10" t="inlineStr">
        <is>
          <t>DEMO_GYS_0919</t>
        </is>
      </c>
      <c r="J923" s="11" t="n">
        <v>47.1</v>
      </c>
      <c r="K923" s="11" t="n">
        <v>54</v>
      </c>
      <c r="L923" s="12" t="n">
        <v>500</v>
      </c>
      <c r="M923" s="10" t="inlineStr">
        <is>
          <t>是</t>
        </is>
      </c>
      <c r="N923" s="10" t="inlineStr">
        <is>
          <t>是</t>
        </is>
      </c>
      <c r="O923" s="10" t="inlineStr">
        <is>
          <t>supplier0919@example.com</t>
        </is>
      </c>
      <c r="P923" s="10" t="inlineStr">
        <is>
          <t>https://example.com/supplier/0919</t>
        </is>
      </c>
      <c r="Q923" s="10">
        <f>IF(R923&gt;=85,"A",IF(R923&gt;=70,"B","C"))</f>
        <v/>
      </c>
      <c r="R923" s="13">
        <f>MIN(100,50+IF(M923="是",10,0)+IF(N923="是",10,0)+IF(L923&lt;=100,10,IF(L923&lt;=300,5,0))+IF(J923&lt;=20,10,IF(J923&lt;=50,5,0))+IF(K923-J923&lt;=20,5,0)+IF(F923="企业官网",5,0))</f>
        <v/>
      </c>
      <c r="S923" s="10">
        <f>IF(Q923="A","价格与起订量有优势，建议优先询盘",IF(Q923="B","条件较均衡，可作为备选","起订量或价格需要进一步确认"))</f>
        <v/>
      </c>
      <c r="T923" s="10" t="inlineStr">
        <is>
          <t>未联系</t>
        </is>
      </c>
      <c r="U923" s="10" t="inlineStr">
        <is>
          <t>虚构演示数据</t>
        </is>
      </c>
    </row>
    <row r="924" ht="21" customHeight="1">
      <c r="A924" s="10" t="inlineStr">
        <is>
          <t>GYS-0920</t>
        </is>
      </c>
      <c r="B924" s="10" t="inlineStr">
        <is>
          <t>厦门健康用品供应链0920有限公司（演示）</t>
        </is>
      </c>
      <c r="C924" s="10" t="inlineStr">
        <is>
          <t>健康用品</t>
        </is>
      </c>
      <c r="D924" s="10" t="inlineStr">
        <is>
          <t>热敷眼罩</t>
        </is>
      </c>
      <c r="E924" s="10" t="inlineStr">
        <is>
          <t>福建厦门</t>
        </is>
      </c>
      <c r="F924" s="10" t="inlineStr">
        <is>
          <t>中国制造网</t>
        </is>
      </c>
      <c r="G924" s="10" t="inlineStr">
        <is>
          <t>陈经理</t>
        </is>
      </c>
      <c r="H924" s="10" t="inlineStr">
        <is>
          <t>000-0000-0920</t>
        </is>
      </c>
      <c r="I924" s="10" t="inlineStr">
        <is>
          <t>DEMO_GYS_0920</t>
        </is>
      </c>
      <c r="J924" s="11" t="n">
        <v>2.8</v>
      </c>
      <c r="K924" s="11" t="n">
        <v>10.8</v>
      </c>
      <c r="L924" s="12" t="n">
        <v>300</v>
      </c>
      <c r="M924" s="10" t="inlineStr">
        <is>
          <t>否</t>
        </is>
      </c>
      <c r="N924" s="10" t="inlineStr">
        <is>
          <t>是</t>
        </is>
      </c>
      <c r="O924" s="10" t="inlineStr">
        <is>
          <t>supplier0920@example.com</t>
        </is>
      </c>
      <c r="P924" s="10" t="inlineStr">
        <is>
          <t>https://example.com/supplier/0920</t>
        </is>
      </c>
      <c r="Q924" s="10">
        <f>IF(R924&gt;=85,"A",IF(R924&gt;=70,"B","C"))</f>
        <v/>
      </c>
      <c r="R924" s="13">
        <f>MIN(100,50+IF(M924="是",10,0)+IF(N924="是",10,0)+IF(L924&lt;=100,10,IF(L924&lt;=300,5,0))+IF(J924&lt;=20,10,IF(J924&lt;=50,5,0))+IF(K924-J924&lt;=20,5,0)+IF(F924="企业官网",5,0))</f>
        <v/>
      </c>
      <c r="S924" s="10">
        <f>IF(Q924="A","价格与起订量有优势，建议优先询盘",IF(Q924="B","条件较均衡，可作为备选","起订量或价格需要进一步确认"))</f>
        <v/>
      </c>
      <c r="T924" s="10" t="inlineStr">
        <is>
          <t>未联系</t>
        </is>
      </c>
      <c r="U924" s="10" t="inlineStr">
        <is>
          <t>虚构演示数据</t>
        </is>
      </c>
    </row>
    <row r="925" ht="21" customHeight="1">
      <c r="A925" s="10" t="inlineStr">
        <is>
          <t>GYS-0921</t>
        </is>
      </c>
      <c r="B925" s="10" t="inlineStr">
        <is>
          <t>临沂服饰内衣供应链0921有限公司（演示）</t>
        </is>
      </c>
      <c r="C925" s="10" t="inlineStr">
        <is>
          <t>服饰内衣</t>
        </is>
      </c>
      <c r="D925" s="10" t="inlineStr">
        <is>
          <t>防滑袜</t>
        </is>
      </c>
      <c r="E925" s="10" t="inlineStr">
        <is>
          <t>山东临沂</t>
        </is>
      </c>
      <c r="F925" s="10" t="inlineStr">
        <is>
          <t>企业官网</t>
        </is>
      </c>
      <c r="G925" s="10" t="inlineStr">
        <is>
          <t>林经理</t>
        </is>
      </c>
      <c r="H925" s="10" t="inlineStr">
        <is>
          <t>000-0000-0921</t>
        </is>
      </c>
      <c r="I925" s="10" t="inlineStr">
        <is>
          <t>DEMO_GYS_0921</t>
        </is>
      </c>
      <c r="J925" s="11" t="n">
        <v>4.5</v>
      </c>
      <c r="K925" s="11" t="n">
        <v>13.6</v>
      </c>
      <c r="L925" s="12" t="n">
        <v>200</v>
      </c>
      <c r="M925" s="10" t="inlineStr">
        <is>
          <t>是</t>
        </is>
      </c>
      <c r="N925" s="10" t="inlineStr">
        <is>
          <t>否</t>
        </is>
      </c>
      <c r="O925" s="10" t="inlineStr">
        <is>
          <t>supplier0921@example.com</t>
        </is>
      </c>
      <c r="P925" s="10" t="inlineStr">
        <is>
          <t>https://example.com/supplier/0921</t>
        </is>
      </c>
      <c r="Q925" s="10">
        <f>IF(R925&gt;=85,"A",IF(R925&gt;=70,"B","C"))</f>
        <v/>
      </c>
      <c r="R925" s="13">
        <f>MIN(100,50+IF(M925="是",10,0)+IF(N925="是",10,0)+IF(L925&lt;=100,10,IF(L925&lt;=300,5,0))+IF(J925&lt;=20,10,IF(J925&lt;=50,5,0))+IF(K925-J925&lt;=20,5,0)+IF(F925="企业官网",5,0))</f>
        <v/>
      </c>
      <c r="S925" s="10">
        <f>IF(Q925="A","价格与起订量有优势，建议优先询盘",IF(Q925="B","条件较均衡，可作为备选","起订量或价格需要进一步确认"))</f>
        <v/>
      </c>
      <c r="T925" s="10" t="inlineStr">
        <is>
          <t>未联系</t>
        </is>
      </c>
      <c r="U925" s="10" t="inlineStr">
        <is>
          <t>虚构演示数据</t>
        </is>
      </c>
    </row>
    <row r="926" ht="21" customHeight="1">
      <c r="A926" s="10" t="inlineStr">
        <is>
          <t>GYS-0922</t>
        </is>
      </c>
      <c r="B926" s="10" t="inlineStr">
        <is>
          <t>南昌家居日用供应链0922有限公司（演示）</t>
        </is>
      </c>
      <c r="C926" s="10" t="inlineStr">
        <is>
          <t>家居日用</t>
        </is>
      </c>
      <c r="D926" s="10" t="inlineStr">
        <is>
          <t>折叠收纳箱</t>
        </is>
      </c>
      <c r="E926" s="10" t="inlineStr">
        <is>
          <t>江西南昌</t>
        </is>
      </c>
      <c r="F926" s="10" t="inlineStr">
        <is>
          <t>义乌购</t>
        </is>
      </c>
      <c r="G926" s="10" t="inlineStr">
        <is>
          <t>王经理</t>
        </is>
      </c>
      <c r="H926" s="10" t="inlineStr">
        <is>
          <t>000-0000-0922</t>
        </is>
      </c>
      <c r="I926" s="10" t="inlineStr">
        <is>
          <t>DEMO_GYS_0922</t>
        </is>
      </c>
      <c r="J926" s="11" t="n">
        <v>6.2</v>
      </c>
      <c r="K926" s="11" t="n">
        <v>16.4</v>
      </c>
      <c r="L926" s="12" t="n">
        <v>100</v>
      </c>
      <c r="M926" s="10" t="inlineStr">
        <is>
          <t>是</t>
        </is>
      </c>
      <c r="N926" s="10" t="inlineStr">
        <is>
          <t>是</t>
        </is>
      </c>
      <c r="O926" s="10" t="inlineStr">
        <is>
          <t>supplier0922@example.com</t>
        </is>
      </c>
      <c r="P926" s="10" t="inlineStr">
        <is>
          <t>https://example.com/supplier/0922</t>
        </is>
      </c>
      <c r="Q926" s="10">
        <f>IF(R926&gt;=85,"A",IF(R926&gt;=70,"B","C"))</f>
        <v/>
      </c>
      <c r="R926" s="13">
        <f>MIN(100,50+IF(M926="是",10,0)+IF(N926="是",10,0)+IF(L926&lt;=100,10,IF(L926&lt;=300,5,0))+IF(J926&lt;=20,10,IF(J926&lt;=50,5,0))+IF(K926-J926&lt;=20,5,0)+IF(F926="企业官网",5,0))</f>
        <v/>
      </c>
      <c r="S926" s="10">
        <f>IF(Q926="A","价格与起订量有优势，建议优先询盘",IF(Q926="B","条件较均衡，可作为备选","起订量或价格需要进一步确认"))</f>
        <v/>
      </c>
      <c r="T926" s="10" t="inlineStr">
        <is>
          <t>未联系</t>
        </is>
      </c>
      <c r="U926" s="10" t="inlineStr">
        <is>
          <t>虚构演示数据</t>
        </is>
      </c>
    </row>
    <row r="927" ht="21" customHeight="1">
      <c r="A927" s="10" t="inlineStr">
        <is>
          <t>GYS-0923</t>
        </is>
      </c>
      <c r="B927" s="10" t="inlineStr">
        <is>
          <t>温州个护清洁供应链0923有限公司（演示）</t>
        </is>
      </c>
      <c r="C927" s="10" t="inlineStr">
        <is>
          <t>个护清洁</t>
        </is>
      </c>
      <c r="D927" s="10" t="inlineStr">
        <is>
          <t>便携洗脸巾</t>
        </is>
      </c>
      <c r="E927" s="10" t="inlineStr">
        <is>
          <t>浙江温州</t>
        </is>
      </c>
      <c r="F927" s="10" t="inlineStr">
        <is>
          <t>慧聪网</t>
        </is>
      </c>
      <c r="G927" s="10" t="inlineStr">
        <is>
          <t>李经理</t>
        </is>
      </c>
      <c r="H927" s="10" t="inlineStr">
        <is>
          <t>000-0000-0923</t>
        </is>
      </c>
      <c r="I927" s="10" t="inlineStr">
        <is>
          <t>DEMO_GYS_0923</t>
        </is>
      </c>
      <c r="J927" s="11" t="n">
        <v>7.9</v>
      </c>
      <c r="K927" s="11" t="n">
        <v>19.2</v>
      </c>
      <c r="L927" s="12" t="n">
        <v>50</v>
      </c>
      <c r="M927" s="10" t="inlineStr">
        <is>
          <t>是</t>
        </is>
      </c>
      <c r="N927" s="10" t="inlineStr">
        <is>
          <t>是</t>
        </is>
      </c>
      <c r="O927" s="10" t="inlineStr">
        <is>
          <t>supplier0923@example.com</t>
        </is>
      </c>
      <c r="P927" s="10" t="inlineStr">
        <is>
          <t>https://example.com/supplier/0923</t>
        </is>
      </c>
      <c r="Q927" s="10">
        <f>IF(R927&gt;=85,"A",IF(R927&gt;=70,"B","C"))</f>
        <v/>
      </c>
      <c r="R927" s="13">
        <f>MIN(100,50+IF(M927="是",10,0)+IF(N927="是",10,0)+IF(L927&lt;=100,10,IF(L927&lt;=300,5,0))+IF(J927&lt;=20,10,IF(J927&lt;=50,5,0))+IF(K927-J927&lt;=20,5,0)+IF(F927="企业官网",5,0))</f>
        <v/>
      </c>
      <c r="S927" s="10">
        <f>IF(Q927="A","价格与起订量有优势，建议优先询盘",IF(Q927="B","条件较均衡，可作为备选","起订量或价格需要进一步确认"))</f>
        <v/>
      </c>
      <c r="T927" s="10" t="inlineStr">
        <is>
          <t>未联系</t>
        </is>
      </c>
      <c r="U927" s="10" t="inlineStr">
        <is>
          <t>虚构演示数据</t>
        </is>
      </c>
    </row>
    <row r="928" ht="21" customHeight="1">
      <c r="A928" s="10" t="inlineStr">
        <is>
          <t>GYS-0924</t>
        </is>
      </c>
      <c r="B928" s="10" t="inlineStr">
        <is>
          <t>广州厨房用品供应链0924有限公司（演示）</t>
        </is>
      </c>
      <c r="C928" s="10" t="inlineStr">
        <is>
          <t>厨房用品</t>
        </is>
      </c>
      <c r="D928" s="10" t="inlineStr">
        <is>
          <t>硅胶保鲜盒</t>
        </is>
      </c>
      <c r="E928" s="10" t="inlineStr">
        <is>
          <t>广东广州</t>
        </is>
      </c>
      <c r="F928" s="10" t="inlineStr">
        <is>
          <t>1688</t>
        </is>
      </c>
      <c r="G928" s="10" t="inlineStr">
        <is>
          <t>张经理</t>
        </is>
      </c>
      <c r="H928" s="10" t="inlineStr">
        <is>
          <t>000-0000-0924</t>
        </is>
      </c>
      <c r="I928" s="10" t="inlineStr">
        <is>
          <t>DEMO_GYS_0924</t>
        </is>
      </c>
      <c r="J928" s="11" t="n">
        <v>9.6</v>
      </c>
      <c r="K928" s="11" t="n">
        <v>22</v>
      </c>
      <c r="L928" s="12" t="n">
        <v>20</v>
      </c>
      <c r="M928" s="10" t="inlineStr">
        <is>
          <t>否</t>
        </is>
      </c>
      <c r="N928" s="10" t="inlineStr">
        <is>
          <t>否</t>
        </is>
      </c>
      <c r="O928" s="10" t="inlineStr">
        <is>
          <t>supplier0924@example.com</t>
        </is>
      </c>
      <c r="P928" s="10" t="inlineStr">
        <is>
          <t>https://example.com/supplier/0924</t>
        </is>
      </c>
      <c r="Q928" s="10">
        <f>IF(R928&gt;=85,"A",IF(R928&gt;=70,"B","C"))</f>
        <v/>
      </c>
      <c r="R928" s="13">
        <f>MIN(100,50+IF(M928="是",10,0)+IF(N928="是",10,0)+IF(L928&lt;=100,10,IF(L928&lt;=300,5,0))+IF(J928&lt;=20,10,IF(J928&lt;=50,5,0))+IF(K928-J928&lt;=20,5,0)+IF(F928="企业官网",5,0))</f>
        <v/>
      </c>
      <c r="S928" s="10">
        <f>IF(Q928="A","价格与起订量有优势，建议优先询盘",IF(Q928="B","条件较均衡，可作为备选","起订量或价格需要进一步确认"))</f>
        <v/>
      </c>
      <c r="T928" s="10" t="inlineStr">
        <is>
          <t>未联系</t>
        </is>
      </c>
      <c r="U928" s="10" t="inlineStr">
        <is>
          <t>虚构演示数据</t>
        </is>
      </c>
    </row>
    <row r="929" ht="21" customHeight="1">
      <c r="A929" s="10" t="inlineStr">
        <is>
          <t>GYS-0925</t>
        </is>
      </c>
      <c r="B929" s="10" t="inlineStr">
        <is>
          <t>泉州数码配件供应链0925有限公司（演示）</t>
        </is>
      </c>
      <c r="C929" s="10" t="inlineStr">
        <is>
          <t>数码配件</t>
        </is>
      </c>
      <c r="D929" s="10" t="inlineStr">
        <is>
          <t>磁吸手机支架</t>
        </is>
      </c>
      <c r="E929" s="10" t="inlineStr">
        <is>
          <t>福建泉州</t>
        </is>
      </c>
      <c r="F929" s="10" t="inlineStr">
        <is>
          <t>中国制造网</t>
        </is>
      </c>
      <c r="G929" s="10" t="inlineStr">
        <is>
          <t>刘经理</t>
        </is>
      </c>
      <c r="H929" s="10" t="inlineStr">
        <is>
          <t>000-0000-0925</t>
        </is>
      </c>
      <c r="I929" s="10" t="inlineStr">
        <is>
          <t>DEMO_GYS_0925</t>
        </is>
      </c>
      <c r="J929" s="11" t="n">
        <v>11.3</v>
      </c>
      <c r="K929" s="11" t="n">
        <v>24.8</v>
      </c>
      <c r="L929" s="12" t="n">
        <v>500</v>
      </c>
      <c r="M929" s="10" t="inlineStr">
        <is>
          <t>是</t>
        </is>
      </c>
      <c r="N929" s="10" t="inlineStr">
        <is>
          <t>是</t>
        </is>
      </c>
      <c r="O929" s="10" t="inlineStr">
        <is>
          <t>supplier0925@example.com</t>
        </is>
      </c>
      <c r="P929" s="10" t="inlineStr">
        <is>
          <t>https://example.com/supplier/0925</t>
        </is>
      </c>
      <c r="Q929" s="10">
        <f>IF(R929&gt;=85,"A",IF(R929&gt;=70,"B","C"))</f>
        <v/>
      </c>
      <c r="R929" s="13">
        <f>MIN(100,50+IF(M929="是",10,0)+IF(N929="是",10,0)+IF(L929&lt;=100,10,IF(L929&lt;=300,5,0))+IF(J929&lt;=20,10,IF(J929&lt;=50,5,0))+IF(K929-J929&lt;=20,5,0)+IF(F929="企业官网",5,0))</f>
        <v/>
      </c>
      <c r="S929" s="10">
        <f>IF(Q929="A","价格与起订量有优势，建议优先询盘",IF(Q929="B","条件较均衡，可作为备选","起订量或价格需要进一步确认"))</f>
        <v/>
      </c>
      <c r="T929" s="10" t="inlineStr">
        <is>
          <t>未联系</t>
        </is>
      </c>
      <c r="U929" s="10" t="inlineStr">
        <is>
          <t>虚构演示数据</t>
        </is>
      </c>
    </row>
    <row r="930" ht="21" customHeight="1">
      <c r="A930" s="10" t="inlineStr">
        <is>
          <t>GYS-0926</t>
        </is>
      </c>
      <c r="B930" s="10" t="inlineStr">
        <is>
          <t>南通宠物用品供应链0926有限公司（演示）</t>
        </is>
      </c>
      <c r="C930" s="10" t="inlineStr">
        <is>
          <t>宠物用品</t>
        </is>
      </c>
      <c r="D930" s="10" t="inlineStr">
        <is>
          <t>宠物清洁手套</t>
        </is>
      </c>
      <c r="E930" s="10" t="inlineStr">
        <is>
          <t>江苏南通</t>
        </is>
      </c>
      <c r="F930" s="10" t="inlineStr">
        <is>
          <t>企业官网</t>
        </is>
      </c>
      <c r="G930" s="10" t="inlineStr">
        <is>
          <t>黄经理</t>
        </is>
      </c>
      <c r="H930" s="10" t="inlineStr">
        <is>
          <t>000-0000-0926</t>
        </is>
      </c>
      <c r="I930" s="10" t="inlineStr">
        <is>
          <t>DEMO_GYS_0926</t>
        </is>
      </c>
      <c r="J930" s="11" t="n">
        <v>13</v>
      </c>
      <c r="K930" s="11" t="n">
        <v>27.6</v>
      </c>
      <c r="L930" s="12" t="n">
        <v>300</v>
      </c>
      <c r="M930" s="10" t="inlineStr">
        <is>
          <t>是</t>
        </is>
      </c>
      <c r="N930" s="10" t="inlineStr">
        <is>
          <t>是</t>
        </is>
      </c>
      <c r="O930" s="10" t="inlineStr">
        <is>
          <t>supplier0926@example.com</t>
        </is>
      </c>
      <c r="P930" s="10" t="inlineStr">
        <is>
          <t>https://example.com/supplier/0926</t>
        </is>
      </c>
      <c r="Q930" s="10">
        <f>IF(R930&gt;=85,"A",IF(R930&gt;=70,"B","C"))</f>
        <v/>
      </c>
      <c r="R930" s="13">
        <f>MIN(100,50+IF(M930="是",10,0)+IF(N930="是",10,0)+IF(L930&lt;=100,10,IF(L930&lt;=300,5,0))+IF(J930&lt;=20,10,IF(J930&lt;=50,5,0))+IF(K930-J930&lt;=20,5,0)+IF(F930="企业官网",5,0))</f>
        <v/>
      </c>
      <c r="S930" s="10">
        <f>IF(Q930="A","价格与起订量有优势，建议优先询盘",IF(Q930="B","条件较均衡，可作为备选","起订量或价格需要进一步确认"))</f>
        <v/>
      </c>
      <c r="T930" s="10" t="inlineStr">
        <is>
          <t>未联系</t>
        </is>
      </c>
      <c r="U930" s="10" t="inlineStr">
        <is>
          <t>虚构演示数据</t>
        </is>
      </c>
    </row>
    <row r="931" ht="21" customHeight="1">
      <c r="A931" s="10" t="inlineStr">
        <is>
          <t>GYS-0927</t>
        </is>
      </c>
      <c r="B931" s="10" t="inlineStr">
        <is>
          <t>郑州母婴用品供应链0927有限公司（演示）</t>
        </is>
      </c>
      <c r="C931" s="10" t="inlineStr">
        <is>
          <t>母婴用品</t>
        </is>
      </c>
      <c r="D931" s="10" t="inlineStr">
        <is>
          <t>婴儿防撞条</t>
        </is>
      </c>
      <c r="E931" s="10" t="inlineStr">
        <is>
          <t>河南郑州</t>
        </is>
      </c>
      <c r="F931" s="10" t="inlineStr">
        <is>
          <t>义乌购</t>
        </is>
      </c>
      <c r="G931" s="10" t="inlineStr">
        <is>
          <t>赵经理</t>
        </is>
      </c>
      <c r="H931" s="10" t="inlineStr">
        <is>
          <t>000-0000-0927</t>
        </is>
      </c>
      <c r="I931" s="10" t="inlineStr">
        <is>
          <t>DEMO_GYS_0927</t>
        </is>
      </c>
      <c r="J931" s="11" t="n">
        <v>14.7</v>
      </c>
      <c r="K931" s="11" t="n">
        <v>30.4</v>
      </c>
      <c r="L931" s="12" t="n">
        <v>200</v>
      </c>
      <c r="M931" s="10" t="inlineStr">
        <is>
          <t>是</t>
        </is>
      </c>
      <c r="N931" s="10" t="inlineStr">
        <is>
          <t>否</t>
        </is>
      </c>
      <c r="O931" s="10" t="inlineStr">
        <is>
          <t>supplier0927@example.com</t>
        </is>
      </c>
      <c r="P931" s="10" t="inlineStr">
        <is>
          <t>https://example.com/supplier/0927</t>
        </is>
      </c>
      <c r="Q931" s="10">
        <f>IF(R931&gt;=85,"A",IF(R931&gt;=70,"B","C"))</f>
        <v/>
      </c>
      <c r="R931" s="13">
        <f>MIN(100,50+IF(M931="是",10,0)+IF(N931="是",10,0)+IF(L931&lt;=100,10,IF(L931&lt;=300,5,0))+IF(J931&lt;=20,10,IF(J931&lt;=50,5,0))+IF(K931-J931&lt;=20,5,0)+IF(F931="企业官网",5,0))</f>
        <v/>
      </c>
      <c r="S931" s="10">
        <f>IF(Q931="A","价格与起订量有优势，建议优先询盘",IF(Q931="B","条件较均衡，可作为备选","起订量或价格需要进一步确认"))</f>
        <v/>
      </c>
      <c r="T931" s="10" t="inlineStr">
        <is>
          <t>未联系</t>
        </is>
      </c>
      <c r="U931" s="10" t="inlineStr">
        <is>
          <t>虚构演示数据</t>
        </is>
      </c>
    </row>
    <row r="932" ht="21" customHeight="1">
      <c r="A932" s="10" t="inlineStr">
        <is>
          <t>GYS-0928</t>
        </is>
      </c>
      <c r="B932" s="10" t="inlineStr">
        <is>
          <t>宁波运动户外供应链0928有限公司（演示）</t>
        </is>
      </c>
      <c r="C932" s="10" t="inlineStr">
        <is>
          <t>运动户外</t>
        </is>
      </c>
      <c r="D932" s="10" t="inlineStr">
        <is>
          <t>弹力训练带</t>
        </is>
      </c>
      <c r="E932" s="10" t="inlineStr">
        <is>
          <t>浙江宁波</t>
        </is>
      </c>
      <c r="F932" s="10" t="inlineStr">
        <is>
          <t>慧聪网</t>
        </is>
      </c>
      <c r="G932" s="10" t="inlineStr">
        <is>
          <t>周经理</t>
        </is>
      </c>
      <c r="H932" s="10" t="inlineStr">
        <is>
          <t>000-0000-0928</t>
        </is>
      </c>
      <c r="I932" s="10" t="inlineStr">
        <is>
          <t>DEMO_GYS_0928</t>
        </is>
      </c>
      <c r="J932" s="11" t="n">
        <v>16.4</v>
      </c>
      <c r="K932" s="11" t="n">
        <v>33.2</v>
      </c>
      <c r="L932" s="12" t="n">
        <v>100</v>
      </c>
      <c r="M932" s="10" t="inlineStr">
        <is>
          <t>否</t>
        </is>
      </c>
      <c r="N932" s="10" t="inlineStr">
        <is>
          <t>是</t>
        </is>
      </c>
      <c r="O932" s="10" t="inlineStr">
        <is>
          <t>supplier0928@example.com</t>
        </is>
      </c>
      <c r="P932" s="10" t="inlineStr">
        <is>
          <t>https://example.com/supplier/0928</t>
        </is>
      </c>
      <c r="Q932" s="10">
        <f>IF(R932&gt;=85,"A",IF(R932&gt;=70,"B","C"))</f>
        <v/>
      </c>
      <c r="R932" s="13">
        <f>MIN(100,50+IF(M932="是",10,0)+IF(N932="是",10,0)+IF(L932&lt;=100,10,IF(L932&lt;=300,5,0))+IF(J932&lt;=20,10,IF(J932&lt;=50,5,0))+IF(K932-J932&lt;=20,5,0)+IF(F932="企业官网",5,0))</f>
        <v/>
      </c>
      <c r="S932" s="10">
        <f>IF(Q932="A","价格与起订量有优势，建议优先询盘",IF(Q932="B","条件较均衡，可作为备选","起订量或价格需要进一步确认"))</f>
        <v/>
      </c>
      <c r="T932" s="10" t="inlineStr">
        <is>
          <t>未联系</t>
        </is>
      </c>
      <c r="U932" s="10" t="inlineStr">
        <is>
          <t>虚构演示数据</t>
        </is>
      </c>
    </row>
    <row r="933" ht="21" customHeight="1">
      <c r="A933" s="10" t="inlineStr">
        <is>
          <t>GYS-0929</t>
        </is>
      </c>
      <c r="B933" s="10" t="inlineStr">
        <is>
          <t>深圳办公文具供应链0929有限公司（演示）</t>
        </is>
      </c>
      <c r="C933" s="10" t="inlineStr">
        <is>
          <t>办公文具</t>
        </is>
      </c>
      <c r="D933" s="10" t="inlineStr">
        <is>
          <t>桌面收纳架</t>
        </is>
      </c>
      <c r="E933" s="10" t="inlineStr">
        <is>
          <t>广东深圳</t>
        </is>
      </c>
      <c r="F933" s="10" t="inlineStr">
        <is>
          <t>1688</t>
        </is>
      </c>
      <c r="G933" s="10" t="inlineStr">
        <is>
          <t>吴经理</t>
        </is>
      </c>
      <c r="H933" s="10" t="inlineStr">
        <is>
          <t>000-0000-0929</t>
        </is>
      </c>
      <c r="I933" s="10" t="inlineStr">
        <is>
          <t>DEMO_GYS_0929</t>
        </is>
      </c>
      <c r="J933" s="11" t="n">
        <v>18.1</v>
      </c>
      <c r="K933" s="11" t="n">
        <v>36</v>
      </c>
      <c r="L933" s="12" t="n">
        <v>50</v>
      </c>
      <c r="M933" s="10" t="inlineStr">
        <is>
          <t>是</t>
        </is>
      </c>
      <c r="N933" s="10" t="inlineStr">
        <is>
          <t>是</t>
        </is>
      </c>
      <c r="O933" s="10" t="inlineStr">
        <is>
          <t>supplier0929@example.com</t>
        </is>
      </c>
      <c r="P933" s="10" t="inlineStr">
        <is>
          <t>https://example.com/supplier/0929</t>
        </is>
      </c>
      <c r="Q933" s="10">
        <f>IF(R933&gt;=85,"A",IF(R933&gt;=70,"B","C"))</f>
        <v/>
      </c>
      <c r="R933" s="13">
        <f>MIN(100,50+IF(M933="是",10,0)+IF(N933="是",10,0)+IF(L933&lt;=100,10,IF(L933&lt;=300,5,0))+IF(J933&lt;=20,10,IF(J933&lt;=50,5,0))+IF(K933-J933&lt;=20,5,0)+IF(F933="企业官网",5,0))</f>
        <v/>
      </c>
      <c r="S933" s="10">
        <f>IF(Q933="A","价格与起订量有优势，建议优先询盘",IF(Q933="B","条件较均衡，可作为备选","起订量或价格需要进一步确认"))</f>
        <v/>
      </c>
      <c r="T933" s="10" t="inlineStr">
        <is>
          <t>未联系</t>
        </is>
      </c>
      <c r="U933" s="10" t="inlineStr">
        <is>
          <t>虚构演示数据</t>
        </is>
      </c>
    </row>
    <row r="934" ht="21" customHeight="1">
      <c r="A934" s="10" t="inlineStr">
        <is>
          <t>GYS-0930</t>
        </is>
      </c>
      <c r="B934" s="10" t="inlineStr">
        <is>
          <t>佛山汽车用品供应链0930有限公司（演示）</t>
        </is>
      </c>
      <c r="C934" s="10" t="inlineStr">
        <is>
          <t>汽车用品</t>
        </is>
      </c>
      <c r="D934" s="10" t="inlineStr">
        <is>
          <t>车载香薰</t>
        </is>
      </c>
      <c r="E934" s="10" t="inlineStr">
        <is>
          <t>广东佛山</t>
        </is>
      </c>
      <c r="F934" s="10" t="inlineStr">
        <is>
          <t>中国制造网</t>
        </is>
      </c>
      <c r="G934" s="10" t="inlineStr">
        <is>
          <t>陈经理</t>
        </is>
      </c>
      <c r="H934" s="10" t="inlineStr">
        <is>
          <t>000-0000-0930</t>
        </is>
      </c>
      <c r="I934" s="10" t="inlineStr">
        <is>
          <t>DEMO_GYS_0930</t>
        </is>
      </c>
      <c r="J934" s="11" t="n">
        <v>19.8</v>
      </c>
      <c r="K934" s="11" t="n">
        <v>38.8</v>
      </c>
      <c r="L934" s="12" t="n">
        <v>20</v>
      </c>
      <c r="M934" s="10" t="inlineStr">
        <is>
          <t>是</t>
        </is>
      </c>
      <c r="N934" s="10" t="inlineStr">
        <is>
          <t>否</t>
        </is>
      </c>
      <c r="O934" s="10" t="inlineStr">
        <is>
          <t>supplier0930@example.com</t>
        </is>
      </c>
      <c r="P934" s="10" t="inlineStr">
        <is>
          <t>https://example.com/supplier/0930</t>
        </is>
      </c>
      <c r="Q934" s="10">
        <f>IF(R934&gt;=85,"A",IF(R934&gt;=70,"B","C"))</f>
        <v/>
      </c>
      <c r="R934" s="13">
        <f>MIN(100,50+IF(M934="是",10,0)+IF(N934="是",10,0)+IF(L934&lt;=100,10,IF(L934&lt;=300,5,0))+IF(J934&lt;=20,10,IF(J934&lt;=50,5,0))+IF(K934-J934&lt;=20,5,0)+IF(F934="企业官网",5,0))</f>
        <v/>
      </c>
      <c r="S934" s="10">
        <f>IF(Q934="A","价格与起订量有优势，建议优先询盘",IF(Q934="B","条件较均衡，可作为备选","起订量或价格需要进一步确认"))</f>
        <v/>
      </c>
      <c r="T934" s="10" t="inlineStr">
        <is>
          <t>未联系</t>
        </is>
      </c>
      <c r="U934" s="10" t="inlineStr">
        <is>
          <t>虚构演示数据</t>
        </is>
      </c>
    </row>
    <row r="935" ht="21" customHeight="1">
      <c r="A935" s="10" t="inlineStr">
        <is>
          <t>GYS-0931</t>
        </is>
      </c>
      <c r="B935" s="10" t="inlineStr">
        <is>
          <t>苏州美容工具供应链0931有限公司（演示）</t>
        </is>
      </c>
      <c r="C935" s="10" t="inlineStr">
        <is>
          <t>美容工具</t>
        </is>
      </c>
      <c r="D935" s="10" t="inlineStr">
        <is>
          <t>便携化妆镜</t>
        </is>
      </c>
      <c r="E935" s="10" t="inlineStr">
        <is>
          <t>江苏苏州</t>
        </is>
      </c>
      <c r="F935" s="10" t="inlineStr">
        <is>
          <t>企业官网</t>
        </is>
      </c>
      <c r="G935" s="10" t="inlineStr">
        <is>
          <t>林经理</t>
        </is>
      </c>
      <c r="H935" s="10" t="inlineStr">
        <is>
          <t>000-0000-0931</t>
        </is>
      </c>
      <c r="I935" s="10" t="inlineStr">
        <is>
          <t>DEMO_GYS_0931</t>
        </is>
      </c>
      <c r="J935" s="11" t="n">
        <v>21.5</v>
      </c>
      <c r="K935" s="11" t="n">
        <v>41.6</v>
      </c>
      <c r="L935" s="12" t="n">
        <v>500</v>
      </c>
      <c r="M935" s="10" t="inlineStr">
        <is>
          <t>是</t>
        </is>
      </c>
      <c r="N935" s="10" t="inlineStr">
        <is>
          <t>是</t>
        </is>
      </c>
      <c r="O935" s="10" t="inlineStr">
        <is>
          <t>supplier0931@example.com</t>
        </is>
      </c>
      <c r="P935" s="10" t="inlineStr">
        <is>
          <t>https://example.com/supplier/0931</t>
        </is>
      </c>
      <c r="Q935" s="10">
        <f>IF(R935&gt;=85,"A",IF(R935&gt;=70,"B","C"))</f>
        <v/>
      </c>
      <c r="R935" s="13">
        <f>MIN(100,50+IF(M935="是",10,0)+IF(N935="是",10,0)+IF(L935&lt;=100,10,IF(L935&lt;=300,5,0))+IF(J935&lt;=20,10,IF(J935&lt;=50,5,0))+IF(K935-J935&lt;=20,5,0)+IF(F935="企业官网",5,0))</f>
        <v/>
      </c>
      <c r="S935" s="10">
        <f>IF(Q935="A","价格与起订量有优势，建议优先询盘",IF(Q935="B","条件较均衡，可作为备选","起订量或价格需要进一步确认"))</f>
        <v/>
      </c>
      <c r="T935" s="10" t="inlineStr">
        <is>
          <t>未联系</t>
        </is>
      </c>
      <c r="U935" s="10" t="inlineStr">
        <is>
          <t>虚构演示数据</t>
        </is>
      </c>
    </row>
    <row r="936" ht="21" customHeight="1">
      <c r="A936" s="10" t="inlineStr">
        <is>
          <t>GYS-0932</t>
        </is>
      </c>
      <c r="B936" s="10" t="inlineStr">
        <is>
          <t>白沟旅行用品供应链0932有限公司（演示）</t>
        </is>
      </c>
      <c r="C936" s="10" t="inlineStr">
        <is>
          <t>旅行用品</t>
        </is>
      </c>
      <c r="D936" s="10" t="inlineStr">
        <is>
          <t>压缩收纳袋</t>
        </is>
      </c>
      <c r="E936" s="10" t="inlineStr">
        <is>
          <t>河北白沟</t>
        </is>
      </c>
      <c r="F936" s="10" t="inlineStr">
        <is>
          <t>义乌购</t>
        </is>
      </c>
      <c r="G936" s="10" t="inlineStr">
        <is>
          <t>王经理</t>
        </is>
      </c>
      <c r="H936" s="10" t="inlineStr">
        <is>
          <t>000-0000-0932</t>
        </is>
      </c>
      <c r="I936" s="10" t="inlineStr">
        <is>
          <t>DEMO_GYS_0932</t>
        </is>
      </c>
      <c r="J936" s="11" t="n">
        <v>23.2</v>
      </c>
      <c r="K936" s="11" t="n">
        <v>44.4</v>
      </c>
      <c r="L936" s="12" t="n">
        <v>300</v>
      </c>
      <c r="M936" s="10" t="inlineStr">
        <is>
          <t>否</t>
        </is>
      </c>
      <c r="N936" s="10" t="inlineStr">
        <is>
          <t>是</t>
        </is>
      </c>
      <c r="O936" s="10" t="inlineStr">
        <is>
          <t>supplier0932@example.com</t>
        </is>
      </c>
      <c r="P936" s="10" t="inlineStr">
        <is>
          <t>https://example.com/supplier/0932</t>
        </is>
      </c>
      <c r="Q936" s="10">
        <f>IF(R936&gt;=85,"A",IF(R936&gt;=70,"B","C"))</f>
        <v/>
      </c>
      <c r="R936" s="13">
        <f>MIN(100,50+IF(M936="是",10,0)+IF(N936="是",10,0)+IF(L936&lt;=100,10,IF(L936&lt;=300,5,0))+IF(J936&lt;=20,10,IF(J936&lt;=50,5,0))+IF(K936-J936&lt;=20,5,0)+IF(F936="企业官网",5,0))</f>
        <v/>
      </c>
      <c r="S936" s="10">
        <f>IF(Q936="A","价格与起订量有优势，建议优先询盘",IF(Q936="B","条件较均衡，可作为备选","起订量或价格需要进一步确认"))</f>
        <v/>
      </c>
      <c r="T936" s="10" t="inlineStr">
        <is>
          <t>未联系</t>
        </is>
      </c>
      <c r="U936" s="10" t="inlineStr">
        <is>
          <t>虚构演示数据</t>
        </is>
      </c>
    </row>
    <row r="937" ht="21" customHeight="1">
      <c r="A937" s="10" t="inlineStr">
        <is>
          <t>GYS-0933</t>
        </is>
      </c>
      <c r="B937" s="10" t="inlineStr">
        <is>
          <t>义乌清洁工具供应链0933有限公司（演示）</t>
        </is>
      </c>
      <c r="C937" s="10" t="inlineStr">
        <is>
          <t>清洁工具</t>
        </is>
      </c>
      <c r="D937" s="10" t="inlineStr">
        <is>
          <t>免手洗拖把</t>
        </is>
      </c>
      <c r="E937" s="10" t="inlineStr">
        <is>
          <t>浙江义乌</t>
        </is>
      </c>
      <c r="F937" s="10" t="inlineStr">
        <is>
          <t>慧聪网</t>
        </is>
      </c>
      <c r="G937" s="10" t="inlineStr">
        <is>
          <t>李经理</t>
        </is>
      </c>
      <c r="H937" s="10" t="inlineStr">
        <is>
          <t>000-0000-0933</t>
        </is>
      </c>
      <c r="I937" s="10" t="inlineStr">
        <is>
          <t>DEMO_GYS_0933</t>
        </is>
      </c>
      <c r="J937" s="11" t="n">
        <v>24.9</v>
      </c>
      <c r="K937" s="11" t="n">
        <v>29.2</v>
      </c>
      <c r="L937" s="12" t="n">
        <v>200</v>
      </c>
      <c r="M937" s="10" t="inlineStr">
        <is>
          <t>是</t>
        </is>
      </c>
      <c r="N937" s="10" t="inlineStr">
        <is>
          <t>否</t>
        </is>
      </c>
      <c r="O937" s="10" t="inlineStr">
        <is>
          <t>supplier0933@example.com</t>
        </is>
      </c>
      <c r="P937" s="10" t="inlineStr">
        <is>
          <t>https://example.com/supplier/0933</t>
        </is>
      </c>
      <c r="Q937" s="10">
        <f>IF(R937&gt;=85,"A",IF(R937&gt;=70,"B","C"))</f>
        <v/>
      </c>
      <c r="R937" s="13">
        <f>MIN(100,50+IF(M937="是",10,0)+IF(N937="是",10,0)+IF(L937&lt;=100,10,IF(L937&lt;=300,5,0))+IF(J937&lt;=20,10,IF(J937&lt;=50,5,0))+IF(K937-J937&lt;=20,5,0)+IF(F937="企业官网",5,0))</f>
        <v/>
      </c>
      <c r="S937" s="10">
        <f>IF(Q937="A","价格与起订量有优势，建议优先询盘",IF(Q937="B","条件较均衡，可作为备选","起订量或价格需要进一步确认"))</f>
        <v/>
      </c>
      <c r="T937" s="10" t="inlineStr">
        <is>
          <t>未联系</t>
        </is>
      </c>
      <c r="U937" s="10" t="inlineStr">
        <is>
          <t>虚构演示数据</t>
        </is>
      </c>
    </row>
    <row r="938" ht="21" customHeight="1">
      <c r="A938" s="10" t="inlineStr">
        <is>
          <t>GYS-0934</t>
        </is>
      </c>
      <c r="B938" s="10" t="inlineStr">
        <is>
          <t>台州小家电供应链0934有限公司（演示）</t>
        </is>
      </c>
      <c r="C938" s="10" t="inlineStr">
        <is>
          <t>小家电</t>
        </is>
      </c>
      <c r="D938" s="10" t="inlineStr">
        <is>
          <t>迷你加湿器</t>
        </is>
      </c>
      <c r="E938" s="10" t="inlineStr">
        <is>
          <t>浙江台州</t>
        </is>
      </c>
      <c r="F938" s="10" t="inlineStr">
        <is>
          <t>1688</t>
        </is>
      </c>
      <c r="G938" s="10" t="inlineStr">
        <is>
          <t>张经理</t>
        </is>
      </c>
      <c r="H938" s="10" t="inlineStr">
        <is>
          <t>000-0000-0934</t>
        </is>
      </c>
      <c r="I938" s="10" t="inlineStr">
        <is>
          <t>DEMO_GYS_0934</t>
        </is>
      </c>
      <c r="J938" s="11" t="n">
        <v>26.6</v>
      </c>
      <c r="K938" s="11" t="n">
        <v>32</v>
      </c>
      <c r="L938" s="12" t="n">
        <v>100</v>
      </c>
      <c r="M938" s="10" t="inlineStr">
        <is>
          <t>是</t>
        </is>
      </c>
      <c r="N938" s="10" t="inlineStr">
        <is>
          <t>是</t>
        </is>
      </c>
      <c r="O938" s="10" t="inlineStr">
        <is>
          <t>supplier0934@example.com</t>
        </is>
      </c>
      <c r="P938" s="10" t="inlineStr">
        <is>
          <t>https://example.com/supplier/0934</t>
        </is>
      </c>
      <c r="Q938" s="10">
        <f>IF(R938&gt;=85,"A",IF(R938&gt;=70,"B","C"))</f>
        <v/>
      </c>
      <c r="R938" s="13">
        <f>MIN(100,50+IF(M938="是",10,0)+IF(N938="是",10,0)+IF(L938&lt;=100,10,IF(L938&lt;=300,5,0))+IF(J938&lt;=20,10,IF(J938&lt;=50,5,0))+IF(K938-J938&lt;=20,5,0)+IF(F938="企业官网",5,0))</f>
        <v/>
      </c>
      <c r="S938" s="10">
        <f>IF(Q938="A","价格与起订量有优势，建议优先询盘",IF(Q938="B","条件较均衡，可作为备选","起订量或价格需要进一步确认"))</f>
        <v/>
      </c>
      <c r="T938" s="10" t="inlineStr">
        <is>
          <t>未联系</t>
        </is>
      </c>
      <c r="U938" s="10" t="inlineStr">
        <is>
          <t>虚构演示数据</t>
        </is>
      </c>
    </row>
    <row r="939" ht="21" customHeight="1">
      <c r="A939" s="10" t="inlineStr">
        <is>
          <t>GYS-0935</t>
        </is>
      </c>
      <c r="B939" s="10" t="inlineStr">
        <is>
          <t>东莞礼品包装供应链0935有限公司（演示）</t>
        </is>
      </c>
      <c r="C939" s="10" t="inlineStr">
        <is>
          <t>礼品包装</t>
        </is>
      </c>
      <c r="D939" s="10" t="inlineStr">
        <is>
          <t>节日礼盒</t>
        </is>
      </c>
      <c r="E939" s="10" t="inlineStr">
        <is>
          <t>广东东莞</t>
        </is>
      </c>
      <c r="F939" s="10" t="inlineStr">
        <is>
          <t>中国制造网</t>
        </is>
      </c>
      <c r="G939" s="10" t="inlineStr">
        <is>
          <t>刘经理</t>
        </is>
      </c>
      <c r="H939" s="10" t="inlineStr">
        <is>
          <t>000-0000-0935</t>
        </is>
      </c>
      <c r="I939" s="10" t="inlineStr">
        <is>
          <t>DEMO_GYS_0935</t>
        </is>
      </c>
      <c r="J939" s="11" t="n">
        <v>28.3</v>
      </c>
      <c r="K939" s="11" t="n">
        <v>34.8</v>
      </c>
      <c r="L939" s="12" t="n">
        <v>50</v>
      </c>
      <c r="M939" s="10" t="inlineStr">
        <is>
          <t>是</t>
        </is>
      </c>
      <c r="N939" s="10" t="inlineStr">
        <is>
          <t>是</t>
        </is>
      </c>
      <c r="O939" s="10" t="inlineStr">
        <is>
          <t>supplier0935@example.com</t>
        </is>
      </c>
      <c r="P939" s="10" t="inlineStr">
        <is>
          <t>https://example.com/supplier/0935</t>
        </is>
      </c>
      <c r="Q939" s="10">
        <f>IF(R939&gt;=85,"A",IF(R939&gt;=70,"B","C"))</f>
        <v/>
      </c>
      <c r="R939" s="13">
        <f>MIN(100,50+IF(M939="是",10,0)+IF(N939="是",10,0)+IF(L939&lt;=100,10,IF(L939&lt;=300,5,0))+IF(J939&lt;=20,10,IF(J939&lt;=50,5,0))+IF(K939-J939&lt;=20,5,0)+IF(F939="企业官网",5,0))</f>
        <v/>
      </c>
      <c r="S939" s="10">
        <f>IF(Q939="A","价格与起订量有优势，建议优先询盘",IF(Q939="B","条件较均衡，可作为备选","起订量或价格需要进一步确认"))</f>
        <v/>
      </c>
      <c r="T939" s="10" t="inlineStr">
        <is>
          <t>未联系</t>
        </is>
      </c>
      <c r="U939" s="10" t="inlineStr">
        <is>
          <t>虚构演示数据</t>
        </is>
      </c>
    </row>
    <row r="940" ht="21" customHeight="1">
      <c r="A940" s="10" t="inlineStr">
        <is>
          <t>GYS-0936</t>
        </is>
      </c>
      <c r="B940" s="10" t="inlineStr">
        <is>
          <t>厦门五金工具供应链0936有限公司（演示）</t>
        </is>
      </c>
      <c r="C940" s="10" t="inlineStr">
        <is>
          <t>五金工具</t>
        </is>
      </c>
      <c r="D940" s="10" t="inlineStr">
        <is>
          <t>多功能螺丝刀</t>
        </is>
      </c>
      <c r="E940" s="10" t="inlineStr">
        <is>
          <t>福建厦门</t>
        </is>
      </c>
      <c r="F940" s="10" t="inlineStr">
        <is>
          <t>企业官网</t>
        </is>
      </c>
      <c r="G940" s="10" t="inlineStr">
        <is>
          <t>黄经理</t>
        </is>
      </c>
      <c r="H940" s="10" t="inlineStr">
        <is>
          <t>000-0000-0936</t>
        </is>
      </c>
      <c r="I940" s="10" t="inlineStr">
        <is>
          <t>DEMO_GYS_0936</t>
        </is>
      </c>
      <c r="J940" s="11" t="n">
        <v>30</v>
      </c>
      <c r="K940" s="11" t="n">
        <v>37.6</v>
      </c>
      <c r="L940" s="12" t="n">
        <v>20</v>
      </c>
      <c r="M940" s="10" t="inlineStr">
        <is>
          <t>否</t>
        </is>
      </c>
      <c r="N940" s="10" t="inlineStr">
        <is>
          <t>否</t>
        </is>
      </c>
      <c r="O940" s="10" t="inlineStr">
        <is>
          <t>supplier0936@example.com</t>
        </is>
      </c>
      <c r="P940" s="10" t="inlineStr">
        <is>
          <t>https://example.com/supplier/0936</t>
        </is>
      </c>
      <c r="Q940" s="10">
        <f>IF(R940&gt;=85,"A",IF(R940&gt;=70,"B","C"))</f>
        <v/>
      </c>
      <c r="R940" s="13">
        <f>MIN(100,50+IF(M940="是",10,0)+IF(N940="是",10,0)+IF(L940&lt;=100,10,IF(L940&lt;=300,5,0))+IF(J940&lt;=20,10,IF(J940&lt;=50,5,0))+IF(K940-J940&lt;=20,5,0)+IF(F940="企业官网",5,0))</f>
        <v/>
      </c>
      <c r="S940" s="10">
        <f>IF(Q940="A","价格与起订量有优势，建议优先询盘",IF(Q940="B","条件较均衡，可作为备选","起订量或价格需要进一步确认"))</f>
        <v/>
      </c>
      <c r="T940" s="10" t="inlineStr">
        <is>
          <t>未联系</t>
        </is>
      </c>
      <c r="U940" s="10" t="inlineStr">
        <is>
          <t>虚构演示数据</t>
        </is>
      </c>
    </row>
    <row r="941" ht="21" customHeight="1">
      <c r="A941" s="10" t="inlineStr">
        <is>
          <t>GYS-0937</t>
        </is>
      </c>
      <c r="B941" s="10" t="inlineStr">
        <is>
          <t>临沂鞋靴配件供应链0937有限公司（演示）</t>
        </is>
      </c>
      <c r="C941" s="10" t="inlineStr">
        <is>
          <t>鞋靴配件</t>
        </is>
      </c>
      <c r="D941" s="10" t="inlineStr">
        <is>
          <t>防磨脚贴</t>
        </is>
      </c>
      <c r="E941" s="10" t="inlineStr">
        <is>
          <t>山东临沂</t>
        </is>
      </c>
      <c r="F941" s="10" t="inlineStr">
        <is>
          <t>义乌购</t>
        </is>
      </c>
      <c r="G941" s="10" t="inlineStr">
        <is>
          <t>赵经理</t>
        </is>
      </c>
      <c r="H941" s="10" t="inlineStr">
        <is>
          <t>000-0000-0937</t>
        </is>
      </c>
      <c r="I941" s="10" t="inlineStr">
        <is>
          <t>DEMO_GYS_0937</t>
        </is>
      </c>
      <c r="J941" s="11" t="n">
        <v>31.7</v>
      </c>
      <c r="K941" s="11" t="n">
        <v>40.4</v>
      </c>
      <c r="L941" s="12" t="n">
        <v>500</v>
      </c>
      <c r="M941" s="10" t="inlineStr">
        <is>
          <t>是</t>
        </is>
      </c>
      <c r="N941" s="10" t="inlineStr">
        <is>
          <t>是</t>
        </is>
      </c>
      <c r="O941" s="10" t="inlineStr">
        <is>
          <t>supplier0937@example.com</t>
        </is>
      </c>
      <c r="P941" s="10" t="inlineStr">
        <is>
          <t>https://example.com/supplier/0937</t>
        </is>
      </c>
      <c r="Q941" s="10">
        <f>IF(R941&gt;=85,"A",IF(R941&gt;=70,"B","C"))</f>
        <v/>
      </c>
      <c r="R941" s="13">
        <f>MIN(100,50+IF(M941="是",10,0)+IF(N941="是",10,0)+IF(L941&lt;=100,10,IF(L941&lt;=300,5,0))+IF(J941&lt;=20,10,IF(J941&lt;=50,5,0))+IF(K941-J941&lt;=20,5,0)+IF(F941="企业官网",5,0))</f>
        <v/>
      </c>
      <c r="S941" s="10">
        <f>IF(Q941="A","价格与起订量有优势，建议优先询盘",IF(Q941="B","条件较均衡，可作为备选","起订量或价格需要进一步确认"))</f>
        <v/>
      </c>
      <c r="T941" s="10" t="inlineStr">
        <is>
          <t>未联系</t>
        </is>
      </c>
      <c r="U941" s="10" t="inlineStr">
        <is>
          <t>虚构演示数据</t>
        </is>
      </c>
    </row>
    <row r="942" ht="21" customHeight="1">
      <c r="A942" s="10" t="inlineStr">
        <is>
          <t>GYS-0938</t>
        </is>
      </c>
      <c r="B942" s="10" t="inlineStr">
        <is>
          <t>南昌食品包装供应链0938有限公司（演示）</t>
        </is>
      </c>
      <c r="C942" s="10" t="inlineStr">
        <is>
          <t>食品包装</t>
        </is>
      </c>
      <c r="D942" s="10" t="inlineStr">
        <is>
          <t>密封包装袋</t>
        </is>
      </c>
      <c r="E942" s="10" t="inlineStr">
        <is>
          <t>江西南昌</t>
        </is>
      </c>
      <c r="F942" s="10" t="inlineStr">
        <is>
          <t>慧聪网</t>
        </is>
      </c>
      <c r="G942" s="10" t="inlineStr">
        <is>
          <t>周经理</t>
        </is>
      </c>
      <c r="H942" s="10" t="inlineStr">
        <is>
          <t>000-0000-0938</t>
        </is>
      </c>
      <c r="I942" s="10" t="inlineStr">
        <is>
          <t>DEMO_GYS_0938</t>
        </is>
      </c>
      <c r="J942" s="11" t="n">
        <v>33.4</v>
      </c>
      <c r="K942" s="11" t="n">
        <v>43.2</v>
      </c>
      <c r="L942" s="12" t="n">
        <v>300</v>
      </c>
      <c r="M942" s="10" t="inlineStr">
        <is>
          <t>是</t>
        </is>
      </c>
      <c r="N942" s="10" t="inlineStr">
        <is>
          <t>是</t>
        </is>
      </c>
      <c r="O942" s="10" t="inlineStr">
        <is>
          <t>supplier0938@example.com</t>
        </is>
      </c>
      <c r="P942" s="10" t="inlineStr">
        <is>
          <t>https://example.com/supplier/0938</t>
        </is>
      </c>
      <c r="Q942" s="10">
        <f>IF(R942&gt;=85,"A",IF(R942&gt;=70,"B","C"))</f>
        <v/>
      </c>
      <c r="R942" s="13">
        <f>MIN(100,50+IF(M942="是",10,0)+IF(N942="是",10,0)+IF(L942&lt;=100,10,IF(L942&lt;=300,5,0))+IF(J942&lt;=20,10,IF(J942&lt;=50,5,0))+IF(K942-J942&lt;=20,5,0)+IF(F942="企业官网",5,0))</f>
        <v/>
      </c>
      <c r="S942" s="10">
        <f>IF(Q942="A","价格与起订量有优势，建议优先询盘",IF(Q942="B","条件较均衡，可作为备选","起订量或价格需要进一步确认"))</f>
        <v/>
      </c>
      <c r="T942" s="10" t="inlineStr">
        <is>
          <t>未联系</t>
        </is>
      </c>
      <c r="U942" s="10" t="inlineStr">
        <is>
          <t>虚构演示数据</t>
        </is>
      </c>
    </row>
    <row r="943" ht="21" customHeight="1">
      <c r="A943" s="10" t="inlineStr">
        <is>
          <t>GYS-0939</t>
        </is>
      </c>
      <c r="B943" s="10" t="inlineStr">
        <is>
          <t>温州户外照明供应链0939有限公司（演示）</t>
        </is>
      </c>
      <c r="C943" s="10" t="inlineStr">
        <is>
          <t>户外照明</t>
        </is>
      </c>
      <c r="D943" s="10" t="inlineStr">
        <is>
          <t>便携露营灯</t>
        </is>
      </c>
      <c r="E943" s="10" t="inlineStr">
        <is>
          <t>浙江温州</t>
        </is>
      </c>
      <c r="F943" s="10" t="inlineStr">
        <is>
          <t>1688</t>
        </is>
      </c>
      <c r="G943" s="10" t="inlineStr">
        <is>
          <t>吴经理</t>
        </is>
      </c>
      <c r="H943" s="10" t="inlineStr">
        <is>
          <t>000-0000-0939</t>
        </is>
      </c>
      <c r="I943" s="10" t="inlineStr">
        <is>
          <t>DEMO_GYS_0939</t>
        </is>
      </c>
      <c r="J943" s="11" t="n">
        <v>35.1</v>
      </c>
      <c r="K943" s="11" t="n">
        <v>46</v>
      </c>
      <c r="L943" s="12" t="n">
        <v>200</v>
      </c>
      <c r="M943" s="10" t="inlineStr">
        <is>
          <t>是</t>
        </is>
      </c>
      <c r="N943" s="10" t="inlineStr">
        <is>
          <t>否</t>
        </is>
      </c>
      <c r="O943" s="10" t="inlineStr">
        <is>
          <t>supplier0939@example.com</t>
        </is>
      </c>
      <c r="P943" s="10" t="inlineStr">
        <is>
          <t>https://example.com/supplier/0939</t>
        </is>
      </c>
      <c r="Q943" s="10">
        <f>IF(R943&gt;=85,"A",IF(R943&gt;=70,"B","C"))</f>
        <v/>
      </c>
      <c r="R943" s="13">
        <f>MIN(100,50+IF(M943="是",10,0)+IF(N943="是",10,0)+IF(L943&lt;=100,10,IF(L943&lt;=300,5,0))+IF(J943&lt;=20,10,IF(J943&lt;=50,5,0))+IF(K943-J943&lt;=20,5,0)+IF(F943="企业官网",5,0))</f>
        <v/>
      </c>
      <c r="S943" s="10">
        <f>IF(Q943="A","价格与起订量有优势，建议优先询盘",IF(Q943="B","条件较均衡，可作为备选","起订量或价格需要进一步确认"))</f>
        <v/>
      </c>
      <c r="T943" s="10" t="inlineStr">
        <is>
          <t>未联系</t>
        </is>
      </c>
      <c r="U943" s="10" t="inlineStr">
        <is>
          <t>虚构演示数据</t>
        </is>
      </c>
    </row>
    <row r="944" ht="21" customHeight="1">
      <c r="A944" s="10" t="inlineStr">
        <is>
          <t>GYS-0940</t>
        </is>
      </c>
      <c r="B944" s="10" t="inlineStr">
        <is>
          <t>广州健康用品供应链0940有限公司（演示）</t>
        </is>
      </c>
      <c r="C944" s="10" t="inlineStr">
        <is>
          <t>健康用品</t>
        </is>
      </c>
      <c r="D944" s="10" t="inlineStr">
        <is>
          <t>热敷眼罩</t>
        </is>
      </c>
      <c r="E944" s="10" t="inlineStr">
        <is>
          <t>广东广州</t>
        </is>
      </c>
      <c r="F944" s="10" t="inlineStr">
        <is>
          <t>中国制造网</t>
        </is>
      </c>
      <c r="G944" s="10" t="inlineStr">
        <is>
          <t>陈经理</t>
        </is>
      </c>
      <c r="H944" s="10" t="inlineStr">
        <is>
          <t>000-0000-0940</t>
        </is>
      </c>
      <c r="I944" s="10" t="inlineStr">
        <is>
          <t>DEMO_GYS_0940</t>
        </is>
      </c>
      <c r="J944" s="11" t="n">
        <v>36.8</v>
      </c>
      <c r="K944" s="11" t="n">
        <v>48.8</v>
      </c>
      <c r="L944" s="12" t="n">
        <v>100</v>
      </c>
      <c r="M944" s="10" t="inlineStr">
        <is>
          <t>否</t>
        </is>
      </c>
      <c r="N944" s="10" t="inlineStr">
        <is>
          <t>是</t>
        </is>
      </c>
      <c r="O944" s="10" t="inlineStr">
        <is>
          <t>supplier0940@example.com</t>
        </is>
      </c>
      <c r="P944" s="10" t="inlineStr">
        <is>
          <t>https://example.com/supplier/0940</t>
        </is>
      </c>
      <c r="Q944" s="10">
        <f>IF(R944&gt;=85,"A",IF(R944&gt;=70,"B","C"))</f>
        <v/>
      </c>
      <c r="R944" s="13">
        <f>MIN(100,50+IF(M944="是",10,0)+IF(N944="是",10,0)+IF(L944&lt;=100,10,IF(L944&lt;=300,5,0))+IF(J944&lt;=20,10,IF(J944&lt;=50,5,0))+IF(K944-J944&lt;=20,5,0)+IF(F944="企业官网",5,0))</f>
        <v/>
      </c>
      <c r="S944" s="10">
        <f>IF(Q944="A","价格与起订量有优势，建议优先询盘",IF(Q944="B","条件较均衡，可作为备选","起订量或价格需要进一步确认"))</f>
        <v/>
      </c>
      <c r="T944" s="10" t="inlineStr">
        <is>
          <t>未联系</t>
        </is>
      </c>
      <c r="U944" s="10" t="inlineStr">
        <is>
          <t>虚构演示数据</t>
        </is>
      </c>
    </row>
    <row r="945" ht="21" customHeight="1">
      <c r="A945" s="10" t="inlineStr">
        <is>
          <t>GYS-0941</t>
        </is>
      </c>
      <c r="B945" s="10" t="inlineStr">
        <is>
          <t>泉州服饰内衣供应链0941有限公司（演示）</t>
        </is>
      </c>
      <c r="C945" s="10" t="inlineStr">
        <is>
          <t>服饰内衣</t>
        </is>
      </c>
      <c r="D945" s="10" t="inlineStr">
        <is>
          <t>防滑袜</t>
        </is>
      </c>
      <c r="E945" s="10" t="inlineStr">
        <is>
          <t>福建泉州</t>
        </is>
      </c>
      <c r="F945" s="10" t="inlineStr">
        <is>
          <t>企业官网</t>
        </is>
      </c>
      <c r="G945" s="10" t="inlineStr">
        <is>
          <t>林经理</t>
        </is>
      </c>
      <c r="H945" s="10" t="inlineStr">
        <is>
          <t>000-0000-0941</t>
        </is>
      </c>
      <c r="I945" s="10" t="inlineStr">
        <is>
          <t>DEMO_GYS_0941</t>
        </is>
      </c>
      <c r="J945" s="11" t="n">
        <v>38.5</v>
      </c>
      <c r="K945" s="11" t="n">
        <v>51.6</v>
      </c>
      <c r="L945" s="12" t="n">
        <v>50</v>
      </c>
      <c r="M945" s="10" t="inlineStr">
        <is>
          <t>是</t>
        </is>
      </c>
      <c r="N945" s="10" t="inlineStr">
        <is>
          <t>是</t>
        </is>
      </c>
      <c r="O945" s="10" t="inlineStr">
        <is>
          <t>supplier0941@example.com</t>
        </is>
      </c>
      <c r="P945" s="10" t="inlineStr">
        <is>
          <t>https://example.com/supplier/0941</t>
        </is>
      </c>
      <c r="Q945" s="10">
        <f>IF(R945&gt;=85,"A",IF(R945&gt;=70,"B","C"))</f>
        <v/>
      </c>
      <c r="R945" s="13">
        <f>MIN(100,50+IF(M945="是",10,0)+IF(N945="是",10,0)+IF(L945&lt;=100,10,IF(L945&lt;=300,5,0))+IF(J945&lt;=20,10,IF(J945&lt;=50,5,0))+IF(K945-J945&lt;=20,5,0)+IF(F945="企业官网",5,0))</f>
        <v/>
      </c>
      <c r="S945" s="10">
        <f>IF(Q945="A","价格与起订量有优势，建议优先询盘",IF(Q945="B","条件较均衡，可作为备选","起订量或价格需要进一步确认"))</f>
        <v/>
      </c>
      <c r="T945" s="10" t="inlineStr">
        <is>
          <t>未联系</t>
        </is>
      </c>
      <c r="U945" s="10" t="inlineStr">
        <is>
          <t>虚构演示数据</t>
        </is>
      </c>
    </row>
    <row r="946" ht="21" customHeight="1">
      <c r="A946" s="10" t="inlineStr">
        <is>
          <t>GYS-0942</t>
        </is>
      </c>
      <c r="B946" s="10" t="inlineStr">
        <is>
          <t>南通家居日用供应链0942有限公司（演示）</t>
        </is>
      </c>
      <c r="C946" s="10" t="inlineStr">
        <is>
          <t>家居日用</t>
        </is>
      </c>
      <c r="D946" s="10" t="inlineStr">
        <is>
          <t>折叠收纳箱</t>
        </is>
      </c>
      <c r="E946" s="10" t="inlineStr">
        <is>
          <t>江苏南通</t>
        </is>
      </c>
      <c r="F946" s="10" t="inlineStr">
        <is>
          <t>义乌购</t>
        </is>
      </c>
      <c r="G946" s="10" t="inlineStr">
        <is>
          <t>王经理</t>
        </is>
      </c>
      <c r="H946" s="10" t="inlineStr">
        <is>
          <t>000-0000-0942</t>
        </is>
      </c>
      <c r="I946" s="10" t="inlineStr">
        <is>
          <t>DEMO_GYS_0942</t>
        </is>
      </c>
      <c r="J946" s="11" t="n">
        <v>40.2</v>
      </c>
      <c r="K946" s="11" t="n">
        <v>54.4</v>
      </c>
      <c r="L946" s="12" t="n">
        <v>20</v>
      </c>
      <c r="M946" s="10" t="inlineStr">
        <is>
          <t>是</t>
        </is>
      </c>
      <c r="N946" s="10" t="inlineStr">
        <is>
          <t>否</t>
        </is>
      </c>
      <c r="O946" s="10" t="inlineStr">
        <is>
          <t>supplier0942@example.com</t>
        </is>
      </c>
      <c r="P946" s="10" t="inlineStr">
        <is>
          <t>https://example.com/supplier/0942</t>
        </is>
      </c>
      <c r="Q946" s="10">
        <f>IF(R946&gt;=85,"A",IF(R946&gt;=70,"B","C"))</f>
        <v/>
      </c>
      <c r="R946" s="13">
        <f>MIN(100,50+IF(M946="是",10,0)+IF(N946="是",10,0)+IF(L946&lt;=100,10,IF(L946&lt;=300,5,0))+IF(J946&lt;=20,10,IF(J946&lt;=50,5,0))+IF(K946-J946&lt;=20,5,0)+IF(F946="企业官网",5,0))</f>
        <v/>
      </c>
      <c r="S946" s="10">
        <f>IF(Q946="A","价格与起订量有优势，建议优先询盘",IF(Q946="B","条件较均衡，可作为备选","起订量或价格需要进一步确认"))</f>
        <v/>
      </c>
      <c r="T946" s="10" t="inlineStr">
        <is>
          <t>未联系</t>
        </is>
      </c>
      <c r="U946" s="10" t="inlineStr">
        <is>
          <t>虚构演示数据</t>
        </is>
      </c>
    </row>
    <row r="947" ht="21" customHeight="1">
      <c r="A947" s="10" t="inlineStr">
        <is>
          <t>GYS-0943</t>
        </is>
      </c>
      <c r="B947" s="10" t="inlineStr">
        <is>
          <t>郑州个护清洁供应链0943有限公司（演示）</t>
        </is>
      </c>
      <c r="C947" s="10" t="inlineStr">
        <is>
          <t>个护清洁</t>
        </is>
      </c>
      <c r="D947" s="10" t="inlineStr">
        <is>
          <t>便携洗脸巾</t>
        </is>
      </c>
      <c r="E947" s="10" t="inlineStr">
        <is>
          <t>河南郑州</t>
        </is>
      </c>
      <c r="F947" s="10" t="inlineStr">
        <is>
          <t>慧聪网</t>
        </is>
      </c>
      <c r="G947" s="10" t="inlineStr">
        <is>
          <t>李经理</t>
        </is>
      </c>
      <c r="H947" s="10" t="inlineStr">
        <is>
          <t>000-0000-0943</t>
        </is>
      </c>
      <c r="I947" s="10" t="inlineStr">
        <is>
          <t>DEMO_GYS_0943</t>
        </is>
      </c>
      <c r="J947" s="11" t="n">
        <v>41.9</v>
      </c>
      <c r="K947" s="11" t="n">
        <v>57.2</v>
      </c>
      <c r="L947" s="12" t="n">
        <v>500</v>
      </c>
      <c r="M947" s="10" t="inlineStr">
        <is>
          <t>是</t>
        </is>
      </c>
      <c r="N947" s="10" t="inlineStr">
        <is>
          <t>是</t>
        </is>
      </c>
      <c r="O947" s="10" t="inlineStr">
        <is>
          <t>supplier0943@example.com</t>
        </is>
      </c>
      <c r="P947" s="10" t="inlineStr">
        <is>
          <t>https://example.com/supplier/0943</t>
        </is>
      </c>
      <c r="Q947" s="10">
        <f>IF(R947&gt;=85,"A",IF(R947&gt;=70,"B","C"))</f>
        <v/>
      </c>
      <c r="R947" s="13">
        <f>MIN(100,50+IF(M947="是",10,0)+IF(N947="是",10,0)+IF(L947&lt;=100,10,IF(L947&lt;=300,5,0))+IF(J947&lt;=20,10,IF(J947&lt;=50,5,0))+IF(K947-J947&lt;=20,5,0)+IF(F947="企业官网",5,0))</f>
        <v/>
      </c>
      <c r="S947" s="10">
        <f>IF(Q947="A","价格与起订量有优势，建议优先询盘",IF(Q947="B","条件较均衡，可作为备选","起订量或价格需要进一步确认"))</f>
        <v/>
      </c>
      <c r="T947" s="10" t="inlineStr">
        <is>
          <t>未联系</t>
        </is>
      </c>
      <c r="U947" s="10" t="inlineStr">
        <is>
          <t>虚构演示数据</t>
        </is>
      </c>
    </row>
    <row r="948" ht="21" customHeight="1">
      <c r="A948" s="10" t="inlineStr">
        <is>
          <t>GYS-0944</t>
        </is>
      </c>
      <c r="B948" s="10" t="inlineStr">
        <is>
          <t>宁波厨房用品供应链0944有限公司（演示）</t>
        </is>
      </c>
      <c r="C948" s="10" t="inlineStr">
        <is>
          <t>厨房用品</t>
        </is>
      </c>
      <c r="D948" s="10" t="inlineStr">
        <is>
          <t>硅胶保鲜盒</t>
        </is>
      </c>
      <c r="E948" s="10" t="inlineStr">
        <is>
          <t>浙江宁波</t>
        </is>
      </c>
      <c r="F948" s="10" t="inlineStr">
        <is>
          <t>1688</t>
        </is>
      </c>
      <c r="G948" s="10" t="inlineStr">
        <is>
          <t>张经理</t>
        </is>
      </c>
      <c r="H948" s="10" t="inlineStr">
        <is>
          <t>000-0000-0944</t>
        </is>
      </c>
      <c r="I948" s="10" t="inlineStr">
        <is>
          <t>DEMO_GYS_0944</t>
        </is>
      </c>
      <c r="J948" s="11" t="n">
        <v>43.6</v>
      </c>
      <c r="K948" s="11" t="n">
        <v>60</v>
      </c>
      <c r="L948" s="12" t="n">
        <v>300</v>
      </c>
      <c r="M948" s="10" t="inlineStr">
        <is>
          <t>否</t>
        </is>
      </c>
      <c r="N948" s="10" t="inlineStr">
        <is>
          <t>是</t>
        </is>
      </c>
      <c r="O948" s="10" t="inlineStr">
        <is>
          <t>supplier0944@example.com</t>
        </is>
      </c>
      <c r="P948" s="10" t="inlineStr">
        <is>
          <t>https://example.com/supplier/0944</t>
        </is>
      </c>
      <c r="Q948" s="10">
        <f>IF(R948&gt;=85,"A",IF(R948&gt;=70,"B","C"))</f>
        <v/>
      </c>
      <c r="R948" s="13">
        <f>MIN(100,50+IF(M948="是",10,0)+IF(N948="是",10,0)+IF(L948&lt;=100,10,IF(L948&lt;=300,5,0))+IF(J948&lt;=20,10,IF(J948&lt;=50,5,0))+IF(K948-J948&lt;=20,5,0)+IF(F948="企业官网",5,0))</f>
        <v/>
      </c>
      <c r="S948" s="10">
        <f>IF(Q948="A","价格与起订量有优势，建议优先询盘",IF(Q948="B","条件较均衡，可作为备选","起订量或价格需要进一步确认"))</f>
        <v/>
      </c>
      <c r="T948" s="10" t="inlineStr">
        <is>
          <t>未联系</t>
        </is>
      </c>
      <c r="U948" s="10" t="inlineStr">
        <is>
          <t>虚构演示数据</t>
        </is>
      </c>
    </row>
    <row r="949" ht="21" customHeight="1">
      <c r="A949" s="10" t="inlineStr">
        <is>
          <t>GYS-0945</t>
        </is>
      </c>
      <c r="B949" s="10" t="inlineStr">
        <is>
          <t>深圳数码配件供应链0945有限公司（演示）</t>
        </is>
      </c>
      <c r="C949" s="10" t="inlineStr">
        <is>
          <t>数码配件</t>
        </is>
      </c>
      <c r="D949" s="10" t="inlineStr">
        <is>
          <t>磁吸手机支架</t>
        </is>
      </c>
      <c r="E949" s="10" t="inlineStr">
        <is>
          <t>广东深圳</t>
        </is>
      </c>
      <c r="F949" s="10" t="inlineStr">
        <is>
          <t>中国制造网</t>
        </is>
      </c>
      <c r="G949" s="10" t="inlineStr">
        <is>
          <t>刘经理</t>
        </is>
      </c>
      <c r="H949" s="10" t="inlineStr">
        <is>
          <t>000-0000-0945</t>
        </is>
      </c>
      <c r="I949" s="10" t="inlineStr">
        <is>
          <t>DEMO_GYS_0945</t>
        </is>
      </c>
      <c r="J949" s="11" t="n">
        <v>45.3</v>
      </c>
      <c r="K949" s="11" t="n">
        <v>62.8</v>
      </c>
      <c r="L949" s="12" t="n">
        <v>200</v>
      </c>
      <c r="M949" s="10" t="inlineStr">
        <is>
          <t>是</t>
        </is>
      </c>
      <c r="N949" s="10" t="inlineStr">
        <is>
          <t>否</t>
        </is>
      </c>
      <c r="O949" s="10" t="inlineStr">
        <is>
          <t>supplier0945@example.com</t>
        </is>
      </c>
      <c r="P949" s="10" t="inlineStr">
        <is>
          <t>https://example.com/supplier/0945</t>
        </is>
      </c>
      <c r="Q949" s="10">
        <f>IF(R949&gt;=85,"A",IF(R949&gt;=70,"B","C"))</f>
        <v/>
      </c>
      <c r="R949" s="13">
        <f>MIN(100,50+IF(M949="是",10,0)+IF(N949="是",10,0)+IF(L949&lt;=100,10,IF(L949&lt;=300,5,0))+IF(J949&lt;=20,10,IF(J949&lt;=50,5,0))+IF(K949-J949&lt;=20,5,0)+IF(F949="企业官网",5,0))</f>
        <v/>
      </c>
      <c r="S949" s="10">
        <f>IF(Q949="A","价格与起订量有优势，建议优先询盘",IF(Q949="B","条件较均衡，可作为备选","起订量或价格需要进一步确认"))</f>
        <v/>
      </c>
      <c r="T949" s="10" t="inlineStr">
        <is>
          <t>未联系</t>
        </is>
      </c>
      <c r="U949" s="10" t="inlineStr">
        <is>
          <t>虚构演示数据</t>
        </is>
      </c>
    </row>
    <row r="950" ht="21" customHeight="1">
      <c r="A950" s="10" t="inlineStr">
        <is>
          <t>GYS-0946</t>
        </is>
      </c>
      <c r="B950" s="10" t="inlineStr">
        <is>
          <t>佛山宠物用品供应链0946有限公司（演示）</t>
        </is>
      </c>
      <c r="C950" s="10" t="inlineStr">
        <is>
          <t>宠物用品</t>
        </is>
      </c>
      <c r="D950" s="10" t="inlineStr">
        <is>
          <t>宠物清洁手套</t>
        </is>
      </c>
      <c r="E950" s="10" t="inlineStr">
        <is>
          <t>广东佛山</t>
        </is>
      </c>
      <c r="F950" s="10" t="inlineStr">
        <is>
          <t>企业官网</t>
        </is>
      </c>
      <c r="G950" s="10" t="inlineStr">
        <is>
          <t>黄经理</t>
        </is>
      </c>
      <c r="H950" s="10" t="inlineStr">
        <is>
          <t>000-0000-0946</t>
        </is>
      </c>
      <c r="I950" s="10" t="inlineStr">
        <is>
          <t>DEMO_GYS_0946</t>
        </is>
      </c>
      <c r="J950" s="11" t="n">
        <v>47</v>
      </c>
      <c r="K950" s="11" t="n">
        <v>65.59999999999999</v>
      </c>
      <c r="L950" s="12" t="n">
        <v>100</v>
      </c>
      <c r="M950" s="10" t="inlineStr">
        <is>
          <t>是</t>
        </is>
      </c>
      <c r="N950" s="10" t="inlineStr">
        <is>
          <t>是</t>
        </is>
      </c>
      <c r="O950" s="10" t="inlineStr">
        <is>
          <t>supplier0946@example.com</t>
        </is>
      </c>
      <c r="P950" s="10" t="inlineStr">
        <is>
          <t>https://example.com/supplier/0946</t>
        </is>
      </c>
      <c r="Q950" s="10">
        <f>IF(R950&gt;=85,"A",IF(R950&gt;=70,"B","C"))</f>
        <v/>
      </c>
      <c r="R950" s="13">
        <f>MIN(100,50+IF(M950="是",10,0)+IF(N950="是",10,0)+IF(L950&lt;=100,10,IF(L950&lt;=300,5,0))+IF(J950&lt;=20,10,IF(J950&lt;=50,5,0))+IF(K950-J950&lt;=20,5,0)+IF(F950="企业官网",5,0))</f>
        <v/>
      </c>
      <c r="S950" s="10">
        <f>IF(Q950="A","价格与起订量有优势，建议优先询盘",IF(Q950="B","条件较均衡，可作为备选","起订量或价格需要进一步确认"))</f>
        <v/>
      </c>
      <c r="T950" s="10" t="inlineStr">
        <is>
          <t>未联系</t>
        </is>
      </c>
      <c r="U950" s="10" t="inlineStr">
        <is>
          <t>虚构演示数据</t>
        </is>
      </c>
    </row>
    <row r="951" ht="21" customHeight="1">
      <c r="A951" s="10" t="inlineStr">
        <is>
          <t>GYS-0947</t>
        </is>
      </c>
      <c r="B951" s="10" t="inlineStr">
        <is>
          <t>苏州母婴用品供应链0947有限公司（演示）</t>
        </is>
      </c>
      <c r="C951" s="10" t="inlineStr">
        <is>
          <t>母婴用品</t>
        </is>
      </c>
      <c r="D951" s="10" t="inlineStr">
        <is>
          <t>婴儿防撞条</t>
        </is>
      </c>
      <c r="E951" s="10" t="inlineStr">
        <is>
          <t>江苏苏州</t>
        </is>
      </c>
      <c r="F951" s="10" t="inlineStr">
        <is>
          <t>义乌购</t>
        </is>
      </c>
      <c r="G951" s="10" t="inlineStr">
        <is>
          <t>赵经理</t>
        </is>
      </c>
      <c r="H951" s="10" t="inlineStr">
        <is>
          <t>000-0000-0947</t>
        </is>
      </c>
      <c r="I951" s="10" t="inlineStr">
        <is>
          <t>DEMO_GYS_0947</t>
        </is>
      </c>
      <c r="J951" s="11" t="n">
        <v>48.7</v>
      </c>
      <c r="K951" s="11" t="n">
        <v>68.40000000000001</v>
      </c>
      <c r="L951" s="12" t="n">
        <v>50</v>
      </c>
      <c r="M951" s="10" t="inlineStr">
        <is>
          <t>是</t>
        </is>
      </c>
      <c r="N951" s="10" t="inlineStr">
        <is>
          <t>是</t>
        </is>
      </c>
      <c r="O951" s="10" t="inlineStr">
        <is>
          <t>supplier0947@example.com</t>
        </is>
      </c>
      <c r="P951" s="10" t="inlineStr">
        <is>
          <t>https://example.com/supplier/0947</t>
        </is>
      </c>
      <c r="Q951" s="10">
        <f>IF(R951&gt;=85,"A",IF(R951&gt;=70,"B","C"))</f>
        <v/>
      </c>
      <c r="R951" s="13">
        <f>MIN(100,50+IF(M951="是",10,0)+IF(N951="是",10,0)+IF(L951&lt;=100,10,IF(L951&lt;=300,5,0))+IF(J951&lt;=20,10,IF(J951&lt;=50,5,0))+IF(K951-J951&lt;=20,5,0)+IF(F951="企业官网",5,0))</f>
        <v/>
      </c>
      <c r="S951" s="10">
        <f>IF(Q951="A","价格与起订量有优势，建议优先询盘",IF(Q951="B","条件较均衡，可作为备选","起订量或价格需要进一步确认"))</f>
        <v/>
      </c>
      <c r="T951" s="10" t="inlineStr">
        <is>
          <t>未联系</t>
        </is>
      </c>
      <c r="U951" s="10" t="inlineStr">
        <is>
          <t>虚构演示数据</t>
        </is>
      </c>
    </row>
    <row r="952" ht="21" customHeight="1">
      <c r="A952" s="10" t="inlineStr">
        <is>
          <t>GYS-0948</t>
        </is>
      </c>
      <c r="B952" s="10" t="inlineStr">
        <is>
          <t>白沟运动户外供应链0948有限公司（演示）</t>
        </is>
      </c>
      <c r="C952" s="10" t="inlineStr">
        <is>
          <t>运动户外</t>
        </is>
      </c>
      <c r="D952" s="10" t="inlineStr">
        <is>
          <t>弹力训练带</t>
        </is>
      </c>
      <c r="E952" s="10" t="inlineStr">
        <is>
          <t>河北白沟</t>
        </is>
      </c>
      <c r="F952" s="10" t="inlineStr">
        <is>
          <t>慧聪网</t>
        </is>
      </c>
      <c r="G952" s="10" t="inlineStr">
        <is>
          <t>周经理</t>
        </is>
      </c>
      <c r="H952" s="10" t="inlineStr">
        <is>
          <t>000-0000-0948</t>
        </is>
      </c>
      <c r="I952" s="10" t="inlineStr">
        <is>
          <t>DEMO_GYS_0948</t>
        </is>
      </c>
      <c r="J952" s="11" t="n">
        <v>4.4</v>
      </c>
      <c r="K952" s="11" t="n">
        <v>25.2</v>
      </c>
      <c r="L952" s="12" t="n">
        <v>20</v>
      </c>
      <c r="M952" s="10" t="inlineStr">
        <is>
          <t>否</t>
        </is>
      </c>
      <c r="N952" s="10" t="inlineStr">
        <is>
          <t>否</t>
        </is>
      </c>
      <c r="O952" s="10" t="inlineStr">
        <is>
          <t>supplier0948@example.com</t>
        </is>
      </c>
      <c r="P952" s="10" t="inlineStr">
        <is>
          <t>https://example.com/supplier/0948</t>
        </is>
      </c>
      <c r="Q952" s="10">
        <f>IF(R952&gt;=85,"A",IF(R952&gt;=70,"B","C"))</f>
        <v/>
      </c>
      <c r="R952" s="13">
        <f>MIN(100,50+IF(M952="是",10,0)+IF(N952="是",10,0)+IF(L952&lt;=100,10,IF(L952&lt;=300,5,0))+IF(J952&lt;=20,10,IF(J952&lt;=50,5,0))+IF(K952-J952&lt;=20,5,0)+IF(F952="企业官网",5,0))</f>
        <v/>
      </c>
      <c r="S952" s="10">
        <f>IF(Q952="A","价格与起订量有优势，建议优先询盘",IF(Q952="B","条件较均衡，可作为备选","起订量或价格需要进一步确认"))</f>
        <v/>
      </c>
      <c r="T952" s="10" t="inlineStr">
        <is>
          <t>未联系</t>
        </is>
      </c>
      <c r="U952" s="10" t="inlineStr">
        <is>
          <t>虚构演示数据</t>
        </is>
      </c>
    </row>
    <row r="953" ht="21" customHeight="1">
      <c r="A953" s="10" t="inlineStr">
        <is>
          <t>GYS-0949</t>
        </is>
      </c>
      <c r="B953" s="10" t="inlineStr">
        <is>
          <t>义乌办公文具供应链0949有限公司（演示）</t>
        </is>
      </c>
      <c r="C953" s="10" t="inlineStr">
        <is>
          <t>办公文具</t>
        </is>
      </c>
      <c r="D953" s="10" t="inlineStr">
        <is>
          <t>桌面收纳架</t>
        </is>
      </c>
      <c r="E953" s="10" t="inlineStr">
        <is>
          <t>浙江义乌</t>
        </is>
      </c>
      <c r="F953" s="10" t="inlineStr">
        <is>
          <t>1688</t>
        </is>
      </c>
      <c r="G953" s="10" t="inlineStr">
        <is>
          <t>吴经理</t>
        </is>
      </c>
      <c r="H953" s="10" t="inlineStr">
        <is>
          <t>000-0000-0949</t>
        </is>
      </c>
      <c r="I953" s="10" t="inlineStr">
        <is>
          <t>DEMO_GYS_0949</t>
        </is>
      </c>
      <c r="J953" s="11" t="n">
        <v>6.1</v>
      </c>
      <c r="K953" s="11" t="n">
        <v>28</v>
      </c>
      <c r="L953" s="12" t="n">
        <v>500</v>
      </c>
      <c r="M953" s="10" t="inlineStr">
        <is>
          <t>是</t>
        </is>
      </c>
      <c r="N953" s="10" t="inlineStr">
        <is>
          <t>是</t>
        </is>
      </c>
      <c r="O953" s="10" t="inlineStr">
        <is>
          <t>supplier0949@example.com</t>
        </is>
      </c>
      <c r="P953" s="10" t="inlineStr">
        <is>
          <t>https://example.com/supplier/0949</t>
        </is>
      </c>
      <c r="Q953" s="10">
        <f>IF(R953&gt;=85,"A",IF(R953&gt;=70,"B","C"))</f>
        <v/>
      </c>
      <c r="R953" s="13">
        <f>MIN(100,50+IF(M953="是",10,0)+IF(N953="是",10,0)+IF(L953&lt;=100,10,IF(L953&lt;=300,5,0))+IF(J953&lt;=20,10,IF(J953&lt;=50,5,0))+IF(K953-J953&lt;=20,5,0)+IF(F953="企业官网",5,0))</f>
        <v/>
      </c>
      <c r="S953" s="10">
        <f>IF(Q953="A","价格与起订量有优势，建议优先询盘",IF(Q953="B","条件较均衡，可作为备选","起订量或价格需要进一步确认"))</f>
        <v/>
      </c>
      <c r="T953" s="10" t="inlineStr">
        <is>
          <t>未联系</t>
        </is>
      </c>
      <c r="U953" s="10" t="inlineStr">
        <is>
          <t>虚构演示数据</t>
        </is>
      </c>
    </row>
    <row r="954" ht="21" customHeight="1">
      <c r="A954" s="10" t="inlineStr">
        <is>
          <t>GYS-0950</t>
        </is>
      </c>
      <c r="B954" s="10" t="inlineStr">
        <is>
          <t>台州汽车用品供应链0950有限公司（演示）</t>
        </is>
      </c>
      <c r="C954" s="10" t="inlineStr">
        <is>
          <t>汽车用品</t>
        </is>
      </c>
      <c r="D954" s="10" t="inlineStr">
        <is>
          <t>车载香薰</t>
        </is>
      </c>
      <c r="E954" s="10" t="inlineStr">
        <is>
          <t>浙江台州</t>
        </is>
      </c>
      <c r="F954" s="10" t="inlineStr">
        <is>
          <t>中国制造网</t>
        </is>
      </c>
      <c r="G954" s="10" t="inlineStr">
        <is>
          <t>陈经理</t>
        </is>
      </c>
      <c r="H954" s="10" t="inlineStr">
        <is>
          <t>000-0000-0950</t>
        </is>
      </c>
      <c r="I954" s="10" t="inlineStr">
        <is>
          <t>DEMO_GYS_0950</t>
        </is>
      </c>
      <c r="J954" s="11" t="n">
        <v>7.8</v>
      </c>
      <c r="K954" s="11" t="n">
        <v>12.8</v>
      </c>
      <c r="L954" s="12" t="n">
        <v>300</v>
      </c>
      <c r="M954" s="10" t="inlineStr">
        <is>
          <t>是</t>
        </is>
      </c>
      <c r="N954" s="10" t="inlineStr">
        <is>
          <t>是</t>
        </is>
      </c>
      <c r="O954" s="10" t="inlineStr">
        <is>
          <t>supplier0950@example.com</t>
        </is>
      </c>
      <c r="P954" s="10" t="inlineStr">
        <is>
          <t>https://example.com/supplier/0950</t>
        </is>
      </c>
      <c r="Q954" s="10">
        <f>IF(R954&gt;=85,"A",IF(R954&gt;=70,"B","C"))</f>
        <v/>
      </c>
      <c r="R954" s="13">
        <f>MIN(100,50+IF(M954="是",10,0)+IF(N954="是",10,0)+IF(L954&lt;=100,10,IF(L954&lt;=300,5,0))+IF(J954&lt;=20,10,IF(J954&lt;=50,5,0))+IF(K954-J954&lt;=20,5,0)+IF(F954="企业官网",5,0))</f>
        <v/>
      </c>
      <c r="S954" s="10">
        <f>IF(Q954="A","价格与起订量有优势，建议优先询盘",IF(Q954="B","条件较均衡，可作为备选","起订量或价格需要进一步确认"))</f>
        <v/>
      </c>
      <c r="T954" s="10" t="inlineStr">
        <is>
          <t>未联系</t>
        </is>
      </c>
      <c r="U954" s="10" t="inlineStr">
        <is>
          <t>虚构演示数据</t>
        </is>
      </c>
    </row>
    <row r="955" ht="21" customHeight="1">
      <c r="A955" s="10" t="inlineStr">
        <is>
          <t>GYS-0951</t>
        </is>
      </c>
      <c r="B955" s="10" t="inlineStr">
        <is>
          <t>东莞美容工具供应链0951有限公司（演示）</t>
        </is>
      </c>
      <c r="C955" s="10" t="inlineStr">
        <is>
          <t>美容工具</t>
        </is>
      </c>
      <c r="D955" s="10" t="inlineStr">
        <is>
          <t>便携化妆镜</t>
        </is>
      </c>
      <c r="E955" s="10" t="inlineStr">
        <is>
          <t>广东东莞</t>
        </is>
      </c>
      <c r="F955" s="10" t="inlineStr">
        <is>
          <t>企业官网</t>
        </is>
      </c>
      <c r="G955" s="10" t="inlineStr">
        <is>
          <t>林经理</t>
        </is>
      </c>
      <c r="H955" s="10" t="inlineStr">
        <is>
          <t>000-0000-0951</t>
        </is>
      </c>
      <c r="I955" s="10" t="inlineStr">
        <is>
          <t>DEMO_GYS_0951</t>
        </is>
      </c>
      <c r="J955" s="11" t="n">
        <v>9.5</v>
      </c>
      <c r="K955" s="11" t="n">
        <v>15.6</v>
      </c>
      <c r="L955" s="12" t="n">
        <v>200</v>
      </c>
      <c r="M955" s="10" t="inlineStr">
        <is>
          <t>是</t>
        </is>
      </c>
      <c r="N955" s="10" t="inlineStr">
        <is>
          <t>否</t>
        </is>
      </c>
      <c r="O955" s="10" t="inlineStr">
        <is>
          <t>supplier0951@example.com</t>
        </is>
      </c>
      <c r="P955" s="10" t="inlineStr">
        <is>
          <t>https://example.com/supplier/0951</t>
        </is>
      </c>
      <c r="Q955" s="10">
        <f>IF(R955&gt;=85,"A",IF(R955&gt;=70,"B","C"))</f>
        <v/>
      </c>
      <c r="R955" s="13">
        <f>MIN(100,50+IF(M955="是",10,0)+IF(N955="是",10,0)+IF(L955&lt;=100,10,IF(L955&lt;=300,5,0))+IF(J955&lt;=20,10,IF(J955&lt;=50,5,0))+IF(K955-J955&lt;=20,5,0)+IF(F955="企业官网",5,0))</f>
        <v/>
      </c>
      <c r="S955" s="10">
        <f>IF(Q955="A","价格与起订量有优势，建议优先询盘",IF(Q955="B","条件较均衡，可作为备选","起订量或价格需要进一步确认"))</f>
        <v/>
      </c>
      <c r="T955" s="10" t="inlineStr">
        <is>
          <t>未联系</t>
        </is>
      </c>
      <c r="U955" s="10" t="inlineStr">
        <is>
          <t>虚构演示数据</t>
        </is>
      </c>
    </row>
    <row r="956" ht="21" customHeight="1">
      <c r="A956" s="10" t="inlineStr">
        <is>
          <t>GYS-0952</t>
        </is>
      </c>
      <c r="B956" s="10" t="inlineStr">
        <is>
          <t>厦门旅行用品供应链0952有限公司（演示）</t>
        </is>
      </c>
      <c r="C956" s="10" t="inlineStr">
        <is>
          <t>旅行用品</t>
        </is>
      </c>
      <c r="D956" s="10" t="inlineStr">
        <is>
          <t>压缩收纳袋</t>
        </is>
      </c>
      <c r="E956" s="10" t="inlineStr">
        <is>
          <t>福建厦门</t>
        </is>
      </c>
      <c r="F956" s="10" t="inlineStr">
        <is>
          <t>义乌购</t>
        </is>
      </c>
      <c r="G956" s="10" t="inlineStr">
        <is>
          <t>王经理</t>
        </is>
      </c>
      <c r="H956" s="10" t="inlineStr">
        <is>
          <t>000-0000-0952</t>
        </is>
      </c>
      <c r="I956" s="10" t="inlineStr">
        <is>
          <t>DEMO_GYS_0952</t>
        </is>
      </c>
      <c r="J956" s="11" t="n">
        <v>11.2</v>
      </c>
      <c r="K956" s="11" t="n">
        <v>18.4</v>
      </c>
      <c r="L956" s="12" t="n">
        <v>100</v>
      </c>
      <c r="M956" s="10" t="inlineStr">
        <is>
          <t>否</t>
        </is>
      </c>
      <c r="N956" s="10" t="inlineStr">
        <is>
          <t>是</t>
        </is>
      </c>
      <c r="O956" s="10" t="inlineStr">
        <is>
          <t>supplier0952@example.com</t>
        </is>
      </c>
      <c r="P956" s="10" t="inlineStr">
        <is>
          <t>https://example.com/supplier/0952</t>
        </is>
      </c>
      <c r="Q956" s="10">
        <f>IF(R956&gt;=85,"A",IF(R956&gt;=70,"B","C"))</f>
        <v/>
      </c>
      <c r="R956" s="13">
        <f>MIN(100,50+IF(M956="是",10,0)+IF(N956="是",10,0)+IF(L956&lt;=100,10,IF(L956&lt;=300,5,0))+IF(J956&lt;=20,10,IF(J956&lt;=50,5,0))+IF(K956-J956&lt;=20,5,0)+IF(F956="企业官网",5,0))</f>
        <v/>
      </c>
      <c r="S956" s="10">
        <f>IF(Q956="A","价格与起订量有优势，建议优先询盘",IF(Q956="B","条件较均衡，可作为备选","起订量或价格需要进一步确认"))</f>
        <v/>
      </c>
      <c r="T956" s="10" t="inlineStr">
        <is>
          <t>未联系</t>
        </is>
      </c>
      <c r="U956" s="10" t="inlineStr">
        <is>
          <t>虚构演示数据</t>
        </is>
      </c>
    </row>
    <row r="957" ht="21" customHeight="1">
      <c r="A957" s="10" t="inlineStr">
        <is>
          <t>GYS-0953</t>
        </is>
      </c>
      <c r="B957" s="10" t="inlineStr">
        <is>
          <t>临沂清洁工具供应链0953有限公司（演示）</t>
        </is>
      </c>
      <c r="C957" s="10" t="inlineStr">
        <is>
          <t>清洁工具</t>
        </is>
      </c>
      <c r="D957" s="10" t="inlineStr">
        <is>
          <t>免手洗拖把</t>
        </is>
      </c>
      <c r="E957" s="10" t="inlineStr">
        <is>
          <t>山东临沂</t>
        </is>
      </c>
      <c r="F957" s="10" t="inlineStr">
        <is>
          <t>慧聪网</t>
        </is>
      </c>
      <c r="G957" s="10" t="inlineStr">
        <is>
          <t>李经理</t>
        </is>
      </c>
      <c r="H957" s="10" t="inlineStr">
        <is>
          <t>000-0000-0953</t>
        </is>
      </c>
      <c r="I957" s="10" t="inlineStr">
        <is>
          <t>DEMO_GYS_0953</t>
        </is>
      </c>
      <c r="J957" s="11" t="n">
        <v>12.9</v>
      </c>
      <c r="K957" s="11" t="n">
        <v>21.2</v>
      </c>
      <c r="L957" s="12" t="n">
        <v>50</v>
      </c>
      <c r="M957" s="10" t="inlineStr">
        <is>
          <t>是</t>
        </is>
      </c>
      <c r="N957" s="10" t="inlineStr">
        <is>
          <t>是</t>
        </is>
      </c>
      <c r="O957" s="10" t="inlineStr">
        <is>
          <t>supplier0953@example.com</t>
        </is>
      </c>
      <c r="P957" s="10" t="inlineStr">
        <is>
          <t>https://example.com/supplier/0953</t>
        </is>
      </c>
      <c r="Q957" s="10">
        <f>IF(R957&gt;=85,"A",IF(R957&gt;=70,"B","C"))</f>
        <v/>
      </c>
      <c r="R957" s="13">
        <f>MIN(100,50+IF(M957="是",10,0)+IF(N957="是",10,0)+IF(L957&lt;=100,10,IF(L957&lt;=300,5,0))+IF(J957&lt;=20,10,IF(J957&lt;=50,5,0))+IF(K957-J957&lt;=20,5,0)+IF(F957="企业官网",5,0))</f>
        <v/>
      </c>
      <c r="S957" s="10">
        <f>IF(Q957="A","价格与起订量有优势，建议优先询盘",IF(Q957="B","条件较均衡，可作为备选","起订量或价格需要进一步确认"))</f>
        <v/>
      </c>
      <c r="T957" s="10" t="inlineStr">
        <is>
          <t>未联系</t>
        </is>
      </c>
      <c r="U957" s="10" t="inlineStr">
        <is>
          <t>虚构演示数据</t>
        </is>
      </c>
    </row>
    <row r="958" ht="21" customHeight="1">
      <c r="A958" s="10" t="inlineStr">
        <is>
          <t>GYS-0954</t>
        </is>
      </c>
      <c r="B958" s="10" t="inlineStr">
        <is>
          <t>南昌小家电供应链0954有限公司（演示）</t>
        </is>
      </c>
      <c r="C958" s="10" t="inlineStr">
        <is>
          <t>小家电</t>
        </is>
      </c>
      <c r="D958" s="10" t="inlineStr">
        <is>
          <t>迷你加湿器</t>
        </is>
      </c>
      <c r="E958" s="10" t="inlineStr">
        <is>
          <t>江西南昌</t>
        </is>
      </c>
      <c r="F958" s="10" t="inlineStr">
        <is>
          <t>1688</t>
        </is>
      </c>
      <c r="G958" s="10" t="inlineStr">
        <is>
          <t>张经理</t>
        </is>
      </c>
      <c r="H958" s="10" t="inlineStr">
        <is>
          <t>000-0000-0954</t>
        </is>
      </c>
      <c r="I958" s="10" t="inlineStr">
        <is>
          <t>DEMO_GYS_0954</t>
        </is>
      </c>
      <c r="J958" s="11" t="n">
        <v>14.6</v>
      </c>
      <c r="K958" s="11" t="n">
        <v>24</v>
      </c>
      <c r="L958" s="12" t="n">
        <v>20</v>
      </c>
      <c r="M958" s="10" t="inlineStr">
        <is>
          <t>是</t>
        </is>
      </c>
      <c r="N958" s="10" t="inlineStr">
        <is>
          <t>否</t>
        </is>
      </c>
      <c r="O958" s="10" t="inlineStr">
        <is>
          <t>supplier0954@example.com</t>
        </is>
      </c>
      <c r="P958" s="10" t="inlineStr">
        <is>
          <t>https://example.com/supplier/0954</t>
        </is>
      </c>
      <c r="Q958" s="10">
        <f>IF(R958&gt;=85,"A",IF(R958&gt;=70,"B","C"))</f>
        <v/>
      </c>
      <c r="R958" s="13">
        <f>MIN(100,50+IF(M958="是",10,0)+IF(N958="是",10,0)+IF(L958&lt;=100,10,IF(L958&lt;=300,5,0))+IF(J958&lt;=20,10,IF(J958&lt;=50,5,0))+IF(K958-J958&lt;=20,5,0)+IF(F958="企业官网",5,0))</f>
        <v/>
      </c>
      <c r="S958" s="10">
        <f>IF(Q958="A","价格与起订量有优势，建议优先询盘",IF(Q958="B","条件较均衡，可作为备选","起订量或价格需要进一步确认"))</f>
        <v/>
      </c>
      <c r="T958" s="10" t="inlineStr">
        <is>
          <t>未联系</t>
        </is>
      </c>
      <c r="U958" s="10" t="inlineStr">
        <is>
          <t>虚构演示数据</t>
        </is>
      </c>
    </row>
    <row r="959" ht="21" customHeight="1">
      <c r="A959" s="10" t="inlineStr">
        <is>
          <t>GYS-0955</t>
        </is>
      </c>
      <c r="B959" s="10" t="inlineStr">
        <is>
          <t>温州礼品包装供应链0955有限公司（演示）</t>
        </is>
      </c>
      <c r="C959" s="10" t="inlineStr">
        <is>
          <t>礼品包装</t>
        </is>
      </c>
      <c r="D959" s="10" t="inlineStr">
        <is>
          <t>节日礼盒</t>
        </is>
      </c>
      <c r="E959" s="10" t="inlineStr">
        <is>
          <t>浙江温州</t>
        </is>
      </c>
      <c r="F959" s="10" t="inlineStr">
        <is>
          <t>中国制造网</t>
        </is>
      </c>
      <c r="G959" s="10" t="inlineStr">
        <is>
          <t>刘经理</t>
        </is>
      </c>
      <c r="H959" s="10" t="inlineStr">
        <is>
          <t>000-0000-0955</t>
        </is>
      </c>
      <c r="I959" s="10" t="inlineStr">
        <is>
          <t>DEMO_GYS_0955</t>
        </is>
      </c>
      <c r="J959" s="11" t="n">
        <v>16.3</v>
      </c>
      <c r="K959" s="11" t="n">
        <v>26.8</v>
      </c>
      <c r="L959" s="12" t="n">
        <v>500</v>
      </c>
      <c r="M959" s="10" t="inlineStr">
        <is>
          <t>是</t>
        </is>
      </c>
      <c r="N959" s="10" t="inlineStr">
        <is>
          <t>是</t>
        </is>
      </c>
      <c r="O959" s="10" t="inlineStr">
        <is>
          <t>supplier0955@example.com</t>
        </is>
      </c>
      <c r="P959" s="10" t="inlineStr">
        <is>
          <t>https://example.com/supplier/0955</t>
        </is>
      </c>
      <c r="Q959" s="10">
        <f>IF(R959&gt;=85,"A",IF(R959&gt;=70,"B","C"))</f>
        <v/>
      </c>
      <c r="R959" s="13">
        <f>MIN(100,50+IF(M959="是",10,0)+IF(N959="是",10,0)+IF(L959&lt;=100,10,IF(L959&lt;=300,5,0))+IF(J959&lt;=20,10,IF(J959&lt;=50,5,0))+IF(K959-J959&lt;=20,5,0)+IF(F959="企业官网",5,0))</f>
        <v/>
      </c>
      <c r="S959" s="10">
        <f>IF(Q959="A","价格与起订量有优势，建议优先询盘",IF(Q959="B","条件较均衡，可作为备选","起订量或价格需要进一步确认"))</f>
        <v/>
      </c>
      <c r="T959" s="10" t="inlineStr">
        <is>
          <t>未联系</t>
        </is>
      </c>
      <c r="U959" s="10" t="inlineStr">
        <is>
          <t>虚构演示数据</t>
        </is>
      </c>
    </row>
    <row r="960" ht="21" customHeight="1">
      <c r="A960" s="10" t="inlineStr">
        <is>
          <t>GYS-0956</t>
        </is>
      </c>
      <c r="B960" s="10" t="inlineStr">
        <is>
          <t>广州五金工具供应链0956有限公司（演示）</t>
        </is>
      </c>
      <c r="C960" s="10" t="inlineStr">
        <is>
          <t>五金工具</t>
        </is>
      </c>
      <c r="D960" s="10" t="inlineStr">
        <is>
          <t>多功能螺丝刀</t>
        </is>
      </c>
      <c r="E960" s="10" t="inlineStr">
        <is>
          <t>广东广州</t>
        </is>
      </c>
      <c r="F960" s="10" t="inlineStr">
        <is>
          <t>企业官网</t>
        </is>
      </c>
      <c r="G960" s="10" t="inlineStr">
        <is>
          <t>黄经理</t>
        </is>
      </c>
      <c r="H960" s="10" t="inlineStr">
        <is>
          <t>000-0000-0956</t>
        </is>
      </c>
      <c r="I960" s="10" t="inlineStr">
        <is>
          <t>DEMO_GYS_0956</t>
        </is>
      </c>
      <c r="J960" s="11" t="n">
        <v>18</v>
      </c>
      <c r="K960" s="11" t="n">
        <v>29.6</v>
      </c>
      <c r="L960" s="12" t="n">
        <v>300</v>
      </c>
      <c r="M960" s="10" t="inlineStr">
        <is>
          <t>否</t>
        </is>
      </c>
      <c r="N960" s="10" t="inlineStr">
        <is>
          <t>是</t>
        </is>
      </c>
      <c r="O960" s="10" t="inlineStr">
        <is>
          <t>supplier0956@example.com</t>
        </is>
      </c>
      <c r="P960" s="10" t="inlineStr">
        <is>
          <t>https://example.com/supplier/0956</t>
        </is>
      </c>
      <c r="Q960" s="10">
        <f>IF(R960&gt;=85,"A",IF(R960&gt;=70,"B","C"))</f>
        <v/>
      </c>
      <c r="R960" s="13">
        <f>MIN(100,50+IF(M960="是",10,0)+IF(N960="是",10,0)+IF(L960&lt;=100,10,IF(L960&lt;=300,5,0))+IF(J960&lt;=20,10,IF(J960&lt;=50,5,0))+IF(K960-J960&lt;=20,5,0)+IF(F960="企业官网",5,0))</f>
        <v/>
      </c>
      <c r="S960" s="10">
        <f>IF(Q960="A","价格与起订量有优势，建议优先询盘",IF(Q960="B","条件较均衡，可作为备选","起订量或价格需要进一步确认"))</f>
        <v/>
      </c>
      <c r="T960" s="10" t="inlineStr">
        <is>
          <t>未联系</t>
        </is>
      </c>
      <c r="U960" s="10" t="inlineStr">
        <is>
          <t>虚构演示数据</t>
        </is>
      </c>
    </row>
    <row r="961" ht="21" customHeight="1">
      <c r="A961" s="10" t="inlineStr">
        <is>
          <t>GYS-0957</t>
        </is>
      </c>
      <c r="B961" s="10" t="inlineStr">
        <is>
          <t>泉州鞋靴配件供应链0957有限公司（演示）</t>
        </is>
      </c>
      <c r="C961" s="10" t="inlineStr">
        <is>
          <t>鞋靴配件</t>
        </is>
      </c>
      <c r="D961" s="10" t="inlineStr">
        <is>
          <t>防磨脚贴</t>
        </is>
      </c>
      <c r="E961" s="10" t="inlineStr">
        <is>
          <t>福建泉州</t>
        </is>
      </c>
      <c r="F961" s="10" t="inlineStr">
        <is>
          <t>义乌购</t>
        </is>
      </c>
      <c r="G961" s="10" t="inlineStr">
        <is>
          <t>赵经理</t>
        </is>
      </c>
      <c r="H961" s="10" t="inlineStr">
        <is>
          <t>000-0000-0957</t>
        </is>
      </c>
      <c r="I961" s="10" t="inlineStr">
        <is>
          <t>DEMO_GYS_0957</t>
        </is>
      </c>
      <c r="J961" s="11" t="n">
        <v>19.7</v>
      </c>
      <c r="K961" s="11" t="n">
        <v>32.4</v>
      </c>
      <c r="L961" s="12" t="n">
        <v>200</v>
      </c>
      <c r="M961" s="10" t="inlineStr">
        <is>
          <t>是</t>
        </is>
      </c>
      <c r="N961" s="10" t="inlineStr">
        <is>
          <t>否</t>
        </is>
      </c>
      <c r="O961" s="10" t="inlineStr">
        <is>
          <t>supplier0957@example.com</t>
        </is>
      </c>
      <c r="P961" s="10" t="inlineStr">
        <is>
          <t>https://example.com/supplier/0957</t>
        </is>
      </c>
      <c r="Q961" s="10">
        <f>IF(R961&gt;=85,"A",IF(R961&gt;=70,"B","C"))</f>
        <v/>
      </c>
      <c r="R961" s="13">
        <f>MIN(100,50+IF(M961="是",10,0)+IF(N961="是",10,0)+IF(L961&lt;=100,10,IF(L961&lt;=300,5,0))+IF(J961&lt;=20,10,IF(J961&lt;=50,5,0))+IF(K961-J961&lt;=20,5,0)+IF(F961="企业官网",5,0))</f>
        <v/>
      </c>
      <c r="S961" s="10">
        <f>IF(Q961="A","价格与起订量有优势，建议优先询盘",IF(Q961="B","条件较均衡，可作为备选","起订量或价格需要进一步确认"))</f>
        <v/>
      </c>
      <c r="T961" s="10" t="inlineStr">
        <is>
          <t>未联系</t>
        </is>
      </c>
      <c r="U961" s="10" t="inlineStr">
        <is>
          <t>虚构演示数据</t>
        </is>
      </c>
    </row>
    <row r="962" ht="21" customHeight="1">
      <c r="A962" s="10" t="inlineStr">
        <is>
          <t>GYS-0958</t>
        </is>
      </c>
      <c r="B962" s="10" t="inlineStr">
        <is>
          <t>南通食品包装供应链0958有限公司（演示）</t>
        </is>
      </c>
      <c r="C962" s="10" t="inlineStr">
        <is>
          <t>食品包装</t>
        </is>
      </c>
      <c r="D962" s="10" t="inlineStr">
        <is>
          <t>密封包装袋</t>
        </is>
      </c>
      <c r="E962" s="10" t="inlineStr">
        <is>
          <t>江苏南通</t>
        </is>
      </c>
      <c r="F962" s="10" t="inlineStr">
        <is>
          <t>慧聪网</t>
        </is>
      </c>
      <c r="G962" s="10" t="inlineStr">
        <is>
          <t>周经理</t>
        </is>
      </c>
      <c r="H962" s="10" t="inlineStr">
        <is>
          <t>000-0000-0958</t>
        </is>
      </c>
      <c r="I962" s="10" t="inlineStr">
        <is>
          <t>DEMO_GYS_0958</t>
        </is>
      </c>
      <c r="J962" s="11" t="n">
        <v>21.4</v>
      </c>
      <c r="K962" s="11" t="n">
        <v>35.2</v>
      </c>
      <c r="L962" s="12" t="n">
        <v>100</v>
      </c>
      <c r="M962" s="10" t="inlineStr">
        <is>
          <t>是</t>
        </is>
      </c>
      <c r="N962" s="10" t="inlineStr">
        <is>
          <t>是</t>
        </is>
      </c>
      <c r="O962" s="10" t="inlineStr">
        <is>
          <t>supplier0958@example.com</t>
        </is>
      </c>
      <c r="P962" s="10" t="inlineStr">
        <is>
          <t>https://example.com/supplier/0958</t>
        </is>
      </c>
      <c r="Q962" s="10">
        <f>IF(R962&gt;=85,"A",IF(R962&gt;=70,"B","C"))</f>
        <v/>
      </c>
      <c r="R962" s="13">
        <f>MIN(100,50+IF(M962="是",10,0)+IF(N962="是",10,0)+IF(L962&lt;=100,10,IF(L962&lt;=300,5,0))+IF(J962&lt;=20,10,IF(J962&lt;=50,5,0))+IF(K962-J962&lt;=20,5,0)+IF(F962="企业官网",5,0))</f>
        <v/>
      </c>
      <c r="S962" s="10">
        <f>IF(Q962="A","价格与起订量有优势，建议优先询盘",IF(Q962="B","条件较均衡，可作为备选","起订量或价格需要进一步确认"))</f>
        <v/>
      </c>
      <c r="T962" s="10" t="inlineStr">
        <is>
          <t>未联系</t>
        </is>
      </c>
      <c r="U962" s="10" t="inlineStr">
        <is>
          <t>虚构演示数据</t>
        </is>
      </c>
    </row>
    <row r="963" ht="21" customHeight="1">
      <c r="A963" s="10" t="inlineStr">
        <is>
          <t>GYS-0959</t>
        </is>
      </c>
      <c r="B963" s="10" t="inlineStr">
        <is>
          <t>郑州户外照明供应链0959有限公司（演示）</t>
        </is>
      </c>
      <c r="C963" s="10" t="inlineStr">
        <is>
          <t>户外照明</t>
        </is>
      </c>
      <c r="D963" s="10" t="inlineStr">
        <is>
          <t>便携露营灯</t>
        </is>
      </c>
      <c r="E963" s="10" t="inlineStr">
        <is>
          <t>河南郑州</t>
        </is>
      </c>
      <c r="F963" s="10" t="inlineStr">
        <is>
          <t>1688</t>
        </is>
      </c>
      <c r="G963" s="10" t="inlineStr">
        <is>
          <t>吴经理</t>
        </is>
      </c>
      <c r="H963" s="10" t="inlineStr">
        <is>
          <t>000-0000-0959</t>
        </is>
      </c>
      <c r="I963" s="10" t="inlineStr">
        <is>
          <t>DEMO_GYS_0959</t>
        </is>
      </c>
      <c r="J963" s="11" t="n">
        <v>23.1</v>
      </c>
      <c r="K963" s="11" t="n">
        <v>38</v>
      </c>
      <c r="L963" s="12" t="n">
        <v>50</v>
      </c>
      <c r="M963" s="10" t="inlineStr">
        <is>
          <t>是</t>
        </is>
      </c>
      <c r="N963" s="10" t="inlineStr">
        <is>
          <t>是</t>
        </is>
      </c>
      <c r="O963" s="10" t="inlineStr">
        <is>
          <t>supplier0959@example.com</t>
        </is>
      </c>
      <c r="P963" s="10" t="inlineStr">
        <is>
          <t>https://example.com/supplier/0959</t>
        </is>
      </c>
      <c r="Q963" s="10">
        <f>IF(R963&gt;=85,"A",IF(R963&gt;=70,"B","C"))</f>
        <v/>
      </c>
      <c r="R963" s="13">
        <f>MIN(100,50+IF(M963="是",10,0)+IF(N963="是",10,0)+IF(L963&lt;=100,10,IF(L963&lt;=300,5,0))+IF(J963&lt;=20,10,IF(J963&lt;=50,5,0))+IF(K963-J963&lt;=20,5,0)+IF(F963="企业官网",5,0))</f>
        <v/>
      </c>
      <c r="S963" s="10">
        <f>IF(Q963="A","价格与起订量有优势，建议优先询盘",IF(Q963="B","条件较均衡，可作为备选","起订量或价格需要进一步确认"))</f>
        <v/>
      </c>
      <c r="T963" s="10" t="inlineStr">
        <is>
          <t>未联系</t>
        </is>
      </c>
      <c r="U963" s="10" t="inlineStr">
        <is>
          <t>虚构演示数据</t>
        </is>
      </c>
    </row>
    <row r="964" ht="21" customHeight="1">
      <c r="A964" s="10" t="inlineStr">
        <is>
          <t>GYS-0960</t>
        </is>
      </c>
      <c r="B964" s="10" t="inlineStr">
        <is>
          <t>宁波健康用品供应链0960有限公司（演示）</t>
        </is>
      </c>
      <c r="C964" s="10" t="inlineStr">
        <is>
          <t>健康用品</t>
        </is>
      </c>
      <c r="D964" s="10" t="inlineStr">
        <is>
          <t>热敷眼罩</t>
        </is>
      </c>
      <c r="E964" s="10" t="inlineStr">
        <is>
          <t>浙江宁波</t>
        </is>
      </c>
      <c r="F964" s="10" t="inlineStr">
        <is>
          <t>中国制造网</t>
        </is>
      </c>
      <c r="G964" s="10" t="inlineStr">
        <is>
          <t>陈经理</t>
        </is>
      </c>
      <c r="H964" s="10" t="inlineStr">
        <is>
          <t>000-0000-0960</t>
        </is>
      </c>
      <c r="I964" s="10" t="inlineStr">
        <is>
          <t>DEMO_GYS_0960</t>
        </is>
      </c>
      <c r="J964" s="11" t="n">
        <v>24.8</v>
      </c>
      <c r="K964" s="11" t="n">
        <v>40.8</v>
      </c>
      <c r="L964" s="12" t="n">
        <v>20</v>
      </c>
      <c r="M964" s="10" t="inlineStr">
        <is>
          <t>否</t>
        </is>
      </c>
      <c r="N964" s="10" t="inlineStr">
        <is>
          <t>否</t>
        </is>
      </c>
      <c r="O964" s="10" t="inlineStr">
        <is>
          <t>supplier0960@example.com</t>
        </is>
      </c>
      <c r="P964" s="10" t="inlineStr">
        <is>
          <t>https://example.com/supplier/0960</t>
        </is>
      </c>
      <c r="Q964" s="10">
        <f>IF(R964&gt;=85,"A",IF(R964&gt;=70,"B","C"))</f>
        <v/>
      </c>
      <c r="R964" s="13">
        <f>MIN(100,50+IF(M964="是",10,0)+IF(N964="是",10,0)+IF(L964&lt;=100,10,IF(L964&lt;=300,5,0))+IF(J964&lt;=20,10,IF(J964&lt;=50,5,0))+IF(K964-J964&lt;=20,5,0)+IF(F964="企业官网",5,0))</f>
        <v/>
      </c>
      <c r="S964" s="10">
        <f>IF(Q964="A","价格与起订量有优势，建议优先询盘",IF(Q964="B","条件较均衡，可作为备选","起订量或价格需要进一步确认"))</f>
        <v/>
      </c>
      <c r="T964" s="10" t="inlineStr">
        <is>
          <t>未联系</t>
        </is>
      </c>
      <c r="U964" s="10" t="inlineStr">
        <is>
          <t>虚构演示数据</t>
        </is>
      </c>
    </row>
    <row r="965" ht="21" customHeight="1">
      <c r="A965" s="10" t="inlineStr">
        <is>
          <t>GYS-0961</t>
        </is>
      </c>
      <c r="B965" s="10" t="inlineStr">
        <is>
          <t>深圳服饰内衣供应链0961有限公司（演示）</t>
        </is>
      </c>
      <c r="C965" s="10" t="inlineStr">
        <is>
          <t>服饰内衣</t>
        </is>
      </c>
      <c r="D965" s="10" t="inlineStr">
        <is>
          <t>防滑袜</t>
        </is>
      </c>
      <c r="E965" s="10" t="inlineStr">
        <is>
          <t>广东深圳</t>
        </is>
      </c>
      <c r="F965" s="10" t="inlineStr">
        <is>
          <t>企业官网</t>
        </is>
      </c>
      <c r="G965" s="10" t="inlineStr">
        <is>
          <t>林经理</t>
        </is>
      </c>
      <c r="H965" s="10" t="inlineStr">
        <is>
          <t>000-0000-0961</t>
        </is>
      </c>
      <c r="I965" s="10" t="inlineStr">
        <is>
          <t>DEMO_GYS_0961</t>
        </is>
      </c>
      <c r="J965" s="11" t="n">
        <v>26.5</v>
      </c>
      <c r="K965" s="11" t="n">
        <v>43.6</v>
      </c>
      <c r="L965" s="12" t="n">
        <v>500</v>
      </c>
      <c r="M965" s="10" t="inlineStr">
        <is>
          <t>是</t>
        </is>
      </c>
      <c r="N965" s="10" t="inlineStr">
        <is>
          <t>是</t>
        </is>
      </c>
      <c r="O965" s="10" t="inlineStr">
        <is>
          <t>supplier0961@example.com</t>
        </is>
      </c>
      <c r="P965" s="10" t="inlineStr">
        <is>
          <t>https://example.com/supplier/0961</t>
        </is>
      </c>
      <c r="Q965" s="10">
        <f>IF(R965&gt;=85,"A",IF(R965&gt;=70,"B","C"))</f>
        <v/>
      </c>
      <c r="R965" s="13">
        <f>MIN(100,50+IF(M965="是",10,0)+IF(N965="是",10,0)+IF(L965&lt;=100,10,IF(L965&lt;=300,5,0))+IF(J965&lt;=20,10,IF(J965&lt;=50,5,0))+IF(K965-J965&lt;=20,5,0)+IF(F965="企业官网",5,0))</f>
        <v/>
      </c>
      <c r="S965" s="10">
        <f>IF(Q965="A","价格与起订量有优势，建议优先询盘",IF(Q965="B","条件较均衡，可作为备选","起订量或价格需要进一步确认"))</f>
        <v/>
      </c>
      <c r="T965" s="10" t="inlineStr">
        <is>
          <t>未联系</t>
        </is>
      </c>
      <c r="U965" s="10" t="inlineStr">
        <is>
          <t>虚构演示数据</t>
        </is>
      </c>
    </row>
    <row r="966" ht="21" customHeight="1">
      <c r="A966" s="10" t="inlineStr">
        <is>
          <t>GYS-0962</t>
        </is>
      </c>
      <c r="B966" s="10" t="inlineStr">
        <is>
          <t>佛山家居日用供应链0962有限公司（演示）</t>
        </is>
      </c>
      <c r="C966" s="10" t="inlineStr">
        <is>
          <t>家居日用</t>
        </is>
      </c>
      <c r="D966" s="10" t="inlineStr">
        <is>
          <t>折叠收纳箱</t>
        </is>
      </c>
      <c r="E966" s="10" t="inlineStr">
        <is>
          <t>广东佛山</t>
        </is>
      </c>
      <c r="F966" s="10" t="inlineStr">
        <is>
          <t>义乌购</t>
        </is>
      </c>
      <c r="G966" s="10" t="inlineStr">
        <is>
          <t>王经理</t>
        </is>
      </c>
      <c r="H966" s="10" t="inlineStr">
        <is>
          <t>000-0000-0962</t>
        </is>
      </c>
      <c r="I966" s="10" t="inlineStr">
        <is>
          <t>DEMO_GYS_0962</t>
        </is>
      </c>
      <c r="J966" s="11" t="n">
        <v>28.2</v>
      </c>
      <c r="K966" s="11" t="n">
        <v>46.4</v>
      </c>
      <c r="L966" s="12" t="n">
        <v>300</v>
      </c>
      <c r="M966" s="10" t="inlineStr">
        <is>
          <t>是</t>
        </is>
      </c>
      <c r="N966" s="10" t="inlineStr">
        <is>
          <t>是</t>
        </is>
      </c>
      <c r="O966" s="10" t="inlineStr">
        <is>
          <t>supplier0962@example.com</t>
        </is>
      </c>
      <c r="P966" s="10" t="inlineStr">
        <is>
          <t>https://example.com/supplier/0962</t>
        </is>
      </c>
      <c r="Q966" s="10">
        <f>IF(R966&gt;=85,"A",IF(R966&gt;=70,"B","C"))</f>
        <v/>
      </c>
      <c r="R966" s="13">
        <f>MIN(100,50+IF(M966="是",10,0)+IF(N966="是",10,0)+IF(L966&lt;=100,10,IF(L966&lt;=300,5,0))+IF(J966&lt;=20,10,IF(J966&lt;=50,5,0))+IF(K966-J966&lt;=20,5,0)+IF(F966="企业官网",5,0))</f>
        <v/>
      </c>
      <c r="S966" s="10">
        <f>IF(Q966="A","价格与起订量有优势，建议优先询盘",IF(Q966="B","条件较均衡，可作为备选","起订量或价格需要进一步确认"))</f>
        <v/>
      </c>
      <c r="T966" s="10" t="inlineStr">
        <is>
          <t>未联系</t>
        </is>
      </c>
      <c r="U966" s="10" t="inlineStr">
        <is>
          <t>虚构演示数据</t>
        </is>
      </c>
    </row>
    <row r="967" ht="21" customHeight="1">
      <c r="A967" s="10" t="inlineStr">
        <is>
          <t>GYS-0963</t>
        </is>
      </c>
      <c r="B967" s="10" t="inlineStr">
        <is>
          <t>苏州个护清洁供应链0963有限公司（演示）</t>
        </is>
      </c>
      <c r="C967" s="10" t="inlineStr">
        <is>
          <t>个护清洁</t>
        </is>
      </c>
      <c r="D967" s="10" t="inlineStr">
        <is>
          <t>便携洗脸巾</t>
        </is>
      </c>
      <c r="E967" s="10" t="inlineStr">
        <is>
          <t>江苏苏州</t>
        </is>
      </c>
      <c r="F967" s="10" t="inlineStr">
        <is>
          <t>慧聪网</t>
        </is>
      </c>
      <c r="G967" s="10" t="inlineStr">
        <is>
          <t>李经理</t>
        </is>
      </c>
      <c r="H967" s="10" t="inlineStr">
        <is>
          <t>000-0000-0963</t>
        </is>
      </c>
      <c r="I967" s="10" t="inlineStr">
        <is>
          <t>DEMO_GYS_0963</t>
        </is>
      </c>
      <c r="J967" s="11" t="n">
        <v>29.9</v>
      </c>
      <c r="K967" s="11" t="n">
        <v>49.2</v>
      </c>
      <c r="L967" s="12" t="n">
        <v>200</v>
      </c>
      <c r="M967" s="10" t="inlineStr">
        <is>
          <t>是</t>
        </is>
      </c>
      <c r="N967" s="10" t="inlineStr">
        <is>
          <t>否</t>
        </is>
      </c>
      <c r="O967" s="10" t="inlineStr">
        <is>
          <t>supplier0963@example.com</t>
        </is>
      </c>
      <c r="P967" s="10" t="inlineStr">
        <is>
          <t>https://example.com/supplier/0963</t>
        </is>
      </c>
      <c r="Q967" s="10">
        <f>IF(R967&gt;=85,"A",IF(R967&gt;=70,"B","C"))</f>
        <v/>
      </c>
      <c r="R967" s="13">
        <f>MIN(100,50+IF(M967="是",10,0)+IF(N967="是",10,0)+IF(L967&lt;=100,10,IF(L967&lt;=300,5,0))+IF(J967&lt;=20,10,IF(J967&lt;=50,5,0))+IF(K967-J967&lt;=20,5,0)+IF(F967="企业官网",5,0))</f>
        <v/>
      </c>
      <c r="S967" s="10">
        <f>IF(Q967="A","价格与起订量有优势，建议优先询盘",IF(Q967="B","条件较均衡，可作为备选","起订量或价格需要进一步确认"))</f>
        <v/>
      </c>
      <c r="T967" s="10" t="inlineStr">
        <is>
          <t>未联系</t>
        </is>
      </c>
      <c r="U967" s="10" t="inlineStr">
        <is>
          <t>虚构演示数据</t>
        </is>
      </c>
    </row>
    <row r="968" ht="21" customHeight="1">
      <c r="A968" s="10" t="inlineStr">
        <is>
          <t>GYS-0964</t>
        </is>
      </c>
      <c r="B968" s="10" t="inlineStr">
        <is>
          <t>白沟厨房用品供应链0964有限公司（演示）</t>
        </is>
      </c>
      <c r="C968" s="10" t="inlineStr">
        <is>
          <t>厨房用品</t>
        </is>
      </c>
      <c r="D968" s="10" t="inlineStr">
        <is>
          <t>硅胶保鲜盒</t>
        </is>
      </c>
      <c r="E968" s="10" t="inlineStr">
        <is>
          <t>河北白沟</t>
        </is>
      </c>
      <c r="F968" s="10" t="inlineStr">
        <is>
          <t>1688</t>
        </is>
      </c>
      <c r="G968" s="10" t="inlineStr">
        <is>
          <t>张经理</t>
        </is>
      </c>
      <c r="H968" s="10" t="inlineStr">
        <is>
          <t>000-0000-0964</t>
        </is>
      </c>
      <c r="I968" s="10" t="inlineStr">
        <is>
          <t>DEMO_GYS_0964</t>
        </is>
      </c>
      <c r="J968" s="11" t="n">
        <v>31.6</v>
      </c>
      <c r="K968" s="11" t="n">
        <v>52</v>
      </c>
      <c r="L968" s="12" t="n">
        <v>100</v>
      </c>
      <c r="M968" s="10" t="inlineStr">
        <is>
          <t>否</t>
        </is>
      </c>
      <c r="N968" s="10" t="inlineStr">
        <is>
          <t>是</t>
        </is>
      </c>
      <c r="O968" s="10" t="inlineStr">
        <is>
          <t>supplier0964@example.com</t>
        </is>
      </c>
      <c r="P968" s="10" t="inlineStr">
        <is>
          <t>https://example.com/supplier/0964</t>
        </is>
      </c>
      <c r="Q968" s="10">
        <f>IF(R968&gt;=85,"A",IF(R968&gt;=70,"B","C"))</f>
        <v/>
      </c>
      <c r="R968" s="13">
        <f>MIN(100,50+IF(M968="是",10,0)+IF(N968="是",10,0)+IF(L968&lt;=100,10,IF(L968&lt;=300,5,0))+IF(J968&lt;=20,10,IF(J968&lt;=50,5,0))+IF(K968-J968&lt;=20,5,0)+IF(F968="企业官网",5,0))</f>
        <v/>
      </c>
      <c r="S968" s="10">
        <f>IF(Q968="A","价格与起订量有优势，建议优先询盘",IF(Q968="B","条件较均衡，可作为备选","起订量或价格需要进一步确认"))</f>
        <v/>
      </c>
      <c r="T968" s="10" t="inlineStr">
        <is>
          <t>未联系</t>
        </is>
      </c>
      <c r="U968" s="10" t="inlineStr">
        <is>
          <t>虚构演示数据</t>
        </is>
      </c>
    </row>
    <row r="969" ht="21" customHeight="1">
      <c r="A969" s="10" t="inlineStr">
        <is>
          <t>GYS-0965</t>
        </is>
      </c>
      <c r="B969" s="10" t="inlineStr">
        <is>
          <t>义乌数码配件供应链0965有限公司（演示）</t>
        </is>
      </c>
      <c r="C969" s="10" t="inlineStr">
        <is>
          <t>数码配件</t>
        </is>
      </c>
      <c r="D969" s="10" t="inlineStr">
        <is>
          <t>磁吸手机支架</t>
        </is>
      </c>
      <c r="E969" s="10" t="inlineStr">
        <is>
          <t>浙江义乌</t>
        </is>
      </c>
      <c r="F969" s="10" t="inlineStr">
        <is>
          <t>中国制造网</t>
        </is>
      </c>
      <c r="G969" s="10" t="inlineStr">
        <is>
          <t>刘经理</t>
        </is>
      </c>
      <c r="H969" s="10" t="inlineStr">
        <is>
          <t>000-0000-0965</t>
        </is>
      </c>
      <c r="I969" s="10" t="inlineStr">
        <is>
          <t>DEMO_GYS_0965</t>
        </is>
      </c>
      <c r="J969" s="11" t="n">
        <v>33.3</v>
      </c>
      <c r="K969" s="11" t="n">
        <v>54.8</v>
      </c>
      <c r="L969" s="12" t="n">
        <v>50</v>
      </c>
      <c r="M969" s="10" t="inlineStr">
        <is>
          <t>是</t>
        </is>
      </c>
      <c r="N969" s="10" t="inlineStr">
        <is>
          <t>是</t>
        </is>
      </c>
      <c r="O969" s="10" t="inlineStr">
        <is>
          <t>supplier0965@example.com</t>
        </is>
      </c>
      <c r="P969" s="10" t="inlineStr">
        <is>
          <t>https://example.com/supplier/0965</t>
        </is>
      </c>
      <c r="Q969" s="10">
        <f>IF(R969&gt;=85,"A",IF(R969&gt;=70,"B","C"))</f>
        <v/>
      </c>
      <c r="R969" s="13">
        <f>MIN(100,50+IF(M969="是",10,0)+IF(N969="是",10,0)+IF(L969&lt;=100,10,IF(L969&lt;=300,5,0))+IF(J969&lt;=20,10,IF(J969&lt;=50,5,0))+IF(K969-J969&lt;=20,5,0)+IF(F969="企业官网",5,0))</f>
        <v/>
      </c>
      <c r="S969" s="10">
        <f>IF(Q969="A","价格与起订量有优势，建议优先询盘",IF(Q969="B","条件较均衡，可作为备选","起订量或价格需要进一步确认"))</f>
        <v/>
      </c>
      <c r="T969" s="10" t="inlineStr">
        <is>
          <t>未联系</t>
        </is>
      </c>
      <c r="U969" s="10" t="inlineStr">
        <is>
          <t>虚构演示数据</t>
        </is>
      </c>
    </row>
    <row r="970" ht="21" customHeight="1">
      <c r="A970" s="10" t="inlineStr">
        <is>
          <t>GYS-0966</t>
        </is>
      </c>
      <c r="B970" s="10" t="inlineStr">
        <is>
          <t>台州宠物用品供应链0966有限公司（演示）</t>
        </is>
      </c>
      <c r="C970" s="10" t="inlineStr">
        <is>
          <t>宠物用品</t>
        </is>
      </c>
      <c r="D970" s="10" t="inlineStr">
        <is>
          <t>宠物清洁手套</t>
        </is>
      </c>
      <c r="E970" s="10" t="inlineStr">
        <is>
          <t>浙江台州</t>
        </is>
      </c>
      <c r="F970" s="10" t="inlineStr">
        <is>
          <t>企业官网</t>
        </is>
      </c>
      <c r="G970" s="10" t="inlineStr">
        <is>
          <t>黄经理</t>
        </is>
      </c>
      <c r="H970" s="10" t="inlineStr">
        <is>
          <t>000-0000-0966</t>
        </is>
      </c>
      <c r="I970" s="10" t="inlineStr">
        <is>
          <t>DEMO_GYS_0966</t>
        </is>
      </c>
      <c r="J970" s="11" t="n">
        <v>35</v>
      </c>
      <c r="K970" s="11" t="n">
        <v>39.6</v>
      </c>
      <c r="L970" s="12" t="n">
        <v>20</v>
      </c>
      <c r="M970" s="10" t="inlineStr">
        <is>
          <t>是</t>
        </is>
      </c>
      <c r="N970" s="10" t="inlineStr">
        <is>
          <t>否</t>
        </is>
      </c>
      <c r="O970" s="10" t="inlineStr">
        <is>
          <t>supplier0966@example.com</t>
        </is>
      </c>
      <c r="P970" s="10" t="inlineStr">
        <is>
          <t>https://example.com/supplier/0966</t>
        </is>
      </c>
      <c r="Q970" s="10">
        <f>IF(R970&gt;=85,"A",IF(R970&gt;=70,"B","C"))</f>
        <v/>
      </c>
      <c r="R970" s="13">
        <f>MIN(100,50+IF(M970="是",10,0)+IF(N970="是",10,0)+IF(L970&lt;=100,10,IF(L970&lt;=300,5,0))+IF(J970&lt;=20,10,IF(J970&lt;=50,5,0))+IF(K970-J970&lt;=20,5,0)+IF(F970="企业官网",5,0))</f>
        <v/>
      </c>
      <c r="S970" s="10">
        <f>IF(Q970="A","价格与起订量有优势，建议优先询盘",IF(Q970="B","条件较均衡，可作为备选","起订量或价格需要进一步确认"))</f>
        <v/>
      </c>
      <c r="T970" s="10" t="inlineStr">
        <is>
          <t>未联系</t>
        </is>
      </c>
      <c r="U970" s="10" t="inlineStr">
        <is>
          <t>虚构演示数据</t>
        </is>
      </c>
    </row>
    <row r="971" ht="21" customHeight="1">
      <c r="A971" s="10" t="inlineStr">
        <is>
          <t>GYS-0967</t>
        </is>
      </c>
      <c r="B971" s="10" t="inlineStr">
        <is>
          <t>东莞母婴用品供应链0967有限公司（演示）</t>
        </is>
      </c>
      <c r="C971" s="10" t="inlineStr">
        <is>
          <t>母婴用品</t>
        </is>
      </c>
      <c r="D971" s="10" t="inlineStr">
        <is>
          <t>婴儿防撞条</t>
        </is>
      </c>
      <c r="E971" s="10" t="inlineStr">
        <is>
          <t>广东东莞</t>
        </is>
      </c>
      <c r="F971" s="10" t="inlineStr">
        <is>
          <t>义乌购</t>
        </is>
      </c>
      <c r="G971" s="10" t="inlineStr">
        <is>
          <t>赵经理</t>
        </is>
      </c>
      <c r="H971" s="10" t="inlineStr">
        <is>
          <t>000-0000-0967</t>
        </is>
      </c>
      <c r="I971" s="10" t="inlineStr">
        <is>
          <t>DEMO_GYS_0967</t>
        </is>
      </c>
      <c r="J971" s="11" t="n">
        <v>36.7</v>
      </c>
      <c r="K971" s="11" t="n">
        <v>42.4</v>
      </c>
      <c r="L971" s="12" t="n">
        <v>500</v>
      </c>
      <c r="M971" s="10" t="inlineStr">
        <is>
          <t>是</t>
        </is>
      </c>
      <c r="N971" s="10" t="inlineStr">
        <is>
          <t>是</t>
        </is>
      </c>
      <c r="O971" s="10" t="inlineStr">
        <is>
          <t>supplier0967@example.com</t>
        </is>
      </c>
      <c r="P971" s="10" t="inlineStr">
        <is>
          <t>https://example.com/supplier/0967</t>
        </is>
      </c>
      <c r="Q971" s="10">
        <f>IF(R971&gt;=85,"A",IF(R971&gt;=70,"B","C"))</f>
        <v/>
      </c>
      <c r="R971" s="13">
        <f>MIN(100,50+IF(M971="是",10,0)+IF(N971="是",10,0)+IF(L971&lt;=100,10,IF(L971&lt;=300,5,0))+IF(J971&lt;=20,10,IF(J971&lt;=50,5,0))+IF(K971-J971&lt;=20,5,0)+IF(F971="企业官网",5,0))</f>
        <v/>
      </c>
      <c r="S971" s="10">
        <f>IF(Q971="A","价格与起订量有优势，建议优先询盘",IF(Q971="B","条件较均衡，可作为备选","起订量或价格需要进一步确认"))</f>
        <v/>
      </c>
      <c r="T971" s="10" t="inlineStr">
        <is>
          <t>未联系</t>
        </is>
      </c>
      <c r="U971" s="10" t="inlineStr">
        <is>
          <t>虚构演示数据</t>
        </is>
      </c>
    </row>
    <row r="972" ht="21" customHeight="1">
      <c r="A972" s="10" t="inlineStr">
        <is>
          <t>GYS-0968</t>
        </is>
      </c>
      <c r="B972" s="10" t="inlineStr">
        <is>
          <t>厦门运动户外供应链0968有限公司（演示）</t>
        </is>
      </c>
      <c r="C972" s="10" t="inlineStr">
        <is>
          <t>运动户外</t>
        </is>
      </c>
      <c r="D972" s="10" t="inlineStr">
        <is>
          <t>弹力训练带</t>
        </is>
      </c>
      <c r="E972" s="10" t="inlineStr">
        <is>
          <t>福建厦门</t>
        </is>
      </c>
      <c r="F972" s="10" t="inlineStr">
        <is>
          <t>慧聪网</t>
        </is>
      </c>
      <c r="G972" s="10" t="inlineStr">
        <is>
          <t>周经理</t>
        </is>
      </c>
      <c r="H972" s="10" t="inlineStr">
        <is>
          <t>000-0000-0968</t>
        </is>
      </c>
      <c r="I972" s="10" t="inlineStr">
        <is>
          <t>DEMO_GYS_0968</t>
        </is>
      </c>
      <c r="J972" s="11" t="n">
        <v>38.4</v>
      </c>
      <c r="K972" s="11" t="n">
        <v>45.2</v>
      </c>
      <c r="L972" s="12" t="n">
        <v>300</v>
      </c>
      <c r="M972" s="10" t="inlineStr">
        <is>
          <t>否</t>
        </is>
      </c>
      <c r="N972" s="10" t="inlineStr">
        <is>
          <t>是</t>
        </is>
      </c>
      <c r="O972" s="10" t="inlineStr">
        <is>
          <t>supplier0968@example.com</t>
        </is>
      </c>
      <c r="P972" s="10" t="inlineStr">
        <is>
          <t>https://example.com/supplier/0968</t>
        </is>
      </c>
      <c r="Q972" s="10">
        <f>IF(R972&gt;=85,"A",IF(R972&gt;=70,"B","C"))</f>
        <v/>
      </c>
      <c r="R972" s="13">
        <f>MIN(100,50+IF(M972="是",10,0)+IF(N972="是",10,0)+IF(L972&lt;=100,10,IF(L972&lt;=300,5,0))+IF(J972&lt;=20,10,IF(J972&lt;=50,5,0))+IF(K972-J972&lt;=20,5,0)+IF(F972="企业官网",5,0))</f>
        <v/>
      </c>
      <c r="S972" s="10">
        <f>IF(Q972="A","价格与起订量有优势，建议优先询盘",IF(Q972="B","条件较均衡，可作为备选","起订量或价格需要进一步确认"))</f>
        <v/>
      </c>
      <c r="T972" s="10" t="inlineStr">
        <is>
          <t>未联系</t>
        </is>
      </c>
      <c r="U972" s="10" t="inlineStr">
        <is>
          <t>虚构演示数据</t>
        </is>
      </c>
    </row>
    <row r="973" ht="21" customHeight="1">
      <c r="A973" s="10" t="inlineStr">
        <is>
          <t>GYS-0969</t>
        </is>
      </c>
      <c r="B973" s="10" t="inlineStr">
        <is>
          <t>临沂办公文具供应链0969有限公司（演示）</t>
        </is>
      </c>
      <c r="C973" s="10" t="inlineStr">
        <is>
          <t>办公文具</t>
        </is>
      </c>
      <c r="D973" s="10" t="inlineStr">
        <is>
          <t>桌面收纳架</t>
        </is>
      </c>
      <c r="E973" s="10" t="inlineStr">
        <is>
          <t>山东临沂</t>
        </is>
      </c>
      <c r="F973" s="10" t="inlineStr">
        <is>
          <t>1688</t>
        </is>
      </c>
      <c r="G973" s="10" t="inlineStr">
        <is>
          <t>吴经理</t>
        </is>
      </c>
      <c r="H973" s="10" t="inlineStr">
        <is>
          <t>000-0000-0969</t>
        </is>
      </c>
      <c r="I973" s="10" t="inlineStr">
        <is>
          <t>DEMO_GYS_0969</t>
        </is>
      </c>
      <c r="J973" s="11" t="n">
        <v>40.1</v>
      </c>
      <c r="K973" s="11" t="n">
        <v>48</v>
      </c>
      <c r="L973" s="12" t="n">
        <v>200</v>
      </c>
      <c r="M973" s="10" t="inlineStr">
        <is>
          <t>是</t>
        </is>
      </c>
      <c r="N973" s="10" t="inlineStr">
        <is>
          <t>否</t>
        </is>
      </c>
      <c r="O973" s="10" t="inlineStr">
        <is>
          <t>supplier0969@example.com</t>
        </is>
      </c>
      <c r="P973" s="10" t="inlineStr">
        <is>
          <t>https://example.com/supplier/0969</t>
        </is>
      </c>
      <c r="Q973" s="10">
        <f>IF(R973&gt;=85,"A",IF(R973&gt;=70,"B","C"))</f>
        <v/>
      </c>
      <c r="R973" s="13">
        <f>MIN(100,50+IF(M973="是",10,0)+IF(N973="是",10,0)+IF(L973&lt;=100,10,IF(L973&lt;=300,5,0))+IF(J973&lt;=20,10,IF(J973&lt;=50,5,0))+IF(K973-J973&lt;=20,5,0)+IF(F973="企业官网",5,0))</f>
        <v/>
      </c>
      <c r="S973" s="10">
        <f>IF(Q973="A","价格与起订量有优势，建议优先询盘",IF(Q973="B","条件较均衡，可作为备选","起订量或价格需要进一步确认"))</f>
        <v/>
      </c>
      <c r="T973" s="10" t="inlineStr">
        <is>
          <t>未联系</t>
        </is>
      </c>
      <c r="U973" s="10" t="inlineStr">
        <is>
          <t>虚构演示数据</t>
        </is>
      </c>
    </row>
    <row r="974" ht="21" customHeight="1">
      <c r="A974" s="10" t="inlineStr">
        <is>
          <t>GYS-0970</t>
        </is>
      </c>
      <c r="B974" s="10" t="inlineStr">
        <is>
          <t>南昌汽车用品供应链0970有限公司（演示）</t>
        </is>
      </c>
      <c r="C974" s="10" t="inlineStr">
        <is>
          <t>汽车用品</t>
        </is>
      </c>
      <c r="D974" s="10" t="inlineStr">
        <is>
          <t>车载香薰</t>
        </is>
      </c>
      <c r="E974" s="10" t="inlineStr">
        <is>
          <t>江西南昌</t>
        </is>
      </c>
      <c r="F974" s="10" t="inlineStr">
        <is>
          <t>中国制造网</t>
        </is>
      </c>
      <c r="G974" s="10" t="inlineStr">
        <is>
          <t>陈经理</t>
        </is>
      </c>
      <c r="H974" s="10" t="inlineStr">
        <is>
          <t>000-0000-0970</t>
        </is>
      </c>
      <c r="I974" s="10" t="inlineStr">
        <is>
          <t>DEMO_GYS_0970</t>
        </is>
      </c>
      <c r="J974" s="11" t="n">
        <v>41.8</v>
      </c>
      <c r="K974" s="11" t="n">
        <v>50.8</v>
      </c>
      <c r="L974" s="12" t="n">
        <v>100</v>
      </c>
      <c r="M974" s="10" t="inlineStr">
        <is>
          <t>是</t>
        </is>
      </c>
      <c r="N974" s="10" t="inlineStr">
        <is>
          <t>是</t>
        </is>
      </c>
      <c r="O974" s="10" t="inlineStr">
        <is>
          <t>supplier0970@example.com</t>
        </is>
      </c>
      <c r="P974" s="10" t="inlineStr">
        <is>
          <t>https://example.com/supplier/0970</t>
        </is>
      </c>
      <c r="Q974" s="10">
        <f>IF(R974&gt;=85,"A",IF(R974&gt;=70,"B","C"))</f>
        <v/>
      </c>
      <c r="R974" s="13">
        <f>MIN(100,50+IF(M974="是",10,0)+IF(N974="是",10,0)+IF(L974&lt;=100,10,IF(L974&lt;=300,5,0))+IF(J974&lt;=20,10,IF(J974&lt;=50,5,0))+IF(K974-J974&lt;=20,5,0)+IF(F974="企业官网",5,0))</f>
        <v/>
      </c>
      <c r="S974" s="10">
        <f>IF(Q974="A","价格与起订量有优势，建议优先询盘",IF(Q974="B","条件较均衡，可作为备选","起订量或价格需要进一步确认"))</f>
        <v/>
      </c>
      <c r="T974" s="10" t="inlineStr">
        <is>
          <t>未联系</t>
        </is>
      </c>
      <c r="U974" s="10" t="inlineStr">
        <is>
          <t>虚构演示数据</t>
        </is>
      </c>
    </row>
    <row r="975" ht="21" customHeight="1">
      <c r="A975" s="10" t="inlineStr">
        <is>
          <t>GYS-0971</t>
        </is>
      </c>
      <c r="B975" s="10" t="inlineStr">
        <is>
          <t>温州美容工具供应链0971有限公司（演示）</t>
        </is>
      </c>
      <c r="C975" s="10" t="inlineStr">
        <is>
          <t>美容工具</t>
        </is>
      </c>
      <c r="D975" s="10" t="inlineStr">
        <is>
          <t>便携化妆镜</t>
        </is>
      </c>
      <c r="E975" s="10" t="inlineStr">
        <is>
          <t>浙江温州</t>
        </is>
      </c>
      <c r="F975" s="10" t="inlineStr">
        <is>
          <t>企业官网</t>
        </is>
      </c>
      <c r="G975" s="10" t="inlineStr">
        <is>
          <t>林经理</t>
        </is>
      </c>
      <c r="H975" s="10" t="inlineStr">
        <is>
          <t>000-0000-0971</t>
        </is>
      </c>
      <c r="I975" s="10" t="inlineStr">
        <is>
          <t>DEMO_GYS_0971</t>
        </is>
      </c>
      <c r="J975" s="11" t="n">
        <v>43.5</v>
      </c>
      <c r="K975" s="11" t="n">
        <v>53.6</v>
      </c>
      <c r="L975" s="12" t="n">
        <v>50</v>
      </c>
      <c r="M975" s="10" t="inlineStr">
        <is>
          <t>是</t>
        </is>
      </c>
      <c r="N975" s="10" t="inlineStr">
        <is>
          <t>是</t>
        </is>
      </c>
      <c r="O975" s="10" t="inlineStr">
        <is>
          <t>supplier0971@example.com</t>
        </is>
      </c>
      <c r="P975" s="10" t="inlineStr">
        <is>
          <t>https://example.com/supplier/0971</t>
        </is>
      </c>
      <c r="Q975" s="10">
        <f>IF(R975&gt;=85,"A",IF(R975&gt;=70,"B","C"))</f>
        <v/>
      </c>
      <c r="R975" s="13">
        <f>MIN(100,50+IF(M975="是",10,0)+IF(N975="是",10,0)+IF(L975&lt;=100,10,IF(L975&lt;=300,5,0))+IF(J975&lt;=20,10,IF(J975&lt;=50,5,0))+IF(K975-J975&lt;=20,5,0)+IF(F975="企业官网",5,0))</f>
        <v/>
      </c>
      <c r="S975" s="10">
        <f>IF(Q975="A","价格与起订量有优势，建议优先询盘",IF(Q975="B","条件较均衡，可作为备选","起订量或价格需要进一步确认"))</f>
        <v/>
      </c>
      <c r="T975" s="10" t="inlineStr">
        <is>
          <t>未联系</t>
        </is>
      </c>
      <c r="U975" s="10" t="inlineStr">
        <is>
          <t>虚构演示数据</t>
        </is>
      </c>
    </row>
    <row r="976" ht="21" customHeight="1">
      <c r="A976" s="10" t="inlineStr">
        <is>
          <t>GYS-0972</t>
        </is>
      </c>
      <c r="B976" s="10" t="inlineStr">
        <is>
          <t>广州旅行用品供应链0972有限公司（演示）</t>
        </is>
      </c>
      <c r="C976" s="10" t="inlineStr">
        <is>
          <t>旅行用品</t>
        </is>
      </c>
      <c r="D976" s="10" t="inlineStr">
        <is>
          <t>压缩收纳袋</t>
        </is>
      </c>
      <c r="E976" s="10" t="inlineStr">
        <is>
          <t>广东广州</t>
        </is>
      </c>
      <c r="F976" s="10" t="inlineStr">
        <is>
          <t>义乌购</t>
        </is>
      </c>
      <c r="G976" s="10" t="inlineStr">
        <is>
          <t>王经理</t>
        </is>
      </c>
      <c r="H976" s="10" t="inlineStr">
        <is>
          <t>000-0000-0972</t>
        </is>
      </c>
      <c r="I976" s="10" t="inlineStr">
        <is>
          <t>DEMO_GYS_0972</t>
        </is>
      </c>
      <c r="J976" s="11" t="n">
        <v>45.2</v>
      </c>
      <c r="K976" s="11" t="n">
        <v>56.4</v>
      </c>
      <c r="L976" s="12" t="n">
        <v>20</v>
      </c>
      <c r="M976" s="10" t="inlineStr">
        <is>
          <t>否</t>
        </is>
      </c>
      <c r="N976" s="10" t="inlineStr">
        <is>
          <t>否</t>
        </is>
      </c>
      <c r="O976" s="10" t="inlineStr">
        <is>
          <t>supplier0972@example.com</t>
        </is>
      </c>
      <c r="P976" s="10" t="inlineStr">
        <is>
          <t>https://example.com/supplier/0972</t>
        </is>
      </c>
      <c r="Q976" s="10">
        <f>IF(R976&gt;=85,"A",IF(R976&gt;=70,"B","C"))</f>
        <v/>
      </c>
      <c r="R976" s="13">
        <f>MIN(100,50+IF(M976="是",10,0)+IF(N976="是",10,0)+IF(L976&lt;=100,10,IF(L976&lt;=300,5,0))+IF(J976&lt;=20,10,IF(J976&lt;=50,5,0))+IF(K976-J976&lt;=20,5,0)+IF(F976="企业官网",5,0))</f>
        <v/>
      </c>
      <c r="S976" s="10">
        <f>IF(Q976="A","价格与起订量有优势，建议优先询盘",IF(Q976="B","条件较均衡，可作为备选","起订量或价格需要进一步确认"))</f>
        <v/>
      </c>
      <c r="T976" s="10" t="inlineStr">
        <is>
          <t>未联系</t>
        </is>
      </c>
      <c r="U976" s="10" t="inlineStr">
        <is>
          <t>虚构演示数据</t>
        </is>
      </c>
    </row>
    <row r="977" ht="21" customHeight="1">
      <c r="A977" s="10" t="inlineStr">
        <is>
          <t>GYS-0973</t>
        </is>
      </c>
      <c r="B977" s="10" t="inlineStr">
        <is>
          <t>泉州清洁工具供应链0973有限公司（演示）</t>
        </is>
      </c>
      <c r="C977" s="10" t="inlineStr">
        <is>
          <t>清洁工具</t>
        </is>
      </c>
      <c r="D977" s="10" t="inlineStr">
        <is>
          <t>免手洗拖把</t>
        </is>
      </c>
      <c r="E977" s="10" t="inlineStr">
        <is>
          <t>福建泉州</t>
        </is>
      </c>
      <c r="F977" s="10" t="inlineStr">
        <is>
          <t>慧聪网</t>
        </is>
      </c>
      <c r="G977" s="10" t="inlineStr">
        <is>
          <t>李经理</t>
        </is>
      </c>
      <c r="H977" s="10" t="inlineStr">
        <is>
          <t>000-0000-0973</t>
        </is>
      </c>
      <c r="I977" s="10" t="inlineStr">
        <is>
          <t>DEMO_GYS_0973</t>
        </is>
      </c>
      <c r="J977" s="11" t="n">
        <v>46.9</v>
      </c>
      <c r="K977" s="11" t="n">
        <v>59.2</v>
      </c>
      <c r="L977" s="12" t="n">
        <v>500</v>
      </c>
      <c r="M977" s="10" t="inlineStr">
        <is>
          <t>是</t>
        </is>
      </c>
      <c r="N977" s="10" t="inlineStr">
        <is>
          <t>是</t>
        </is>
      </c>
      <c r="O977" s="10" t="inlineStr">
        <is>
          <t>supplier0973@example.com</t>
        </is>
      </c>
      <c r="P977" s="10" t="inlineStr">
        <is>
          <t>https://example.com/supplier/0973</t>
        </is>
      </c>
      <c r="Q977" s="10">
        <f>IF(R977&gt;=85,"A",IF(R977&gt;=70,"B","C"))</f>
        <v/>
      </c>
      <c r="R977" s="13">
        <f>MIN(100,50+IF(M977="是",10,0)+IF(N977="是",10,0)+IF(L977&lt;=100,10,IF(L977&lt;=300,5,0))+IF(J977&lt;=20,10,IF(J977&lt;=50,5,0))+IF(K977-J977&lt;=20,5,0)+IF(F977="企业官网",5,0))</f>
        <v/>
      </c>
      <c r="S977" s="10">
        <f>IF(Q977="A","价格与起订量有优势，建议优先询盘",IF(Q977="B","条件较均衡，可作为备选","起订量或价格需要进一步确认"))</f>
        <v/>
      </c>
      <c r="T977" s="10" t="inlineStr">
        <is>
          <t>未联系</t>
        </is>
      </c>
      <c r="U977" s="10" t="inlineStr">
        <is>
          <t>虚构演示数据</t>
        </is>
      </c>
    </row>
    <row r="978" ht="21" customHeight="1">
      <c r="A978" s="10" t="inlineStr">
        <is>
          <t>GYS-0974</t>
        </is>
      </c>
      <c r="B978" s="10" t="inlineStr">
        <is>
          <t>南通小家电供应链0974有限公司（演示）</t>
        </is>
      </c>
      <c r="C978" s="10" t="inlineStr">
        <is>
          <t>小家电</t>
        </is>
      </c>
      <c r="D978" s="10" t="inlineStr">
        <is>
          <t>迷你加湿器</t>
        </is>
      </c>
      <c r="E978" s="10" t="inlineStr">
        <is>
          <t>江苏南通</t>
        </is>
      </c>
      <c r="F978" s="10" t="inlineStr">
        <is>
          <t>1688</t>
        </is>
      </c>
      <c r="G978" s="10" t="inlineStr">
        <is>
          <t>张经理</t>
        </is>
      </c>
      <c r="H978" s="10" t="inlineStr">
        <is>
          <t>000-0000-0974</t>
        </is>
      </c>
      <c r="I978" s="10" t="inlineStr">
        <is>
          <t>DEMO_GYS_0974</t>
        </is>
      </c>
      <c r="J978" s="11" t="n">
        <v>48.6</v>
      </c>
      <c r="K978" s="11" t="n">
        <v>62</v>
      </c>
      <c r="L978" s="12" t="n">
        <v>300</v>
      </c>
      <c r="M978" s="10" t="inlineStr">
        <is>
          <t>是</t>
        </is>
      </c>
      <c r="N978" s="10" t="inlineStr">
        <is>
          <t>是</t>
        </is>
      </c>
      <c r="O978" s="10" t="inlineStr">
        <is>
          <t>supplier0974@example.com</t>
        </is>
      </c>
      <c r="P978" s="10" t="inlineStr">
        <is>
          <t>https://example.com/supplier/0974</t>
        </is>
      </c>
      <c r="Q978" s="10">
        <f>IF(R978&gt;=85,"A",IF(R978&gt;=70,"B","C"))</f>
        <v/>
      </c>
      <c r="R978" s="13">
        <f>MIN(100,50+IF(M978="是",10,0)+IF(N978="是",10,0)+IF(L978&lt;=100,10,IF(L978&lt;=300,5,0))+IF(J978&lt;=20,10,IF(J978&lt;=50,5,0))+IF(K978-J978&lt;=20,5,0)+IF(F978="企业官网",5,0))</f>
        <v/>
      </c>
      <c r="S978" s="10">
        <f>IF(Q978="A","价格与起订量有优势，建议优先询盘",IF(Q978="B","条件较均衡，可作为备选","起订量或价格需要进一步确认"))</f>
        <v/>
      </c>
      <c r="T978" s="10" t="inlineStr">
        <is>
          <t>未联系</t>
        </is>
      </c>
      <c r="U978" s="10" t="inlineStr">
        <is>
          <t>虚构演示数据</t>
        </is>
      </c>
    </row>
    <row r="979" ht="21" customHeight="1">
      <c r="A979" s="10" t="inlineStr">
        <is>
          <t>GYS-0975</t>
        </is>
      </c>
      <c r="B979" s="10" t="inlineStr">
        <is>
          <t>郑州礼品包装供应链0975有限公司（演示）</t>
        </is>
      </c>
      <c r="C979" s="10" t="inlineStr">
        <is>
          <t>礼品包装</t>
        </is>
      </c>
      <c r="D979" s="10" t="inlineStr">
        <is>
          <t>节日礼盒</t>
        </is>
      </c>
      <c r="E979" s="10" t="inlineStr">
        <is>
          <t>河南郑州</t>
        </is>
      </c>
      <c r="F979" s="10" t="inlineStr">
        <is>
          <t>中国制造网</t>
        </is>
      </c>
      <c r="G979" s="10" t="inlineStr">
        <is>
          <t>刘经理</t>
        </is>
      </c>
      <c r="H979" s="10" t="inlineStr">
        <is>
          <t>000-0000-0975</t>
        </is>
      </c>
      <c r="I979" s="10" t="inlineStr">
        <is>
          <t>DEMO_GYS_0975</t>
        </is>
      </c>
      <c r="J979" s="11" t="n">
        <v>4.3</v>
      </c>
      <c r="K979" s="11" t="n">
        <v>18.8</v>
      </c>
      <c r="L979" s="12" t="n">
        <v>200</v>
      </c>
      <c r="M979" s="10" t="inlineStr">
        <is>
          <t>是</t>
        </is>
      </c>
      <c r="N979" s="10" t="inlineStr">
        <is>
          <t>否</t>
        </is>
      </c>
      <c r="O979" s="10" t="inlineStr">
        <is>
          <t>supplier0975@example.com</t>
        </is>
      </c>
      <c r="P979" s="10" t="inlineStr">
        <is>
          <t>https://example.com/supplier/0975</t>
        </is>
      </c>
      <c r="Q979" s="10">
        <f>IF(R979&gt;=85,"A",IF(R979&gt;=70,"B","C"))</f>
        <v/>
      </c>
      <c r="R979" s="13">
        <f>MIN(100,50+IF(M979="是",10,0)+IF(N979="是",10,0)+IF(L979&lt;=100,10,IF(L979&lt;=300,5,0))+IF(J979&lt;=20,10,IF(J979&lt;=50,5,0))+IF(K979-J979&lt;=20,5,0)+IF(F979="企业官网",5,0))</f>
        <v/>
      </c>
      <c r="S979" s="10">
        <f>IF(Q979="A","价格与起订量有优势，建议优先询盘",IF(Q979="B","条件较均衡，可作为备选","起订量或价格需要进一步确认"))</f>
        <v/>
      </c>
      <c r="T979" s="10" t="inlineStr">
        <is>
          <t>未联系</t>
        </is>
      </c>
      <c r="U979" s="10" t="inlineStr">
        <is>
          <t>虚构演示数据</t>
        </is>
      </c>
    </row>
    <row r="980" ht="21" customHeight="1">
      <c r="A980" s="10" t="inlineStr">
        <is>
          <t>GYS-0976</t>
        </is>
      </c>
      <c r="B980" s="10" t="inlineStr">
        <is>
          <t>宁波五金工具供应链0976有限公司（演示）</t>
        </is>
      </c>
      <c r="C980" s="10" t="inlineStr">
        <is>
          <t>五金工具</t>
        </is>
      </c>
      <c r="D980" s="10" t="inlineStr">
        <is>
          <t>多功能螺丝刀</t>
        </is>
      </c>
      <c r="E980" s="10" t="inlineStr">
        <is>
          <t>浙江宁波</t>
        </is>
      </c>
      <c r="F980" s="10" t="inlineStr">
        <is>
          <t>企业官网</t>
        </is>
      </c>
      <c r="G980" s="10" t="inlineStr">
        <is>
          <t>黄经理</t>
        </is>
      </c>
      <c r="H980" s="10" t="inlineStr">
        <is>
          <t>000-0000-0976</t>
        </is>
      </c>
      <c r="I980" s="10" t="inlineStr">
        <is>
          <t>DEMO_GYS_0976</t>
        </is>
      </c>
      <c r="J980" s="11" t="n">
        <v>6</v>
      </c>
      <c r="K980" s="11" t="n">
        <v>21.6</v>
      </c>
      <c r="L980" s="12" t="n">
        <v>100</v>
      </c>
      <c r="M980" s="10" t="inlineStr">
        <is>
          <t>否</t>
        </is>
      </c>
      <c r="N980" s="10" t="inlineStr">
        <is>
          <t>是</t>
        </is>
      </c>
      <c r="O980" s="10" t="inlineStr">
        <is>
          <t>supplier0976@example.com</t>
        </is>
      </c>
      <c r="P980" s="10" t="inlineStr">
        <is>
          <t>https://example.com/supplier/0976</t>
        </is>
      </c>
      <c r="Q980" s="10">
        <f>IF(R980&gt;=85,"A",IF(R980&gt;=70,"B","C"))</f>
        <v/>
      </c>
      <c r="R980" s="13">
        <f>MIN(100,50+IF(M980="是",10,0)+IF(N980="是",10,0)+IF(L980&lt;=100,10,IF(L980&lt;=300,5,0))+IF(J980&lt;=20,10,IF(J980&lt;=50,5,0))+IF(K980-J980&lt;=20,5,0)+IF(F980="企业官网",5,0))</f>
        <v/>
      </c>
      <c r="S980" s="10">
        <f>IF(Q980="A","价格与起订量有优势，建议优先询盘",IF(Q980="B","条件较均衡，可作为备选","起订量或价格需要进一步确认"))</f>
        <v/>
      </c>
      <c r="T980" s="10" t="inlineStr">
        <is>
          <t>未联系</t>
        </is>
      </c>
      <c r="U980" s="10" t="inlineStr">
        <is>
          <t>虚构演示数据</t>
        </is>
      </c>
    </row>
    <row r="981" ht="21" customHeight="1">
      <c r="A981" s="10" t="inlineStr">
        <is>
          <t>GYS-0977</t>
        </is>
      </c>
      <c r="B981" s="10" t="inlineStr">
        <is>
          <t>深圳鞋靴配件供应链0977有限公司（演示）</t>
        </is>
      </c>
      <c r="C981" s="10" t="inlineStr">
        <is>
          <t>鞋靴配件</t>
        </is>
      </c>
      <c r="D981" s="10" t="inlineStr">
        <is>
          <t>防磨脚贴</t>
        </is>
      </c>
      <c r="E981" s="10" t="inlineStr">
        <is>
          <t>广东深圳</t>
        </is>
      </c>
      <c r="F981" s="10" t="inlineStr">
        <is>
          <t>义乌购</t>
        </is>
      </c>
      <c r="G981" s="10" t="inlineStr">
        <is>
          <t>赵经理</t>
        </is>
      </c>
      <c r="H981" s="10" t="inlineStr">
        <is>
          <t>000-0000-0977</t>
        </is>
      </c>
      <c r="I981" s="10" t="inlineStr">
        <is>
          <t>DEMO_GYS_0977</t>
        </is>
      </c>
      <c r="J981" s="11" t="n">
        <v>7.7</v>
      </c>
      <c r="K981" s="11" t="n">
        <v>24.4</v>
      </c>
      <c r="L981" s="12" t="n">
        <v>50</v>
      </c>
      <c r="M981" s="10" t="inlineStr">
        <is>
          <t>是</t>
        </is>
      </c>
      <c r="N981" s="10" t="inlineStr">
        <is>
          <t>是</t>
        </is>
      </c>
      <c r="O981" s="10" t="inlineStr">
        <is>
          <t>supplier0977@example.com</t>
        </is>
      </c>
      <c r="P981" s="10" t="inlineStr">
        <is>
          <t>https://example.com/supplier/0977</t>
        </is>
      </c>
      <c r="Q981" s="10">
        <f>IF(R981&gt;=85,"A",IF(R981&gt;=70,"B","C"))</f>
        <v/>
      </c>
      <c r="R981" s="13">
        <f>MIN(100,50+IF(M981="是",10,0)+IF(N981="是",10,0)+IF(L981&lt;=100,10,IF(L981&lt;=300,5,0))+IF(J981&lt;=20,10,IF(J981&lt;=50,5,0))+IF(K981-J981&lt;=20,5,0)+IF(F981="企业官网",5,0))</f>
        <v/>
      </c>
      <c r="S981" s="10">
        <f>IF(Q981="A","价格与起订量有优势，建议优先询盘",IF(Q981="B","条件较均衡，可作为备选","起订量或价格需要进一步确认"))</f>
        <v/>
      </c>
      <c r="T981" s="10" t="inlineStr">
        <is>
          <t>未联系</t>
        </is>
      </c>
      <c r="U981" s="10" t="inlineStr">
        <is>
          <t>虚构演示数据</t>
        </is>
      </c>
    </row>
    <row r="982" ht="21" customHeight="1">
      <c r="A982" s="10" t="inlineStr">
        <is>
          <t>GYS-0978</t>
        </is>
      </c>
      <c r="B982" s="10" t="inlineStr">
        <is>
          <t>佛山食品包装供应链0978有限公司（演示）</t>
        </is>
      </c>
      <c r="C982" s="10" t="inlineStr">
        <is>
          <t>食品包装</t>
        </is>
      </c>
      <c r="D982" s="10" t="inlineStr">
        <is>
          <t>密封包装袋</t>
        </is>
      </c>
      <c r="E982" s="10" t="inlineStr">
        <is>
          <t>广东佛山</t>
        </is>
      </c>
      <c r="F982" s="10" t="inlineStr">
        <is>
          <t>慧聪网</t>
        </is>
      </c>
      <c r="G982" s="10" t="inlineStr">
        <is>
          <t>周经理</t>
        </is>
      </c>
      <c r="H982" s="10" t="inlineStr">
        <is>
          <t>000-0000-0978</t>
        </is>
      </c>
      <c r="I982" s="10" t="inlineStr">
        <is>
          <t>DEMO_GYS_0978</t>
        </is>
      </c>
      <c r="J982" s="11" t="n">
        <v>9.4</v>
      </c>
      <c r="K982" s="11" t="n">
        <v>27.2</v>
      </c>
      <c r="L982" s="12" t="n">
        <v>20</v>
      </c>
      <c r="M982" s="10" t="inlineStr">
        <is>
          <t>是</t>
        </is>
      </c>
      <c r="N982" s="10" t="inlineStr">
        <is>
          <t>否</t>
        </is>
      </c>
      <c r="O982" s="10" t="inlineStr">
        <is>
          <t>supplier0978@example.com</t>
        </is>
      </c>
      <c r="P982" s="10" t="inlineStr">
        <is>
          <t>https://example.com/supplier/0978</t>
        </is>
      </c>
      <c r="Q982" s="10">
        <f>IF(R982&gt;=85,"A",IF(R982&gt;=70,"B","C"))</f>
        <v/>
      </c>
      <c r="R982" s="13">
        <f>MIN(100,50+IF(M982="是",10,0)+IF(N982="是",10,0)+IF(L982&lt;=100,10,IF(L982&lt;=300,5,0))+IF(J982&lt;=20,10,IF(J982&lt;=50,5,0))+IF(K982-J982&lt;=20,5,0)+IF(F982="企业官网",5,0))</f>
        <v/>
      </c>
      <c r="S982" s="10">
        <f>IF(Q982="A","价格与起订量有优势，建议优先询盘",IF(Q982="B","条件较均衡，可作为备选","起订量或价格需要进一步确认"))</f>
        <v/>
      </c>
      <c r="T982" s="10" t="inlineStr">
        <is>
          <t>未联系</t>
        </is>
      </c>
      <c r="U982" s="10" t="inlineStr">
        <is>
          <t>虚构演示数据</t>
        </is>
      </c>
    </row>
    <row r="983" ht="21" customHeight="1">
      <c r="A983" s="10" t="inlineStr">
        <is>
          <t>GYS-0979</t>
        </is>
      </c>
      <c r="B983" s="10" t="inlineStr">
        <is>
          <t>苏州户外照明供应链0979有限公司（演示）</t>
        </is>
      </c>
      <c r="C983" s="10" t="inlineStr">
        <is>
          <t>户外照明</t>
        </is>
      </c>
      <c r="D983" s="10" t="inlineStr">
        <is>
          <t>便携露营灯</t>
        </is>
      </c>
      <c r="E983" s="10" t="inlineStr">
        <is>
          <t>江苏苏州</t>
        </is>
      </c>
      <c r="F983" s="10" t="inlineStr">
        <is>
          <t>1688</t>
        </is>
      </c>
      <c r="G983" s="10" t="inlineStr">
        <is>
          <t>吴经理</t>
        </is>
      </c>
      <c r="H983" s="10" t="inlineStr">
        <is>
          <t>000-0000-0979</t>
        </is>
      </c>
      <c r="I983" s="10" t="inlineStr">
        <is>
          <t>DEMO_GYS_0979</t>
        </is>
      </c>
      <c r="J983" s="11" t="n">
        <v>11.1</v>
      </c>
      <c r="K983" s="11" t="n">
        <v>30</v>
      </c>
      <c r="L983" s="12" t="n">
        <v>500</v>
      </c>
      <c r="M983" s="10" t="inlineStr">
        <is>
          <t>是</t>
        </is>
      </c>
      <c r="N983" s="10" t="inlineStr">
        <is>
          <t>是</t>
        </is>
      </c>
      <c r="O983" s="10" t="inlineStr">
        <is>
          <t>supplier0979@example.com</t>
        </is>
      </c>
      <c r="P983" s="10" t="inlineStr">
        <is>
          <t>https://example.com/supplier/0979</t>
        </is>
      </c>
      <c r="Q983" s="10">
        <f>IF(R983&gt;=85,"A",IF(R983&gt;=70,"B","C"))</f>
        <v/>
      </c>
      <c r="R983" s="13">
        <f>MIN(100,50+IF(M983="是",10,0)+IF(N983="是",10,0)+IF(L983&lt;=100,10,IF(L983&lt;=300,5,0))+IF(J983&lt;=20,10,IF(J983&lt;=50,5,0))+IF(K983-J983&lt;=20,5,0)+IF(F983="企业官网",5,0))</f>
        <v/>
      </c>
      <c r="S983" s="10">
        <f>IF(Q983="A","价格与起订量有优势，建议优先询盘",IF(Q983="B","条件较均衡，可作为备选","起订量或价格需要进一步确认"))</f>
        <v/>
      </c>
      <c r="T983" s="10" t="inlineStr">
        <is>
          <t>未联系</t>
        </is>
      </c>
      <c r="U983" s="10" t="inlineStr">
        <is>
          <t>虚构演示数据</t>
        </is>
      </c>
    </row>
    <row r="984" ht="21" customHeight="1">
      <c r="A984" s="10" t="inlineStr">
        <is>
          <t>GYS-0980</t>
        </is>
      </c>
      <c r="B984" s="10" t="inlineStr">
        <is>
          <t>白沟健康用品供应链0980有限公司（演示）</t>
        </is>
      </c>
      <c r="C984" s="10" t="inlineStr">
        <is>
          <t>健康用品</t>
        </is>
      </c>
      <c r="D984" s="10" t="inlineStr">
        <is>
          <t>热敷眼罩</t>
        </is>
      </c>
      <c r="E984" s="10" t="inlineStr">
        <is>
          <t>河北白沟</t>
        </is>
      </c>
      <c r="F984" s="10" t="inlineStr">
        <is>
          <t>中国制造网</t>
        </is>
      </c>
      <c r="G984" s="10" t="inlineStr">
        <is>
          <t>陈经理</t>
        </is>
      </c>
      <c r="H984" s="10" t="inlineStr">
        <is>
          <t>000-0000-0980</t>
        </is>
      </c>
      <c r="I984" s="10" t="inlineStr">
        <is>
          <t>DEMO_GYS_0980</t>
        </is>
      </c>
      <c r="J984" s="11" t="n">
        <v>12.8</v>
      </c>
      <c r="K984" s="11" t="n">
        <v>32.8</v>
      </c>
      <c r="L984" s="12" t="n">
        <v>300</v>
      </c>
      <c r="M984" s="10" t="inlineStr">
        <is>
          <t>否</t>
        </is>
      </c>
      <c r="N984" s="10" t="inlineStr">
        <is>
          <t>是</t>
        </is>
      </c>
      <c r="O984" s="10" t="inlineStr">
        <is>
          <t>supplier0980@example.com</t>
        </is>
      </c>
      <c r="P984" s="10" t="inlineStr">
        <is>
          <t>https://example.com/supplier/0980</t>
        </is>
      </c>
      <c r="Q984" s="10">
        <f>IF(R984&gt;=85,"A",IF(R984&gt;=70,"B","C"))</f>
        <v/>
      </c>
      <c r="R984" s="13">
        <f>MIN(100,50+IF(M984="是",10,0)+IF(N984="是",10,0)+IF(L984&lt;=100,10,IF(L984&lt;=300,5,0))+IF(J984&lt;=20,10,IF(J984&lt;=50,5,0))+IF(K984-J984&lt;=20,5,0)+IF(F984="企业官网",5,0))</f>
        <v/>
      </c>
      <c r="S984" s="10">
        <f>IF(Q984="A","价格与起订量有优势，建议优先询盘",IF(Q984="B","条件较均衡，可作为备选","起订量或价格需要进一步确认"))</f>
        <v/>
      </c>
      <c r="T984" s="10" t="inlineStr">
        <is>
          <t>未联系</t>
        </is>
      </c>
      <c r="U984" s="10" t="inlineStr">
        <is>
          <t>虚构演示数据</t>
        </is>
      </c>
    </row>
    <row r="985" ht="21" customHeight="1">
      <c r="A985" s="10" t="inlineStr">
        <is>
          <t>GYS-0981</t>
        </is>
      </c>
      <c r="B985" s="10" t="inlineStr">
        <is>
          <t>义乌服饰内衣供应链0981有限公司（演示）</t>
        </is>
      </c>
      <c r="C985" s="10" t="inlineStr">
        <is>
          <t>服饰内衣</t>
        </is>
      </c>
      <c r="D985" s="10" t="inlineStr">
        <is>
          <t>防滑袜</t>
        </is>
      </c>
      <c r="E985" s="10" t="inlineStr">
        <is>
          <t>浙江义乌</t>
        </is>
      </c>
      <c r="F985" s="10" t="inlineStr">
        <is>
          <t>企业官网</t>
        </is>
      </c>
      <c r="G985" s="10" t="inlineStr">
        <is>
          <t>林经理</t>
        </is>
      </c>
      <c r="H985" s="10" t="inlineStr">
        <is>
          <t>000-0000-0981</t>
        </is>
      </c>
      <c r="I985" s="10" t="inlineStr">
        <is>
          <t>DEMO_GYS_0981</t>
        </is>
      </c>
      <c r="J985" s="11" t="n">
        <v>14.5</v>
      </c>
      <c r="K985" s="11" t="n">
        <v>35.6</v>
      </c>
      <c r="L985" s="12" t="n">
        <v>200</v>
      </c>
      <c r="M985" s="10" t="inlineStr">
        <is>
          <t>是</t>
        </is>
      </c>
      <c r="N985" s="10" t="inlineStr">
        <is>
          <t>否</t>
        </is>
      </c>
      <c r="O985" s="10" t="inlineStr">
        <is>
          <t>supplier0981@example.com</t>
        </is>
      </c>
      <c r="P985" s="10" t="inlineStr">
        <is>
          <t>https://example.com/supplier/0981</t>
        </is>
      </c>
      <c r="Q985" s="10">
        <f>IF(R985&gt;=85,"A",IF(R985&gt;=70,"B","C"))</f>
        <v/>
      </c>
      <c r="R985" s="13">
        <f>MIN(100,50+IF(M985="是",10,0)+IF(N985="是",10,0)+IF(L985&lt;=100,10,IF(L985&lt;=300,5,0))+IF(J985&lt;=20,10,IF(J985&lt;=50,5,0))+IF(K985-J985&lt;=20,5,0)+IF(F985="企业官网",5,0))</f>
        <v/>
      </c>
      <c r="S985" s="10">
        <f>IF(Q985="A","价格与起订量有优势，建议优先询盘",IF(Q985="B","条件较均衡，可作为备选","起订量或价格需要进一步确认"))</f>
        <v/>
      </c>
      <c r="T985" s="10" t="inlineStr">
        <is>
          <t>未联系</t>
        </is>
      </c>
      <c r="U985" s="10" t="inlineStr">
        <is>
          <t>虚构演示数据</t>
        </is>
      </c>
    </row>
    <row r="986" ht="21" customHeight="1">
      <c r="A986" s="10" t="inlineStr">
        <is>
          <t>GYS-0982</t>
        </is>
      </c>
      <c r="B986" s="10" t="inlineStr">
        <is>
          <t>台州家居日用供应链0982有限公司（演示）</t>
        </is>
      </c>
      <c r="C986" s="10" t="inlineStr">
        <is>
          <t>家居日用</t>
        </is>
      </c>
      <c r="D986" s="10" t="inlineStr">
        <is>
          <t>折叠收纳箱</t>
        </is>
      </c>
      <c r="E986" s="10" t="inlineStr">
        <is>
          <t>浙江台州</t>
        </is>
      </c>
      <c r="F986" s="10" t="inlineStr">
        <is>
          <t>义乌购</t>
        </is>
      </c>
      <c r="G986" s="10" t="inlineStr">
        <is>
          <t>王经理</t>
        </is>
      </c>
      <c r="H986" s="10" t="inlineStr">
        <is>
          <t>000-0000-0982</t>
        </is>
      </c>
      <c r="I986" s="10" t="inlineStr">
        <is>
          <t>DEMO_GYS_0982</t>
        </is>
      </c>
      <c r="J986" s="11" t="n">
        <v>16.2</v>
      </c>
      <c r="K986" s="11" t="n">
        <v>20.4</v>
      </c>
      <c r="L986" s="12" t="n">
        <v>100</v>
      </c>
      <c r="M986" s="10" t="inlineStr">
        <is>
          <t>是</t>
        </is>
      </c>
      <c r="N986" s="10" t="inlineStr">
        <is>
          <t>是</t>
        </is>
      </c>
      <c r="O986" s="10" t="inlineStr">
        <is>
          <t>supplier0982@example.com</t>
        </is>
      </c>
      <c r="P986" s="10" t="inlineStr">
        <is>
          <t>https://example.com/supplier/0982</t>
        </is>
      </c>
      <c r="Q986" s="10">
        <f>IF(R986&gt;=85,"A",IF(R986&gt;=70,"B","C"))</f>
        <v/>
      </c>
      <c r="R986" s="13">
        <f>MIN(100,50+IF(M986="是",10,0)+IF(N986="是",10,0)+IF(L986&lt;=100,10,IF(L986&lt;=300,5,0))+IF(J986&lt;=20,10,IF(J986&lt;=50,5,0))+IF(K986-J986&lt;=20,5,0)+IF(F986="企业官网",5,0))</f>
        <v/>
      </c>
      <c r="S986" s="10">
        <f>IF(Q986="A","价格与起订量有优势，建议优先询盘",IF(Q986="B","条件较均衡，可作为备选","起订量或价格需要进一步确认"))</f>
        <v/>
      </c>
      <c r="T986" s="10" t="inlineStr">
        <is>
          <t>未联系</t>
        </is>
      </c>
      <c r="U986" s="10" t="inlineStr">
        <is>
          <t>虚构演示数据</t>
        </is>
      </c>
    </row>
    <row r="987" ht="21" customHeight="1">
      <c r="A987" s="10" t="inlineStr">
        <is>
          <t>GYS-0983</t>
        </is>
      </c>
      <c r="B987" s="10" t="inlineStr">
        <is>
          <t>东莞个护清洁供应链0983有限公司（演示）</t>
        </is>
      </c>
      <c r="C987" s="10" t="inlineStr">
        <is>
          <t>个护清洁</t>
        </is>
      </c>
      <c r="D987" s="10" t="inlineStr">
        <is>
          <t>便携洗脸巾</t>
        </is>
      </c>
      <c r="E987" s="10" t="inlineStr">
        <is>
          <t>广东东莞</t>
        </is>
      </c>
      <c r="F987" s="10" t="inlineStr">
        <is>
          <t>慧聪网</t>
        </is>
      </c>
      <c r="G987" s="10" t="inlineStr">
        <is>
          <t>李经理</t>
        </is>
      </c>
      <c r="H987" s="10" t="inlineStr">
        <is>
          <t>000-0000-0983</t>
        </is>
      </c>
      <c r="I987" s="10" t="inlineStr">
        <is>
          <t>DEMO_GYS_0983</t>
        </is>
      </c>
      <c r="J987" s="11" t="n">
        <v>17.9</v>
      </c>
      <c r="K987" s="11" t="n">
        <v>23.2</v>
      </c>
      <c r="L987" s="12" t="n">
        <v>50</v>
      </c>
      <c r="M987" s="10" t="inlineStr">
        <is>
          <t>是</t>
        </is>
      </c>
      <c r="N987" s="10" t="inlineStr">
        <is>
          <t>是</t>
        </is>
      </c>
      <c r="O987" s="10" t="inlineStr">
        <is>
          <t>supplier0983@example.com</t>
        </is>
      </c>
      <c r="P987" s="10" t="inlineStr">
        <is>
          <t>https://example.com/supplier/0983</t>
        </is>
      </c>
      <c r="Q987" s="10">
        <f>IF(R987&gt;=85,"A",IF(R987&gt;=70,"B","C"))</f>
        <v/>
      </c>
      <c r="R987" s="13">
        <f>MIN(100,50+IF(M987="是",10,0)+IF(N987="是",10,0)+IF(L987&lt;=100,10,IF(L987&lt;=300,5,0))+IF(J987&lt;=20,10,IF(J987&lt;=50,5,0))+IF(K987-J987&lt;=20,5,0)+IF(F987="企业官网",5,0))</f>
        <v/>
      </c>
      <c r="S987" s="10">
        <f>IF(Q987="A","价格与起订量有优势，建议优先询盘",IF(Q987="B","条件较均衡，可作为备选","起订量或价格需要进一步确认"))</f>
        <v/>
      </c>
      <c r="T987" s="10" t="inlineStr">
        <is>
          <t>未联系</t>
        </is>
      </c>
      <c r="U987" s="10" t="inlineStr">
        <is>
          <t>虚构演示数据</t>
        </is>
      </c>
    </row>
    <row r="988" ht="21" customHeight="1">
      <c r="A988" s="10" t="inlineStr">
        <is>
          <t>GYS-0984</t>
        </is>
      </c>
      <c r="B988" s="10" t="inlineStr">
        <is>
          <t>厦门厨房用品供应链0984有限公司（演示）</t>
        </is>
      </c>
      <c r="C988" s="10" t="inlineStr">
        <is>
          <t>厨房用品</t>
        </is>
      </c>
      <c r="D988" s="10" t="inlineStr">
        <is>
          <t>硅胶保鲜盒</t>
        </is>
      </c>
      <c r="E988" s="10" t="inlineStr">
        <is>
          <t>福建厦门</t>
        </is>
      </c>
      <c r="F988" s="10" t="inlineStr">
        <is>
          <t>1688</t>
        </is>
      </c>
      <c r="G988" s="10" t="inlineStr">
        <is>
          <t>张经理</t>
        </is>
      </c>
      <c r="H988" s="10" t="inlineStr">
        <is>
          <t>000-0000-0984</t>
        </is>
      </c>
      <c r="I988" s="10" t="inlineStr">
        <is>
          <t>DEMO_GYS_0984</t>
        </is>
      </c>
      <c r="J988" s="11" t="n">
        <v>19.6</v>
      </c>
      <c r="K988" s="11" t="n">
        <v>26</v>
      </c>
      <c r="L988" s="12" t="n">
        <v>20</v>
      </c>
      <c r="M988" s="10" t="inlineStr">
        <is>
          <t>否</t>
        </is>
      </c>
      <c r="N988" s="10" t="inlineStr">
        <is>
          <t>否</t>
        </is>
      </c>
      <c r="O988" s="10" t="inlineStr">
        <is>
          <t>supplier0984@example.com</t>
        </is>
      </c>
      <c r="P988" s="10" t="inlineStr">
        <is>
          <t>https://example.com/supplier/0984</t>
        </is>
      </c>
      <c r="Q988" s="10">
        <f>IF(R988&gt;=85,"A",IF(R988&gt;=70,"B","C"))</f>
        <v/>
      </c>
      <c r="R988" s="13">
        <f>MIN(100,50+IF(M988="是",10,0)+IF(N988="是",10,0)+IF(L988&lt;=100,10,IF(L988&lt;=300,5,0))+IF(J988&lt;=20,10,IF(J988&lt;=50,5,0))+IF(K988-J988&lt;=20,5,0)+IF(F988="企业官网",5,0))</f>
        <v/>
      </c>
      <c r="S988" s="10">
        <f>IF(Q988="A","价格与起订量有优势，建议优先询盘",IF(Q988="B","条件较均衡，可作为备选","起订量或价格需要进一步确认"))</f>
        <v/>
      </c>
      <c r="T988" s="10" t="inlineStr">
        <is>
          <t>未联系</t>
        </is>
      </c>
      <c r="U988" s="10" t="inlineStr">
        <is>
          <t>虚构演示数据</t>
        </is>
      </c>
    </row>
    <row r="989" ht="21" customHeight="1">
      <c r="A989" s="10" t="inlineStr">
        <is>
          <t>GYS-0985</t>
        </is>
      </c>
      <c r="B989" s="10" t="inlineStr">
        <is>
          <t>临沂数码配件供应链0985有限公司（演示）</t>
        </is>
      </c>
      <c r="C989" s="10" t="inlineStr">
        <is>
          <t>数码配件</t>
        </is>
      </c>
      <c r="D989" s="10" t="inlineStr">
        <is>
          <t>磁吸手机支架</t>
        </is>
      </c>
      <c r="E989" s="10" t="inlineStr">
        <is>
          <t>山东临沂</t>
        </is>
      </c>
      <c r="F989" s="10" t="inlineStr">
        <is>
          <t>中国制造网</t>
        </is>
      </c>
      <c r="G989" s="10" t="inlineStr">
        <is>
          <t>刘经理</t>
        </is>
      </c>
      <c r="H989" s="10" t="inlineStr">
        <is>
          <t>000-0000-0985</t>
        </is>
      </c>
      <c r="I989" s="10" t="inlineStr">
        <is>
          <t>DEMO_GYS_0985</t>
        </is>
      </c>
      <c r="J989" s="11" t="n">
        <v>21.3</v>
      </c>
      <c r="K989" s="11" t="n">
        <v>28.8</v>
      </c>
      <c r="L989" s="12" t="n">
        <v>500</v>
      </c>
      <c r="M989" s="10" t="inlineStr">
        <is>
          <t>是</t>
        </is>
      </c>
      <c r="N989" s="10" t="inlineStr">
        <is>
          <t>是</t>
        </is>
      </c>
      <c r="O989" s="10" t="inlineStr">
        <is>
          <t>supplier0985@example.com</t>
        </is>
      </c>
      <c r="P989" s="10" t="inlineStr">
        <is>
          <t>https://example.com/supplier/0985</t>
        </is>
      </c>
      <c r="Q989" s="10">
        <f>IF(R989&gt;=85,"A",IF(R989&gt;=70,"B","C"))</f>
        <v/>
      </c>
      <c r="R989" s="13">
        <f>MIN(100,50+IF(M989="是",10,0)+IF(N989="是",10,0)+IF(L989&lt;=100,10,IF(L989&lt;=300,5,0))+IF(J989&lt;=20,10,IF(J989&lt;=50,5,0))+IF(K989-J989&lt;=20,5,0)+IF(F989="企业官网",5,0))</f>
        <v/>
      </c>
      <c r="S989" s="10">
        <f>IF(Q989="A","价格与起订量有优势，建议优先询盘",IF(Q989="B","条件较均衡，可作为备选","起订量或价格需要进一步确认"))</f>
        <v/>
      </c>
      <c r="T989" s="10" t="inlineStr">
        <is>
          <t>未联系</t>
        </is>
      </c>
      <c r="U989" s="10" t="inlineStr">
        <is>
          <t>虚构演示数据</t>
        </is>
      </c>
    </row>
    <row r="990" ht="21" customHeight="1">
      <c r="A990" s="10" t="inlineStr">
        <is>
          <t>GYS-0986</t>
        </is>
      </c>
      <c r="B990" s="10" t="inlineStr">
        <is>
          <t>南昌宠物用品供应链0986有限公司（演示）</t>
        </is>
      </c>
      <c r="C990" s="10" t="inlineStr">
        <is>
          <t>宠物用品</t>
        </is>
      </c>
      <c r="D990" s="10" t="inlineStr">
        <is>
          <t>宠物清洁手套</t>
        </is>
      </c>
      <c r="E990" s="10" t="inlineStr">
        <is>
          <t>江西南昌</t>
        </is>
      </c>
      <c r="F990" s="10" t="inlineStr">
        <is>
          <t>企业官网</t>
        </is>
      </c>
      <c r="G990" s="10" t="inlineStr">
        <is>
          <t>黄经理</t>
        </is>
      </c>
      <c r="H990" s="10" t="inlineStr">
        <is>
          <t>000-0000-0986</t>
        </is>
      </c>
      <c r="I990" s="10" t="inlineStr">
        <is>
          <t>DEMO_GYS_0986</t>
        </is>
      </c>
      <c r="J990" s="11" t="n">
        <v>23</v>
      </c>
      <c r="K990" s="11" t="n">
        <v>31.6</v>
      </c>
      <c r="L990" s="12" t="n">
        <v>300</v>
      </c>
      <c r="M990" s="10" t="inlineStr">
        <is>
          <t>是</t>
        </is>
      </c>
      <c r="N990" s="10" t="inlineStr">
        <is>
          <t>是</t>
        </is>
      </c>
      <c r="O990" s="10" t="inlineStr">
        <is>
          <t>supplier0986@example.com</t>
        </is>
      </c>
      <c r="P990" s="10" t="inlineStr">
        <is>
          <t>https://example.com/supplier/0986</t>
        </is>
      </c>
      <c r="Q990" s="10">
        <f>IF(R990&gt;=85,"A",IF(R990&gt;=70,"B","C"))</f>
        <v/>
      </c>
      <c r="R990" s="13">
        <f>MIN(100,50+IF(M990="是",10,0)+IF(N990="是",10,0)+IF(L990&lt;=100,10,IF(L990&lt;=300,5,0))+IF(J990&lt;=20,10,IF(J990&lt;=50,5,0))+IF(K990-J990&lt;=20,5,0)+IF(F990="企业官网",5,0))</f>
        <v/>
      </c>
      <c r="S990" s="10">
        <f>IF(Q990="A","价格与起订量有优势，建议优先询盘",IF(Q990="B","条件较均衡，可作为备选","起订量或价格需要进一步确认"))</f>
        <v/>
      </c>
      <c r="T990" s="10" t="inlineStr">
        <is>
          <t>未联系</t>
        </is>
      </c>
      <c r="U990" s="10" t="inlineStr">
        <is>
          <t>虚构演示数据</t>
        </is>
      </c>
    </row>
    <row r="991" ht="21" customHeight="1">
      <c r="A991" s="10" t="inlineStr">
        <is>
          <t>GYS-0987</t>
        </is>
      </c>
      <c r="B991" s="10" t="inlineStr">
        <is>
          <t>温州母婴用品供应链0987有限公司（演示）</t>
        </is>
      </c>
      <c r="C991" s="10" t="inlineStr">
        <is>
          <t>母婴用品</t>
        </is>
      </c>
      <c r="D991" s="10" t="inlineStr">
        <is>
          <t>婴儿防撞条</t>
        </is>
      </c>
      <c r="E991" s="10" t="inlineStr">
        <is>
          <t>浙江温州</t>
        </is>
      </c>
      <c r="F991" s="10" t="inlineStr">
        <is>
          <t>义乌购</t>
        </is>
      </c>
      <c r="G991" s="10" t="inlineStr">
        <is>
          <t>赵经理</t>
        </is>
      </c>
      <c r="H991" s="10" t="inlineStr">
        <is>
          <t>000-0000-0987</t>
        </is>
      </c>
      <c r="I991" s="10" t="inlineStr">
        <is>
          <t>DEMO_GYS_0987</t>
        </is>
      </c>
      <c r="J991" s="11" t="n">
        <v>24.7</v>
      </c>
      <c r="K991" s="11" t="n">
        <v>34.4</v>
      </c>
      <c r="L991" s="12" t="n">
        <v>200</v>
      </c>
      <c r="M991" s="10" t="inlineStr">
        <is>
          <t>是</t>
        </is>
      </c>
      <c r="N991" s="10" t="inlineStr">
        <is>
          <t>否</t>
        </is>
      </c>
      <c r="O991" s="10" t="inlineStr">
        <is>
          <t>supplier0987@example.com</t>
        </is>
      </c>
      <c r="P991" s="10" t="inlineStr">
        <is>
          <t>https://example.com/supplier/0987</t>
        </is>
      </c>
      <c r="Q991" s="10">
        <f>IF(R991&gt;=85,"A",IF(R991&gt;=70,"B","C"))</f>
        <v/>
      </c>
      <c r="R991" s="13">
        <f>MIN(100,50+IF(M991="是",10,0)+IF(N991="是",10,0)+IF(L991&lt;=100,10,IF(L991&lt;=300,5,0))+IF(J991&lt;=20,10,IF(J991&lt;=50,5,0))+IF(K991-J991&lt;=20,5,0)+IF(F991="企业官网",5,0))</f>
        <v/>
      </c>
      <c r="S991" s="10">
        <f>IF(Q991="A","价格与起订量有优势，建议优先询盘",IF(Q991="B","条件较均衡，可作为备选","起订量或价格需要进一步确认"))</f>
        <v/>
      </c>
      <c r="T991" s="10" t="inlineStr">
        <is>
          <t>未联系</t>
        </is>
      </c>
      <c r="U991" s="10" t="inlineStr">
        <is>
          <t>虚构演示数据</t>
        </is>
      </c>
    </row>
    <row r="992" ht="21" customHeight="1">
      <c r="A992" s="10" t="inlineStr">
        <is>
          <t>GYS-0988</t>
        </is>
      </c>
      <c r="B992" s="10" t="inlineStr">
        <is>
          <t>广州运动户外供应链0988有限公司（演示）</t>
        </is>
      </c>
      <c r="C992" s="10" t="inlineStr">
        <is>
          <t>运动户外</t>
        </is>
      </c>
      <c r="D992" s="10" t="inlineStr">
        <is>
          <t>弹力训练带</t>
        </is>
      </c>
      <c r="E992" s="10" t="inlineStr">
        <is>
          <t>广东广州</t>
        </is>
      </c>
      <c r="F992" s="10" t="inlineStr">
        <is>
          <t>慧聪网</t>
        </is>
      </c>
      <c r="G992" s="10" t="inlineStr">
        <is>
          <t>周经理</t>
        </is>
      </c>
      <c r="H992" s="10" t="inlineStr">
        <is>
          <t>000-0000-0988</t>
        </is>
      </c>
      <c r="I992" s="10" t="inlineStr">
        <is>
          <t>DEMO_GYS_0988</t>
        </is>
      </c>
      <c r="J992" s="11" t="n">
        <v>26.4</v>
      </c>
      <c r="K992" s="11" t="n">
        <v>37.2</v>
      </c>
      <c r="L992" s="12" t="n">
        <v>100</v>
      </c>
      <c r="M992" s="10" t="inlineStr">
        <is>
          <t>否</t>
        </is>
      </c>
      <c r="N992" s="10" t="inlineStr">
        <is>
          <t>是</t>
        </is>
      </c>
      <c r="O992" s="10" t="inlineStr">
        <is>
          <t>supplier0988@example.com</t>
        </is>
      </c>
      <c r="P992" s="10" t="inlineStr">
        <is>
          <t>https://example.com/supplier/0988</t>
        </is>
      </c>
      <c r="Q992" s="10">
        <f>IF(R992&gt;=85,"A",IF(R992&gt;=70,"B","C"))</f>
        <v/>
      </c>
      <c r="R992" s="13">
        <f>MIN(100,50+IF(M992="是",10,0)+IF(N992="是",10,0)+IF(L992&lt;=100,10,IF(L992&lt;=300,5,0))+IF(J992&lt;=20,10,IF(J992&lt;=50,5,0))+IF(K992-J992&lt;=20,5,0)+IF(F992="企业官网",5,0))</f>
        <v/>
      </c>
      <c r="S992" s="10">
        <f>IF(Q992="A","价格与起订量有优势，建议优先询盘",IF(Q992="B","条件较均衡，可作为备选","起订量或价格需要进一步确认"))</f>
        <v/>
      </c>
      <c r="T992" s="10" t="inlineStr">
        <is>
          <t>未联系</t>
        </is>
      </c>
      <c r="U992" s="10" t="inlineStr">
        <is>
          <t>虚构演示数据</t>
        </is>
      </c>
    </row>
    <row r="993" ht="21" customHeight="1">
      <c r="A993" s="10" t="inlineStr">
        <is>
          <t>GYS-0989</t>
        </is>
      </c>
      <c r="B993" s="10" t="inlineStr">
        <is>
          <t>泉州办公文具供应链0989有限公司（演示）</t>
        </is>
      </c>
      <c r="C993" s="10" t="inlineStr">
        <is>
          <t>办公文具</t>
        </is>
      </c>
      <c r="D993" s="10" t="inlineStr">
        <is>
          <t>桌面收纳架</t>
        </is>
      </c>
      <c r="E993" s="10" t="inlineStr">
        <is>
          <t>福建泉州</t>
        </is>
      </c>
      <c r="F993" s="10" t="inlineStr">
        <is>
          <t>1688</t>
        </is>
      </c>
      <c r="G993" s="10" t="inlineStr">
        <is>
          <t>吴经理</t>
        </is>
      </c>
      <c r="H993" s="10" t="inlineStr">
        <is>
          <t>000-0000-0989</t>
        </is>
      </c>
      <c r="I993" s="10" t="inlineStr">
        <is>
          <t>DEMO_GYS_0989</t>
        </is>
      </c>
      <c r="J993" s="11" t="n">
        <v>28.1</v>
      </c>
      <c r="K993" s="11" t="n">
        <v>40</v>
      </c>
      <c r="L993" s="12" t="n">
        <v>50</v>
      </c>
      <c r="M993" s="10" t="inlineStr">
        <is>
          <t>是</t>
        </is>
      </c>
      <c r="N993" s="10" t="inlineStr">
        <is>
          <t>是</t>
        </is>
      </c>
      <c r="O993" s="10" t="inlineStr">
        <is>
          <t>supplier0989@example.com</t>
        </is>
      </c>
      <c r="P993" s="10" t="inlineStr">
        <is>
          <t>https://example.com/supplier/0989</t>
        </is>
      </c>
      <c r="Q993" s="10">
        <f>IF(R993&gt;=85,"A",IF(R993&gt;=70,"B","C"))</f>
        <v/>
      </c>
      <c r="R993" s="13">
        <f>MIN(100,50+IF(M993="是",10,0)+IF(N993="是",10,0)+IF(L993&lt;=100,10,IF(L993&lt;=300,5,0))+IF(J993&lt;=20,10,IF(J993&lt;=50,5,0))+IF(K993-J993&lt;=20,5,0)+IF(F993="企业官网",5,0))</f>
        <v/>
      </c>
      <c r="S993" s="10">
        <f>IF(Q993="A","价格与起订量有优势，建议优先询盘",IF(Q993="B","条件较均衡，可作为备选","起订量或价格需要进一步确认"))</f>
        <v/>
      </c>
      <c r="T993" s="10" t="inlineStr">
        <is>
          <t>未联系</t>
        </is>
      </c>
      <c r="U993" s="10" t="inlineStr">
        <is>
          <t>虚构演示数据</t>
        </is>
      </c>
    </row>
    <row r="994" ht="21" customHeight="1">
      <c r="A994" s="10" t="inlineStr">
        <is>
          <t>GYS-0990</t>
        </is>
      </c>
      <c r="B994" s="10" t="inlineStr">
        <is>
          <t>南通汽车用品供应链0990有限公司（演示）</t>
        </is>
      </c>
      <c r="C994" s="10" t="inlineStr">
        <is>
          <t>汽车用品</t>
        </is>
      </c>
      <c r="D994" s="10" t="inlineStr">
        <is>
          <t>车载香薰</t>
        </is>
      </c>
      <c r="E994" s="10" t="inlineStr">
        <is>
          <t>江苏南通</t>
        </is>
      </c>
      <c r="F994" s="10" t="inlineStr">
        <is>
          <t>中国制造网</t>
        </is>
      </c>
      <c r="G994" s="10" t="inlineStr">
        <is>
          <t>陈经理</t>
        </is>
      </c>
      <c r="H994" s="10" t="inlineStr">
        <is>
          <t>000-0000-0990</t>
        </is>
      </c>
      <c r="I994" s="10" t="inlineStr">
        <is>
          <t>DEMO_GYS_0990</t>
        </is>
      </c>
      <c r="J994" s="11" t="n">
        <v>29.8</v>
      </c>
      <c r="K994" s="11" t="n">
        <v>42.8</v>
      </c>
      <c r="L994" s="12" t="n">
        <v>20</v>
      </c>
      <c r="M994" s="10" t="inlineStr">
        <is>
          <t>是</t>
        </is>
      </c>
      <c r="N994" s="10" t="inlineStr">
        <is>
          <t>否</t>
        </is>
      </c>
      <c r="O994" s="10" t="inlineStr">
        <is>
          <t>supplier0990@example.com</t>
        </is>
      </c>
      <c r="P994" s="10" t="inlineStr">
        <is>
          <t>https://example.com/supplier/0990</t>
        </is>
      </c>
      <c r="Q994" s="10">
        <f>IF(R994&gt;=85,"A",IF(R994&gt;=70,"B","C"))</f>
        <v/>
      </c>
      <c r="R994" s="13">
        <f>MIN(100,50+IF(M994="是",10,0)+IF(N994="是",10,0)+IF(L994&lt;=100,10,IF(L994&lt;=300,5,0))+IF(J994&lt;=20,10,IF(J994&lt;=50,5,0))+IF(K994-J994&lt;=20,5,0)+IF(F994="企业官网",5,0))</f>
        <v/>
      </c>
      <c r="S994" s="10">
        <f>IF(Q994="A","价格与起订量有优势，建议优先询盘",IF(Q994="B","条件较均衡，可作为备选","起订量或价格需要进一步确认"))</f>
        <v/>
      </c>
      <c r="T994" s="10" t="inlineStr">
        <is>
          <t>未联系</t>
        </is>
      </c>
      <c r="U994" s="10" t="inlineStr">
        <is>
          <t>虚构演示数据</t>
        </is>
      </c>
    </row>
    <row r="995" ht="21" customHeight="1">
      <c r="A995" s="10" t="inlineStr">
        <is>
          <t>GYS-0991</t>
        </is>
      </c>
      <c r="B995" s="10" t="inlineStr">
        <is>
          <t>郑州美容工具供应链0991有限公司（演示）</t>
        </is>
      </c>
      <c r="C995" s="10" t="inlineStr">
        <is>
          <t>美容工具</t>
        </is>
      </c>
      <c r="D995" s="10" t="inlineStr">
        <is>
          <t>便携化妆镜</t>
        </is>
      </c>
      <c r="E995" s="10" t="inlineStr">
        <is>
          <t>河南郑州</t>
        </is>
      </c>
      <c r="F995" s="10" t="inlineStr">
        <is>
          <t>企业官网</t>
        </is>
      </c>
      <c r="G995" s="10" t="inlineStr">
        <is>
          <t>林经理</t>
        </is>
      </c>
      <c r="H995" s="10" t="inlineStr">
        <is>
          <t>000-0000-0991</t>
        </is>
      </c>
      <c r="I995" s="10" t="inlineStr">
        <is>
          <t>DEMO_GYS_0991</t>
        </is>
      </c>
      <c r="J995" s="11" t="n">
        <v>31.5</v>
      </c>
      <c r="K995" s="11" t="n">
        <v>45.6</v>
      </c>
      <c r="L995" s="12" t="n">
        <v>500</v>
      </c>
      <c r="M995" s="10" t="inlineStr">
        <is>
          <t>是</t>
        </is>
      </c>
      <c r="N995" s="10" t="inlineStr">
        <is>
          <t>是</t>
        </is>
      </c>
      <c r="O995" s="10" t="inlineStr">
        <is>
          <t>supplier0991@example.com</t>
        </is>
      </c>
      <c r="P995" s="10" t="inlineStr">
        <is>
          <t>https://example.com/supplier/0991</t>
        </is>
      </c>
      <c r="Q995" s="10">
        <f>IF(R995&gt;=85,"A",IF(R995&gt;=70,"B","C"))</f>
        <v/>
      </c>
      <c r="R995" s="13">
        <f>MIN(100,50+IF(M995="是",10,0)+IF(N995="是",10,0)+IF(L995&lt;=100,10,IF(L995&lt;=300,5,0))+IF(J995&lt;=20,10,IF(J995&lt;=50,5,0))+IF(K995-J995&lt;=20,5,0)+IF(F995="企业官网",5,0))</f>
        <v/>
      </c>
      <c r="S995" s="10">
        <f>IF(Q995="A","价格与起订量有优势，建议优先询盘",IF(Q995="B","条件较均衡，可作为备选","起订量或价格需要进一步确认"))</f>
        <v/>
      </c>
      <c r="T995" s="10" t="inlineStr">
        <is>
          <t>未联系</t>
        </is>
      </c>
      <c r="U995" s="10" t="inlineStr">
        <is>
          <t>虚构演示数据</t>
        </is>
      </c>
    </row>
    <row r="996" ht="21" customHeight="1">
      <c r="A996" s="10" t="inlineStr">
        <is>
          <t>GYS-0992</t>
        </is>
      </c>
      <c r="B996" s="10" t="inlineStr">
        <is>
          <t>宁波旅行用品供应链0992有限公司（演示）</t>
        </is>
      </c>
      <c r="C996" s="10" t="inlineStr">
        <is>
          <t>旅行用品</t>
        </is>
      </c>
      <c r="D996" s="10" t="inlineStr">
        <is>
          <t>压缩收纳袋</t>
        </is>
      </c>
      <c r="E996" s="10" t="inlineStr">
        <is>
          <t>浙江宁波</t>
        </is>
      </c>
      <c r="F996" s="10" t="inlineStr">
        <is>
          <t>义乌购</t>
        </is>
      </c>
      <c r="G996" s="10" t="inlineStr">
        <is>
          <t>王经理</t>
        </is>
      </c>
      <c r="H996" s="10" t="inlineStr">
        <is>
          <t>000-0000-0992</t>
        </is>
      </c>
      <c r="I996" s="10" t="inlineStr">
        <is>
          <t>DEMO_GYS_0992</t>
        </is>
      </c>
      <c r="J996" s="11" t="n">
        <v>33.2</v>
      </c>
      <c r="K996" s="11" t="n">
        <v>48.4</v>
      </c>
      <c r="L996" s="12" t="n">
        <v>300</v>
      </c>
      <c r="M996" s="10" t="inlineStr">
        <is>
          <t>否</t>
        </is>
      </c>
      <c r="N996" s="10" t="inlineStr">
        <is>
          <t>是</t>
        </is>
      </c>
      <c r="O996" s="10" t="inlineStr">
        <is>
          <t>supplier0992@example.com</t>
        </is>
      </c>
      <c r="P996" s="10" t="inlineStr">
        <is>
          <t>https://example.com/supplier/0992</t>
        </is>
      </c>
      <c r="Q996" s="10">
        <f>IF(R996&gt;=85,"A",IF(R996&gt;=70,"B","C"))</f>
        <v/>
      </c>
      <c r="R996" s="13">
        <f>MIN(100,50+IF(M996="是",10,0)+IF(N996="是",10,0)+IF(L996&lt;=100,10,IF(L996&lt;=300,5,0))+IF(J996&lt;=20,10,IF(J996&lt;=50,5,0))+IF(K996-J996&lt;=20,5,0)+IF(F996="企业官网",5,0))</f>
        <v/>
      </c>
      <c r="S996" s="10">
        <f>IF(Q996="A","价格与起订量有优势，建议优先询盘",IF(Q996="B","条件较均衡，可作为备选","起订量或价格需要进一步确认"))</f>
        <v/>
      </c>
      <c r="T996" s="10" t="inlineStr">
        <is>
          <t>未联系</t>
        </is>
      </c>
      <c r="U996" s="10" t="inlineStr">
        <is>
          <t>虚构演示数据</t>
        </is>
      </c>
    </row>
    <row r="997" ht="21" customHeight="1">
      <c r="A997" s="10" t="inlineStr">
        <is>
          <t>GYS-0993</t>
        </is>
      </c>
      <c r="B997" s="10" t="inlineStr">
        <is>
          <t>深圳清洁工具供应链0993有限公司（演示）</t>
        </is>
      </c>
      <c r="C997" s="10" t="inlineStr">
        <is>
          <t>清洁工具</t>
        </is>
      </c>
      <c r="D997" s="10" t="inlineStr">
        <is>
          <t>免手洗拖把</t>
        </is>
      </c>
      <c r="E997" s="10" t="inlineStr">
        <is>
          <t>广东深圳</t>
        </is>
      </c>
      <c r="F997" s="10" t="inlineStr">
        <is>
          <t>慧聪网</t>
        </is>
      </c>
      <c r="G997" s="10" t="inlineStr">
        <is>
          <t>李经理</t>
        </is>
      </c>
      <c r="H997" s="10" t="inlineStr">
        <is>
          <t>000-0000-0993</t>
        </is>
      </c>
      <c r="I997" s="10" t="inlineStr">
        <is>
          <t>DEMO_GYS_0993</t>
        </is>
      </c>
      <c r="J997" s="11" t="n">
        <v>34.9</v>
      </c>
      <c r="K997" s="11" t="n">
        <v>51.2</v>
      </c>
      <c r="L997" s="12" t="n">
        <v>200</v>
      </c>
      <c r="M997" s="10" t="inlineStr">
        <is>
          <t>是</t>
        </is>
      </c>
      <c r="N997" s="10" t="inlineStr">
        <is>
          <t>否</t>
        </is>
      </c>
      <c r="O997" s="10" t="inlineStr">
        <is>
          <t>supplier0993@example.com</t>
        </is>
      </c>
      <c r="P997" s="10" t="inlineStr">
        <is>
          <t>https://example.com/supplier/0993</t>
        </is>
      </c>
      <c r="Q997" s="10">
        <f>IF(R997&gt;=85,"A",IF(R997&gt;=70,"B","C"))</f>
        <v/>
      </c>
      <c r="R997" s="13">
        <f>MIN(100,50+IF(M997="是",10,0)+IF(N997="是",10,0)+IF(L997&lt;=100,10,IF(L997&lt;=300,5,0))+IF(J997&lt;=20,10,IF(J997&lt;=50,5,0))+IF(K997-J997&lt;=20,5,0)+IF(F997="企业官网",5,0))</f>
        <v/>
      </c>
      <c r="S997" s="10">
        <f>IF(Q997="A","价格与起订量有优势，建议优先询盘",IF(Q997="B","条件较均衡，可作为备选","起订量或价格需要进一步确认"))</f>
        <v/>
      </c>
      <c r="T997" s="10" t="inlineStr">
        <is>
          <t>未联系</t>
        </is>
      </c>
      <c r="U997" s="10" t="inlineStr">
        <is>
          <t>虚构演示数据</t>
        </is>
      </c>
    </row>
    <row r="998" ht="21" customHeight="1">
      <c r="A998" s="10" t="inlineStr">
        <is>
          <t>GYS-0994</t>
        </is>
      </c>
      <c r="B998" s="10" t="inlineStr">
        <is>
          <t>佛山小家电供应链0994有限公司（演示）</t>
        </is>
      </c>
      <c r="C998" s="10" t="inlineStr">
        <is>
          <t>小家电</t>
        </is>
      </c>
      <c r="D998" s="10" t="inlineStr">
        <is>
          <t>迷你加湿器</t>
        </is>
      </c>
      <c r="E998" s="10" t="inlineStr">
        <is>
          <t>广东佛山</t>
        </is>
      </c>
      <c r="F998" s="10" t="inlineStr">
        <is>
          <t>1688</t>
        </is>
      </c>
      <c r="G998" s="10" t="inlineStr">
        <is>
          <t>张经理</t>
        </is>
      </c>
      <c r="H998" s="10" t="inlineStr">
        <is>
          <t>000-0000-0994</t>
        </is>
      </c>
      <c r="I998" s="10" t="inlineStr">
        <is>
          <t>DEMO_GYS_0994</t>
        </is>
      </c>
      <c r="J998" s="11" t="n">
        <v>36.6</v>
      </c>
      <c r="K998" s="11" t="n">
        <v>54</v>
      </c>
      <c r="L998" s="12" t="n">
        <v>100</v>
      </c>
      <c r="M998" s="10" t="inlineStr">
        <is>
          <t>是</t>
        </is>
      </c>
      <c r="N998" s="10" t="inlineStr">
        <is>
          <t>是</t>
        </is>
      </c>
      <c r="O998" s="10" t="inlineStr">
        <is>
          <t>supplier0994@example.com</t>
        </is>
      </c>
      <c r="P998" s="10" t="inlineStr">
        <is>
          <t>https://example.com/supplier/0994</t>
        </is>
      </c>
      <c r="Q998" s="10">
        <f>IF(R998&gt;=85,"A",IF(R998&gt;=70,"B","C"))</f>
        <v/>
      </c>
      <c r="R998" s="13">
        <f>MIN(100,50+IF(M998="是",10,0)+IF(N998="是",10,0)+IF(L998&lt;=100,10,IF(L998&lt;=300,5,0))+IF(J998&lt;=20,10,IF(J998&lt;=50,5,0))+IF(K998-J998&lt;=20,5,0)+IF(F998="企业官网",5,0))</f>
        <v/>
      </c>
      <c r="S998" s="10">
        <f>IF(Q998="A","价格与起订量有优势，建议优先询盘",IF(Q998="B","条件较均衡，可作为备选","起订量或价格需要进一步确认"))</f>
        <v/>
      </c>
      <c r="T998" s="10" t="inlineStr">
        <is>
          <t>未联系</t>
        </is>
      </c>
      <c r="U998" s="10" t="inlineStr">
        <is>
          <t>虚构演示数据</t>
        </is>
      </c>
    </row>
    <row r="999" ht="21" customHeight="1">
      <c r="A999" s="10" t="inlineStr">
        <is>
          <t>GYS-0995</t>
        </is>
      </c>
      <c r="B999" s="10" t="inlineStr">
        <is>
          <t>苏州礼品包装供应链0995有限公司（演示）</t>
        </is>
      </c>
      <c r="C999" s="10" t="inlineStr">
        <is>
          <t>礼品包装</t>
        </is>
      </c>
      <c r="D999" s="10" t="inlineStr">
        <is>
          <t>节日礼盒</t>
        </is>
      </c>
      <c r="E999" s="10" t="inlineStr">
        <is>
          <t>江苏苏州</t>
        </is>
      </c>
      <c r="F999" s="10" t="inlineStr">
        <is>
          <t>中国制造网</t>
        </is>
      </c>
      <c r="G999" s="10" t="inlineStr">
        <is>
          <t>刘经理</t>
        </is>
      </c>
      <c r="H999" s="10" t="inlineStr">
        <is>
          <t>000-0000-0995</t>
        </is>
      </c>
      <c r="I999" s="10" t="inlineStr">
        <is>
          <t>DEMO_GYS_0995</t>
        </is>
      </c>
      <c r="J999" s="11" t="n">
        <v>38.3</v>
      </c>
      <c r="K999" s="11" t="n">
        <v>56.8</v>
      </c>
      <c r="L999" s="12" t="n">
        <v>50</v>
      </c>
      <c r="M999" s="10" t="inlineStr">
        <is>
          <t>是</t>
        </is>
      </c>
      <c r="N999" s="10" t="inlineStr">
        <is>
          <t>是</t>
        </is>
      </c>
      <c r="O999" s="10" t="inlineStr">
        <is>
          <t>supplier0995@example.com</t>
        </is>
      </c>
      <c r="P999" s="10" t="inlineStr">
        <is>
          <t>https://example.com/supplier/0995</t>
        </is>
      </c>
      <c r="Q999" s="10">
        <f>IF(R999&gt;=85,"A",IF(R999&gt;=70,"B","C"))</f>
        <v/>
      </c>
      <c r="R999" s="13">
        <f>MIN(100,50+IF(M999="是",10,0)+IF(N999="是",10,0)+IF(L999&lt;=100,10,IF(L999&lt;=300,5,0))+IF(J999&lt;=20,10,IF(J999&lt;=50,5,0))+IF(K999-J999&lt;=20,5,0)+IF(F999="企业官网",5,0))</f>
        <v/>
      </c>
      <c r="S999" s="10">
        <f>IF(Q999="A","价格与起订量有优势，建议优先询盘",IF(Q999="B","条件较均衡，可作为备选","起订量或价格需要进一步确认"))</f>
        <v/>
      </c>
      <c r="T999" s="10" t="inlineStr">
        <is>
          <t>未联系</t>
        </is>
      </c>
      <c r="U999" s="10" t="inlineStr">
        <is>
          <t>虚构演示数据</t>
        </is>
      </c>
    </row>
    <row r="1000" ht="21" customHeight="1">
      <c r="A1000" s="10" t="inlineStr">
        <is>
          <t>GYS-0996</t>
        </is>
      </c>
      <c r="B1000" s="10" t="inlineStr">
        <is>
          <t>白沟五金工具供应链0996有限公司（演示）</t>
        </is>
      </c>
      <c r="C1000" s="10" t="inlineStr">
        <is>
          <t>五金工具</t>
        </is>
      </c>
      <c r="D1000" s="10" t="inlineStr">
        <is>
          <t>多功能螺丝刀</t>
        </is>
      </c>
      <c r="E1000" s="10" t="inlineStr">
        <is>
          <t>河北白沟</t>
        </is>
      </c>
      <c r="F1000" s="10" t="inlineStr">
        <is>
          <t>企业官网</t>
        </is>
      </c>
      <c r="G1000" s="10" t="inlineStr">
        <is>
          <t>黄经理</t>
        </is>
      </c>
      <c r="H1000" s="10" t="inlineStr">
        <is>
          <t>000-0000-0996</t>
        </is>
      </c>
      <c r="I1000" s="10" t="inlineStr">
        <is>
          <t>DEMO_GYS_0996</t>
        </is>
      </c>
      <c r="J1000" s="11" t="n">
        <v>40</v>
      </c>
      <c r="K1000" s="11" t="n">
        <v>59.6</v>
      </c>
      <c r="L1000" s="12" t="n">
        <v>20</v>
      </c>
      <c r="M1000" s="10" t="inlineStr">
        <is>
          <t>否</t>
        </is>
      </c>
      <c r="N1000" s="10" t="inlineStr">
        <is>
          <t>否</t>
        </is>
      </c>
      <c r="O1000" s="10" t="inlineStr">
        <is>
          <t>supplier0996@example.com</t>
        </is>
      </c>
      <c r="P1000" s="10" t="inlineStr">
        <is>
          <t>https://example.com/supplier/0996</t>
        </is>
      </c>
      <c r="Q1000" s="10">
        <f>IF(R1000&gt;=85,"A",IF(R1000&gt;=70,"B","C"))</f>
        <v/>
      </c>
      <c r="R1000" s="13">
        <f>MIN(100,50+IF(M1000="是",10,0)+IF(N1000="是",10,0)+IF(L1000&lt;=100,10,IF(L1000&lt;=300,5,0))+IF(J1000&lt;=20,10,IF(J1000&lt;=50,5,0))+IF(K1000-J1000&lt;=20,5,0)+IF(F1000="企业官网",5,0))</f>
        <v/>
      </c>
      <c r="S1000" s="10">
        <f>IF(Q1000="A","价格与起订量有优势，建议优先询盘",IF(Q1000="B","条件较均衡，可作为备选","起订量或价格需要进一步确认"))</f>
        <v/>
      </c>
      <c r="T1000" s="10" t="inlineStr">
        <is>
          <t>未联系</t>
        </is>
      </c>
      <c r="U1000" s="10" t="inlineStr">
        <is>
          <t>虚构演示数据</t>
        </is>
      </c>
    </row>
    <row r="1001" ht="21" customHeight="1">
      <c r="A1001" s="10" t="inlineStr">
        <is>
          <t>GYS-0997</t>
        </is>
      </c>
      <c r="B1001" s="10" t="inlineStr">
        <is>
          <t>义乌鞋靴配件供应链0997有限公司（演示）</t>
        </is>
      </c>
      <c r="C1001" s="10" t="inlineStr">
        <is>
          <t>鞋靴配件</t>
        </is>
      </c>
      <c r="D1001" s="10" t="inlineStr">
        <is>
          <t>防磨脚贴</t>
        </is>
      </c>
      <c r="E1001" s="10" t="inlineStr">
        <is>
          <t>浙江义乌</t>
        </is>
      </c>
      <c r="F1001" s="10" t="inlineStr">
        <is>
          <t>义乌购</t>
        </is>
      </c>
      <c r="G1001" s="10" t="inlineStr">
        <is>
          <t>赵经理</t>
        </is>
      </c>
      <c r="H1001" s="10" t="inlineStr">
        <is>
          <t>000-0000-0997</t>
        </is>
      </c>
      <c r="I1001" s="10" t="inlineStr">
        <is>
          <t>DEMO_GYS_0997</t>
        </is>
      </c>
      <c r="J1001" s="11" t="n">
        <v>41.7</v>
      </c>
      <c r="K1001" s="11" t="n">
        <v>62.4</v>
      </c>
      <c r="L1001" s="12" t="n">
        <v>500</v>
      </c>
      <c r="M1001" s="10" t="inlineStr">
        <is>
          <t>是</t>
        </is>
      </c>
      <c r="N1001" s="10" t="inlineStr">
        <is>
          <t>是</t>
        </is>
      </c>
      <c r="O1001" s="10" t="inlineStr">
        <is>
          <t>supplier0997@example.com</t>
        </is>
      </c>
      <c r="P1001" s="10" t="inlineStr">
        <is>
          <t>https://example.com/supplier/0997</t>
        </is>
      </c>
      <c r="Q1001" s="10">
        <f>IF(R1001&gt;=85,"A",IF(R1001&gt;=70,"B","C"))</f>
        <v/>
      </c>
      <c r="R1001" s="13">
        <f>MIN(100,50+IF(M1001="是",10,0)+IF(N1001="是",10,0)+IF(L1001&lt;=100,10,IF(L1001&lt;=300,5,0))+IF(J1001&lt;=20,10,IF(J1001&lt;=50,5,0))+IF(K1001-J1001&lt;=20,5,0)+IF(F1001="企业官网",5,0))</f>
        <v/>
      </c>
      <c r="S1001" s="10">
        <f>IF(Q1001="A","价格与起订量有优势，建议优先询盘",IF(Q1001="B","条件较均衡，可作为备选","起订量或价格需要进一步确认"))</f>
        <v/>
      </c>
      <c r="T1001" s="10" t="inlineStr">
        <is>
          <t>未联系</t>
        </is>
      </c>
      <c r="U1001" s="10" t="inlineStr">
        <is>
          <t>虚构演示数据</t>
        </is>
      </c>
    </row>
    <row r="1002" ht="21" customHeight="1">
      <c r="A1002" s="10" t="inlineStr">
        <is>
          <t>GYS-0998</t>
        </is>
      </c>
      <c r="B1002" s="10" t="inlineStr">
        <is>
          <t>台州食品包装供应链0998有限公司（演示）</t>
        </is>
      </c>
      <c r="C1002" s="10" t="inlineStr">
        <is>
          <t>食品包装</t>
        </is>
      </c>
      <c r="D1002" s="10" t="inlineStr">
        <is>
          <t>密封包装袋</t>
        </is>
      </c>
      <c r="E1002" s="10" t="inlineStr">
        <is>
          <t>浙江台州</t>
        </is>
      </c>
      <c r="F1002" s="10" t="inlineStr">
        <is>
          <t>慧聪网</t>
        </is>
      </c>
      <c r="G1002" s="10" t="inlineStr">
        <is>
          <t>周经理</t>
        </is>
      </c>
      <c r="H1002" s="10" t="inlineStr">
        <is>
          <t>000-0000-0998</t>
        </is>
      </c>
      <c r="I1002" s="10" t="inlineStr">
        <is>
          <t>DEMO_GYS_0998</t>
        </is>
      </c>
      <c r="J1002" s="11" t="n">
        <v>43.4</v>
      </c>
      <c r="K1002" s="11" t="n">
        <v>65.2</v>
      </c>
      <c r="L1002" s="12" t="n">
        <v>300</v>
      </c>
      <c r="M1002" s="10" t="inlineStr">
        <is>
          <t>是</t>
        </is>
      </c>
      <c r="N1002" s="10" t="inlineStr">
        <is>
          <t>是</t>
        </is>
      </c>
      <c r="O1002" s="10" t="inlineStr">
        <is>
          <t>supplier0998@example.com</t>
        </is>
      </c>
      <c r="P1002" s="10" t="inlineStr">
        <is>
          <t>https://example.com/supplier/0998</t>
        </is>
      </c>
      <c r="Q1002" s="10">
        <f>IF(R1002&gt;=85,"A",IF(R1002&gt;=70,"B","C"))</f>
        <v/>
      </c>
      <c r="R1002" s="13">
        <f>MIN(100,50+IF(M1002="是",10,0)+IF(N1002="是",10,0)+IF(L1002&lt;=100,10,IF(L1002&lt;=300,5,0))+IF(J1002&lt;=20,10,IF(J1002&lt;=50,5,0))+IF(K1002-J1002&lt;=20,5,0)+IF(F1002="企业官网",5,0))</f>
        <v/>
      </c>
      <c r="S1002" s="10">
        <f>IF(Q1002="A","价格与起订量有优势，建议优先询盘",IF(Q1002="B","条件较均衡，可作为备选","起订量或价格需要进一步确认"))</f>
        <v/>
      </c>
      <c r="T1002" s="10" t="inlineStr">
        <is>
          <t>未联系</t>
        </is>
      </c>
      <c r="U1002" s="10" t="inlineStr">
        <is>
          <t>虚构演示数据</t>
        </is>
      </c>
    </row>
    <row r="1003" ht="21" customHeight="1">
      <c r="A1003" s="10" t="inlineStr">
        <is>
          <t>GYS-0999</t>
        </is>
      </c>
      <c r="B1003" s="10" t="inlineStr">
        <is>
          <t>东莞户外照明供应链0999有限公司（演示）</t>
        </is>
      </c>
      <c r="C1003" s="10" t="inlineStr">
        <is>
          <t>户外照明</t>
        </is>
      </c>
      <c r="D1003" s="10" t="inlineStr">
        <is>
          <t>便携露营灯</t>
        </is>
      </c>
      <c r="E1003" s="10" t="inlineStr">
        <is>
          <t>广东东莞</t>
        </is>
      </c>
      <c r="F1003" s="10" t="inlineStr">
        <is>
          <t>1688</t>
        </is>
      </c>
      <c r="G1003" s="10" t="inlineStr">
        <is>
          <t>吴经理</t>
        </is>
      </c>
      <c r="H1003" s="10" t="inlineStr">
        <is>
          <t>000-0000-0999</t>
        </is>
      </c>
      <c r="I1003" s="10" t="inlineStr">
        <is>
          <t>DEMO_GYS_0999</t>
        </is>
      </c>
      <c r="J1003" s="11" t="n">
        <v>45.1</v>
      </c>
      <c r="K1003" s="11" t="n">
        <v>50</v>
      </c>
      <c r="L1003" s="12" t="n">
        <v>200</v>
      </c>
      <c r="M1003" s="10" t="inlineStr">
        <is>
          <t>是</t>
        </is>
      </c>
      <c r="N1003" s="10" t="inlineStr">
        <is>
          <t>否</t>
        </is>
      </c>
      <c r="O1003" s="10" t="inlineStr">
        <is>
          <t>supplier0999@example.com</t>
        </is>
      </c>
      <c r="P1003" s="10" t="inlineStr">
        <is>
          <t>https://example.com/supplier/0999</t>
        </is>
      </c>
      <c r="Q1003" s="10">
        <f>IF(R1003&gt;=85,"A",IF(R1003&gt;=70,"B","C"))</f>
        <v/>
      </c>
      <c r="R1003" s="13">
        <f>MIN(100,50+IF(M1003="是",10,0)+IF(N1003="是",10,0)+IF(L1003&lt;=100,10,IF(L1003&lt;=300,5,0))+IF(J1003&lt;=20,10,IF(J1003&lt;=50,5,0))+IF(K1003-J1003&lt;=20,5,0)+IF(F1003="企业官网",5,0))</f>
        <v/>
      </c>
      <c r="S1003" s="10">
        <f>IF(Q1003="A","价格与起订量有优势，建议优先询盘",IF(Q1003="B","条件较均衡，可作为备选","起订量或价格需要进一步确认"))</f>
        <v/>
      </c>
      <c r="T1003" s="10" t="inlineStr">
        <is>
          <t>未联系</t>
        </is>
      </c>
      <c r="U1003" s="10" t="inlineStr">
        <is>
          <t>虚构演示数据</t>
        </is>
      </c>
    </row>
    <row r="1004" ht="21" customHeight="1">
      <c r="A1004" s="10" t="inlineStr">
        <is>
          <t>GYS-1000</t>
        </is>
      </c>
      <c r="B1004" s="10" t="inlineStr">
        <is>
          <t>厦门健康用品供应链1000有限公司（演示）</t>
        </is>
      </c>
      <c r="C1004" s="10" t="inlineStr">
        <is>
          <t>健康用品</t>
        </is>
      </c>
      <c r="D1004" s="10" t="inlineStr">
        <is>
          <t>热敷眼罩</t>
        </is>
      </c>
      <c r="E1004" s="10" t="inlineStr">
        <is>
          <t>福建厦门</t>
        </is>
      </c>
      <c r="F1004" s="10" t="inlineStr">
        <is>
          <t>中国制造网</t>
        </is>
      </c>
      <c r="G1004" s="10" t="inlineStr">
        <is>
          <t>陈经理</t>
        </is>
      </c>
      <c r="H1004" s="10" t="inlineStr">
        <is>
          <t>000-0000-1000</t>
        </is>
      </c>
      <c r="I1004" s="10" t="inlineStr">
        <is>
          <t>DEMO_GYS_1000</t>
        </is>
      </c>
      <c r="J1004" s="11" t="n">
        <v>46.8</v>
      </c>
      <c r="K1004" s="11" t="n">
        <v>52.8</v>
      </c>
      <c r="L1004" s="12" t="n">
        <v>100</v>
      </c>
      <c r="M1004" s="10" t="inlineStr">
        <is>
          <t>否</t>
        </is>
      </c>
      <c r="N1004" s="10" t="inlineStr">
        <is>
          <t>是</t>
        </is>
      </c>
      <c r="O1004" s="10" t="inlineStr">
        <is>
          <t>supplier1000@example.com</t>
        </is>
      </c>
      <c r="P1004" s="10" t="inlineStr">
        <is>
          <t>https://example.com/supplier/1000</t>
        </is>
      </c>
      <c r="Q1004" s="10">
        <f>IF(R1004&gt;=85,"A",IF(R1004&gt;=70,"B","C"))</f>
        <v/>
      </c>
      <c r="R1004" s="13">
        <f>MIN(100,50+IF(M1004="是",10,0)+IF(N1004="是",10,0)+IF(L1004&lt;=100,10,IF(L1004&lt;=300,5,0))+IF(J1004&lt;=20,10,IF(J1004&lt;=50,5,0))+IF(K1004-J1004&lt;=20,5,0)+IF(F1004="企业官网",5,0))</f>
        <v/>
      </c>
      <c r="S1004" s="10">
        <f>IF(Q1004="A","价格与起订量有优势，建议优先询盘",IF(Q1004="B","条件较均衡，可作为备选","起订量或价格需要进一步确认"))</f>
        <v/>
      </c>
      <c r="T1004" s="10" t="inlineStr">
        <is>
          <t>未联系</t>
        </is>
      </c>
      <c r="U1004" s="10" t="inlineStr">
        <is>
          <t>虚构演示数据</t>
        </is>
      </c>
    </row>
    <row r="1005" ht="21" customHeight="1">
      <c r="A1005" s="10" t="inlineStr">
        <is>
          <t>GYS-1001</t>
        </is>
      </c>
      <c r="B1005" s="10" t="inlineStr">
        <is>
          <t>临沂服饰内衣供应链1001有限公司（演示）</t>
        </is>
      </c>
      <c r="C1005" s="10" t="inlineStr">
        <is>
          <t>服饰内衣</t>
        </is>
      </c>
      <c r="D1005" s="10" t="inlineStr">
        <is>
          <t>防滑袜</t>
        </is>
      </c>
      <c r="E1005" s="10" t="inlineStr">
        <is>
          <t>山东临沂</t>
        </is>
      </c>
      <c r="F1005" s="10" t="inlineStr">
        <is>
          <t>企业官网</t>
        </is>
      </c>
      <c r="G1005" s="10" t="inlineStr">
        <is>
          <t>林经理</t>
        </is>
      </c>
      <c r="H1005" s="10" t="inlineStr">
        <is>
          <t>000-0000-1001</t>
        </is>
      </c>
      <c r="I1005" s="10" t="inlineStr">
        <is>
          <t>DEMO_GYS_1001</t>
        </is>
      </c>
      <c r="J1005" s="11" t="n">
        <v>48.5</v>
      </c>
      <c r="K1005" s="11" t="n">
        <v>55.6</v>
      </c>
      <c r="L1005" s="12" t="n">
        <v>50</v>
      </c>
      <c r="M1005" s="10" t="inlineStr">
        <is>
          <t>是</t>
        </is>
      </c>
      <c r="N1005" s="10" t="inlineStr">
        <is>
          <t>是</t>
        </is>
      </c>
      <c r="O1005" s="10" t="inlineStr">
        <is>
          <t>supplier1001@example.com</t>
        </is>
      </c>
      <c r="P1005" s="10" t="inlineStr">
        <is>
          <t>https://example.com/supplier/1001</t>
        </is>
      </c>
      <c r="Q1005" s="10">
        <f>IF(R1005&gt;=85,"A",IF(R1005&gt;=70,"B","C"))</f>
        <v/>
      </c>
      <c r="R1005" s="13">
        <f>MIN(100,50+IF(M1005="是",10,0)+IF(N1005="是",10,0)+IF(L1005&lt;=100,10,IF(L1005&lt;=300,5,0))+IF(J1005&lt;=20,10,IF(J1005&lt;=50,5,0))+IF(K1005-J1005&lt;=20,5,0)+IF(F1005="企业官网",5,0))</f>
        <v/>
      </c>
      <c r="S1005" s="10">
        <f>IF(Q1005="A","价格与起订量有优势，建议优先询盘",IF(Q1005="B","条件较均衡，可作为备选","起订量或价格需要进一步确认"))</f>
        <v/>
      </c>
      <c r="T1005" s="10" t="inlineStr">
        <is>
          <t>未联系</t>
        </is>
      </c>
      <c r="U1005" s="10" t="inlineStr">
        <is>
          <t>虚构演示数据</t>
        </is>
      </c>
    </row>
    <row r="1006" ht="21" customHeight="1">
      <c r="A1006" s="10" t="inlineStr">
        <is>
          <t>GYS-1002</t>
        </is>
      </c>
      <c r="B1006" s="10" t="inlineStr">
        <is>
          <t>南昌家居日用供应链1002有限公司（演示）</t>
        </is>
      </c>
      <c r="C1006" s="10" t="inlineStr">
        <is>
          <t>家居日用</t>
        </is>
      </c>
      <c r="D1006" s="10" t="inlineStr">
        <is>
          <t>折叠收纳箱</t>
        </is>
      </c>
      <c r="E1006" s="10" t="inlineStr">
        <is>
          <t>江西南昌</t>
        </is>
      </c>
      <c r="F1006" s="10" t="inlineStr">
        <is>
          <t>义乌购</t>
        </is>
      </c>
      <c r="G1006" s="10" t="inlineStr">
        <is>
          <t>王经理</t>
        </is>
      </c>
      <c r="H1006" s="10" t="inlineStr">
        <is>
          <t>000-0000-1002</t>
        </is>
      </c>
      <c r="I1006" s="10" t="inlineStr">
        <is>
          <t>DEMO_GYS_1002</t>
        </is>
      </c>
      <c r="J1006" s="11" t="n">
        <v>4.2</v>
      </c>
      <c r="K1006" s="11" t="n">
        <v>12.4</v>
      </c>
      <c r="L1006" s="12" t="n">
        <v>20</v>
      </c>
      <c r="M1006" s="10" t="inlineStr">
        <is>
          <t>是</t>
        </is>
      </c>
      <c r="N1006" s="10" t="inlineStr">
        <is>
          <t>否</t>
        </is>
      </c>
      <c r="O1006" s="10" t="inlineStr">
        <is>
          <t>supplier1002@example.com</t>
        </is>
      </c>
      <c r="P1006" s="10" t="inlineStr">
        <is>
          <t>https://example.com/supplier/1002</t>
        </is>
      </c>
      <c r="Q1006" s="10">
        <f>IF(R1006&gt;=85,"A",IF(R1006&gt;=70,"B","C"))</f>
        <v/>
      </c>
      <c r="R1006" s="13">
        <f>MIN(100,50+IF(M1006="是",10,0)+IF(N1006="是",10,0)+IF(L1006&lt;=100,10,IF(L1006&lt;=300,5,0))+IF(J1006&lt;=20,10,IF(J1006&lt;=50,5,0))+IF(K1006-J1006&lt;=20,5,0)+IF(F1006="企业官网",5,0))</f>
        <v/>
      </c>
      <c r="S1006" s="10">
        <f>IF(Q1006="A","价格与起订量有优势，建议优先询盘",IF(Q1006="B","条件较均衡，可作为备选","起订量或价格需要进一步确认"))</f>
        <v/>
      </c>
      <c r="T1006" s="10" t="inlineStr">
        <is>
          <t>未联系</t>
        </is>
      </c>
      <c r="U1006" s="10" t="inlineStr">
        <is>
          <t>虚构演示数据</t>
        </is>
      </c>
    </row>
    <row r="1007" ht="21" customHeight="1">
      <c r="A1007" s="10" t="inlineStr">
        <is>
          <t>GYS-1003</t>
        </is>
      </c>
      <c r="B1007" s="10" t="inlineStr">
        <is>
          <t>温州个护清洁供应链1003有限公司（演示）</t>
        </is>
      </c>
      <c r="C1007" s="10" t="inlineStr">
        <is>
          <t>个护清洁</t>
        </is>
      </c>
      <c r="D1007" s="10" t="inlineStr">
        <is>
          <t>便携洗脸巾</t>
        </is>
      </c>
      <c r="E1007" s="10" t="inlineStr">
        <is>
          <t>浙江温州</t>
        </is>
      </c>
      <c r="F1007" s="10" t="inlineStr">
        <is>
          <t>慧聪网</t>
        </is>
      </c>
      <c r="G1007" s="10" t="inlineStr">
        <is>
          <t>李经理</t>
        </is>
      </c>
      <c r="H1007" s="10" t="inlineStr">
        <is>
          <t>000-0000-1003</t>
        </is>
      </c>
      <c r="I1007" s="10" t="inlineStr">
        <is>
          <t>DEMO_GYS_1003</t>
        </is>
      </c>
      <c r="J1007" s="11" t="n">
        <v>5.9</v>
      </c>
      <c r="K1007" s="11" t="n">
        <v>15.2</v>
      </c>
      <c r="L1007" s="12" t="n">
        <v>500</v>
      </c>
      <c r="M1007" s="10" t="inlineStr">
        <is>
          <t>是</t>
        </is>
      </c>
      <c r="N1007" s="10" t="inlineStr">
        <is>
          <t>是</t>
        </is>
      </c>
      <c r="O1007" s="10" t="inlineStr">
        <is>
          <t>supplier1003@example.com</t>
        </is>
      </c>
      <c r="P1007" s="10" t="inlineStr">
        <is>
          <t>https://example.com/supplier/1003</t>
        </is>
      </c>
      <c r="Q1007" s="10">
        <f>IF(R1007&gt;=85,"A",IF(R1007&gt;=70,"B","C"))</f>
        <v/>
      </c>
      <c r="R1007" s="13">
        <f>MIN(100,50+IF(M1007="是",10,0)+IF(N1007="是",10,0)+IF(L1007&lt;=100,10,IF(L1007&lt;=300,5,0))+IF(J1007&lt;=20,10,IF(J1007&lt;=50,5,0))+IF(K1007-J1007&lt;=20,5,0)+IF(F1007="企业官网",5,0))</f>
        <v/>
      </c>
      <c r="S1007" s="10">
        <f>IF(Q1007="A","价格与起订量有优势，建议优先询盘",IF(Q1007="B","条件较均衡，可作为备选","起订量或价格需要进一步确认"))</f>
        <v/>
      </c>
      <c r="T1007" s="10" t="inlineStr">
        <is>
          <t>未联系</t>
        </is>
      </c>
      <c r="U1007" s="10" t="inlineStr">
        <is>
          <t>虚构演示数据</t>
        </is>
      </c>
    </row>
    <row r="1008" ht="21" customHeight="1">
      <c r="A1008" s="10" t="inlineStr">
        <is>
          <t>GYS-1004</t>
        </is>
      </c>
      <c r="B1008" s="10" t="inlineStr">
        <is>
          <t>广州厨房用品供应链1004有限公司（演示）</t>
        </is>
      </c>
      <c r="C1008" s="10" t="inlineStr">
        <is>
          <t>厨房用品</t>
        </is>
      </c>
      <c r="D1008" s="10" t="inlineStr">
        <is>
          <t>硅胶保鲜盒</t>
        </is>
      </c>
      <c r="E1008" s="10" t="inlineStr">
        <is>
          <t>广东广州</t>
        </is>
      </c>
      <c r="F1008" s="10" t="inlineStr">
        <is>
          <t>1688</t>
        </is>
      </c>
      <c r="G1008" s="10" t="inlineStr">
        <is>
          <t>张经理</t>
        </is>
      </c>
      <c r="H1008" s="10" t="inlineStr">
        <is>
          <t>000-0000-1004</t>
        </is>
      </c>
      <c r="I1008" s="10" t="inlineStr">
        <is>
          <t>DEMO_GYS_1004</t>
        </is>
      </c>
      <c r="J1008" s="11" t="n">
        <v>7.6</v>
      </c>
      <c r="K1008" s="11" t="n">
        <v>18</v>
      </c>
      <c r="L1008" s="12" t="n">
        <v>300</v>
      </c>
      <c r="M1008" s="10" t="inlineStr">
        <is>
          <t>否</t>
        </is>
      </c>
      <c r="N1008" s="10" t="inlineStr">
        <is>
          <t>是</t>
        </is>
      </c>
      <c r="O1008" s="10" t="inlineStr">
        <is>
          <t>supplier1004@example.com</t>
        </is>
      </c>
      <c r="P1008" s="10" t="inlineStr">
        <is>
          <t>https://example.com/supplier/1004</t>
        </is>
      </c>
      <c r="Q1008" s="10">
        <f>IF(R1008&gt;=85,"A",IF(R1008&gt;=70,"B","C"))</f>
        <v/>
      </c>
      <c r="R1008" s="13">
        <f>MIN(100,50+IF(M1008="是",10,0)+IF(N1008="是",10,0)+IF(L1008&lt;=100,10,IF(L1008&lt;=300,5,0))+IF(J1008&lt;=20,10,IF(J1008&lt;=50,5,0))+IF(K1008-J1008&lt;=20,5,0)+IF(F1008="企业官网",5,0))</f>
        <v/>
      </c>
      <c r="S1008" s="10">
        <f>IF(Q1008="A","价格与起订量有优势，建议优先询盘",IF(Q1008="B","条件较均衡，可作为备选","起订量或价格需要进一步确认"))</f>
        <v/>
      </c>
      <c r="T1008" s="10" t="inlineStr">
        <is>
          <t>未联系</t>
        </is>
      </c>
      <c r="U1008" s="10" t="inlineStr">
        <is>
          <t>虚构演示数据</t>
        </is>
      </c>
    </row>
    <row r="1009" ht="21" customHeight="1">
      <c r="A1009" s="10" t="inlineStr">
        <is>
          <t>GYS-1005</t>
        </is>
      </c>
      <c r="B1009" s="10" t="inlineStr">
        <is>
          <t>泉州数码配件供应链1005有限公司（演示）</t>
        </is>
      </c>
      <c r="C1009" s="10" t="inlineStr">
        <is>
          <t>数码配件</t>
        </is>
      </c>
      <c r="D1009" s="10" t="inlineStr">
        <is>
          <t>磁吸手机支架</t>
        </is>
      </c>
      <c r="E1009" s="10" t="inlineStr">
        <is>
          <t>福建泉州</t>
        </is>
      </c>
      <c r="F1009" s="10" t="inlineStr">
        <is>
          <t>中国制造网</t>
        </is>
      </c>
      <c r="G1009" s="10" t="inlineStr">
        <is>
          <t>刘经理</t>
        </is>
      </c>
      <c r="H1009" s="10" t="inlineStr">
        <is>
          <t>000-0000-1005</t>
        </is>
      </c>
      <c r="I1009" s="10" t="inlineStr">
        <is>
          <t>DEMO_GYS_1005</t>
        </is>
      </c>
      <c r="J1009" s="11" t="n">
        <v>9.300000000000001</v>
      </c>
      <c r="K1009" s="11" t="n">
        <v>20.8</v>
      </c>
      <c r="L1009" s="12" t="n">
        <v>200</v>
      </c>
      <c r="M1009" s="10" t="inlineStr">
        <is>
          <t>是</t>
        </is>
      </c>
      <c r="N1009" s="10" t="inlineStr">
        <is>
          <t>否</t>
        </is>
      </c>
      <c r="O1009" s="10" t="inlineStr">
        <is>
          <t>supplier1005@example.com</t>
        </is>
      </c>
      <c r="P1009" s="10" t="inlineStr">
        <is>
          <t>https://example.com/supplier/1005</t>
        </is>
      </c>
      <c r="Q1009" s="10">
        <f>IF(R1009&gt;=85,"A",IF(R1009&gt;=70,"B","C"))</f>
        <v/>
      </c>
      <c r="R1009" s="13">
        <f>MIN(100,50+IF(M1009="是",10,0)+IF(N1009="是",10,0)+IF(L1009&lt;=100,10,IF(L1009&lt;=300,5,0))+IF(J1009&lt;=20,10,IF(J1009&lt;=50,5,0))+IF(K1009-J1009&lt;=20,5,0)+IF(F1009="企业官网",5,0))</f>
        <v/>
      </c>
      <c r="S1009" s="10">
        <f>IF(Q1009="A","价格与起订量有优势，建议优先询盘",IF(Q1009="B","条件较均衡，可作为备选","起订量或价格需要进一步确认"))</f>
        <v/>
      </c>
      <c r="T1009" s="10" t="inlineStr">
        <is>
          <t>未联系</t>
        </is>
      </c>
      <c r="U1009" s="10" t="inlineStr">
        <is>
          <t>虚构演示数据</t>
        </is>
      </c>
    </row>
    <row r="1010" ht="21" customHeight="1">
      <c r="A1010" s="10" t="inlineStr">
        <is>
          <t>GYS-1006</t>
        </is>
      </c>
      <c r="B1010" s="10" t="inlineStr">
        <is>
          <t>南通宠物用品供应链1006有限公司（演示）</t>
        </is>
      </c>
      <c r="C1010" s="10" t="inlineStr">
        <is>
          <t>宠物用品</t>
        </is>
      </c>
      <c r="D1010" s="10" t="inlineStr">
        <is>
          <t>宠物清洁手套</t>
        </is>
      </c>
      <c r="E1010" s="10" t="inlineStr">
        <is>
          <t>江苏南通</t>
        </is>
      </c>
      <c r="F1010" s="10" t="inlineStr">
        <is>
          <t>企业官网</t>
        </is>
      </c>
      <c r="G1010" s="10" t="inlineStr">
        <is>
          <t>黄经理</t>
        </is>
      </c>
      <c r="H1010" s="10" t="inlineStr">
        <is>
          <t>000-0000-1006</t>
        </is>
      </c>
      <c r="I1010" s="10" t="inlineStr">
        <is>
          <t>DEMO_GYS_1006</t>
        </is>
      </c>
      <c r="J1010" s="11" t="n">
        <v>11</v>
      </c>
      <c r="K1010" s="11" t="n">
        <v>23.6</v>
      </c>
      <c r="L1010" s="12" t="n">
        <v>100</v>
      </c>
      <c r="M1010" s="10" t="inlineStr">
        <is>
          <t>是</t>
        </is>
      </c>
      <c r="N1010" s="10" t="inlineStr">
        <is>
          <t>是</t>
        </is>
      </c>
      <c r="O1010" s="10" t="inlineStr">
        <is>
          <t>supplier1006@example.com</t>
        </is>
      </c>
      <c r="P1010" s="10" t="inlineStr">
        <is>
          <t>https://example.com/supplier/1006</t>
        </is>
      </c>
      <c r="Q1010" s="10">
        <f>IF(R1010&gt;=85,"A",IF(R1010&gt;=70,"B","C"))</f>
        <v/>
      </c>
      <c r="R1010" s="13">
        <f>MIN(100,50+IF(M1010="是",10,0)+IF(N1010="是",10,0)+IF(L1010&lt;=100,10,IF(L1010&lt;=300,5,0))+IF(J1010&lt;=20,10,IF(J1010&lt;=50,5,0))+IF(K1010-J1010&lt;=20,5,0)+IF(F1010="企业官网",5,0))</f>
        <v/>
      </c>
      <c r="S1010" s="10">
        <f>IF(Q1010="A","价格与起订量有优势，建议优先询盘",IF(Q1010="B","条件较均衡，可作为备选","起订量或价格需要进一步确认"))</f>
        <v/>
      </c>
      <c r="T1010" s="10" t="inlineStr">
        <is>
          <t>未联系</t>
        </is>
      </c>
      <c r="U1010" s="10" t="inlineStr">
        <is>
          <t>虚构演示数据</t>
        </is>
      </c>
    </row>
    <row r="1011" ht="21" customHeight="1">
      <c r="A1011" s="10" t="inlineStr">
        <is>
          <t>GYS-1007</t>
        </is>
      </c>
      <c r="B1011" s="10" t="inlineStr">
        <is>
          <t>郑州母婴用品供应链1007有限公司（演示）</t>
        </is>
      </c>
      <c r="C1011" s="10" t="inlineStr">
        <is>
          <t>母婴用品</t>
        </is>
      </c>
      <c r="D1011" s="10" t="inlineStr">
        <is>
          <t>婴儿防撞条</t>
        </is>
      </c>
      <c r="E1011" s="10" t="inlineStr">
        <is>
          <t>河南郑州</t>
        </is>
      </c>
      <c r="F1011" s="10" t="inlineStr">
        <is>
          <t>义乌购</t>
        </is>
      </c>
      <c r="G1011" s="10" t="inlineStr">
        <is>
          <t>赵经理</t>
        </is>
      </c>
      <c r="H1011" s="10" t="inlineStr">
        <is>
          <t>000-0000-1007</t>
        </is>
      </c>
      <c r="I1011" s="10" t="inlineStr">
        <is>
          <t>DEMO_GYS_1007</t>
        </is>
      </c>
      <c r="J1011" s="11" t="n">
        <v>12.7</v>
      </c>
      <c r="K1011" s="11" t="n">
        <v>26.4</v>
      </c>
      <c r="L1011" s="12" t="n">
        <v>50</v>
      </c>
      <c r="M1011" s="10" t="inlineStr">
        <is>
          <t>是</t>
        </is>
      </c>
      <c r="N1011" s="10" t="inlineStr">
        <is>
          <t>是</t>
        </is>
      </c>
      <c r="O1011" s="10" t="inlineStr">
        <is>
          <t>supplier1007@example.com</t>
        </is>
      </c>
      <c r="P1011" s="10" t="inlineStr">
        <is>
          <t>https://example.com/supplier/1007</t>
        </is>
      </c>
      <c r="Q1011" s="10">
        <f>IF(R1011&gt;=85,"A",IF(R1011&gt;=70,"B","C"))</f>
        <v/>
      </c>
      <c r="R1011" s="13">
        <f>MIN(100,50+IF(M1011="是",10,0)+IF(N1011="是",10,0)+IF(L1011&lt;=100,10,IF(L1011&lt;=300,5,0))+IF(J1011&lt;=20,10,IF(J1011&lt;=50,5,0))+IF(K1011-J1011&lt;=20,5,0)+IF(F1011="企业官网",5,0))</f>
        <v/>
      </c>
      <c r="S1011" s="10">
        <f>IF(Q1011="A","价格与起订量有优势，建议优先询盘",IF(Q1011="B","条件较均衡，可作为备选","起订量或价格需要进一步确认"))</f>
        <v/>
      </c>
      <c r="T1011" s="10" t="inlineStr">
        <is>
          <t>未联系</t>
        </is>
      </c>
      <c r="U1011" s="10" t="inlineStr">
        <is>
          <t>虚构演示数据</t>
        </is>
      </c>
    </row>
    <row r="1012" ht="21" customHeight="1">
      <c r="A1012" s="10" t="inlineStr">
        <is>
          <t>GYS-1008</t>
        </is>
      </c>
      <c r="B1012" s="10" t="inlineStr">
        <is>
          <t>宁波运动户外供应链1008有限公司（演示）</t>
        </is>
      </c>
      <c r="C1012" s="10" t="inlineStr">
        <is>
          <t>运动户外</t>
        </is>
      </c>
      <c r="D1012" s="10" t="inlineStr">
        <is>
          <t>弹力训练带</t>
        </is>
      </c>
      <c r="E1012" s="10" t="inlineStr">
        <is>
          <t>浙江宁波</t>
        </is>
      </c>
      <c r="F1012" s="10" t="inlineStr">
        <is>
          <t>慧聪网</t>
        </is>
      </c>
      <c r="G1012" s="10" t="inlineStr">
        <is>
          <t>周经理</t>
        </is>
      </c>
      <c r="H1012" s="10" t="inlineStr">
        <is>
          <t>000-0000-1008</t>
        </is>
      </c>
      <c r="I1012" s="10" t="inlineStr">
        <is>
          <t>DEMO_GYS_1008</t>
        </is>
      </c>
      <c r="J1012" s="11" t="n">
        <v>14.4</v>
      </c>
      <c r="K1012" s="11" t="n">
        <v>29.2</v>
      </c>
      <c r="L1012" s="12" t="n">
        <v>20</v>
      </c>
      <c r="M1012" s="10" t="inlineStr">
        <is>
          <t>否</t>
        </is>
      </c>
      <c r="N1012" s="10" t="inlineStr">
        <is>
          <t>否</t>
        </is>
      </c>
      <c r="O1012" s="10" t="inlineStr">
        <is>
          <t>supplier1008@example.com</t>
        </is>
      </c>
      <c r="P1012" s="10" t="inlineStr">
        <is>
          <t>https://example.com/supplier/1008</t>
        </is>
      </c>
      <c r="Q1012" s="10">
        <f>IF(R1012&gt;=85,"A",IF(R1012&gt;=70,"B","C"))</f>
        <v/>
      </c>
      <c r="R1012" s="13">
        <f>MIN(100,50+IF(M1012="是",10,0)+IF(N1012="是",10,0)+IF(L1012&lt;=100,10,IF(L1012&lt;=300,5,0))+IF(J1012&lt;=20,10,IF(J1012&lt;=50,5,0))+IF(K1012-J1012&lt;=20,5,0)+IF(F1012="企业官网",5,0))</f>
        <v/>
      </c>
      <c r="S1012" s="10">
        <f>IF(Q1012="A","价格与起订量有优势，建议优先询盘",IF(Q1012="B","条件较均衡，可作为备选","起订量或价格需要进一步确认"))</f>
        <v/>
      </c>
      <c r="T1012" s="10" t="inlineStr">
        <is>
          <t>未联系</t>
        </is>
      </c>
      <c r="U1012" s="10" t="inlineStr">
        <is>
          <t>虚构演示数据</t>
        </is>
      </c>
    </row>
    <row r="1013" ht="21" customHeight="1">
      <c r="A1013" s="10" t="inlineStr">
        <is>
          <t>GYS-1009</t>
        </is>
      </c>
      <c r="B1013" s="10" t="inlineStr">
        <is>
          <t>深圳办公文具供应链1009有限公司（演示）</t>
        </is>
      </c>
      <c r="C1013" s="10" t="inlineStr">
        <is>
          <t>办公文具</t>
        </is>
      </c>
      <c r="D1013" s="10" t="inlineStr">
        <is>
          <t>桌面收纳架</t>
        </is>
      </c>
      <c r="E1013" s="10" t="inlineStr">
        <is>
          <t>广东深圳</t>
        </is>
      </c>
      <c r="F1013" s="10" t="inlineStr">
        <is>
          <t>1688</t>
        </is>
      </c>
      <c r="G1013" s="10" t="inlineStr">
        <is>
          <t>吴经理</t>
        </is>
      </c>
      <c r="H1013" s="10" t="inlineStr">
        <is>
          <t>000-0000-1009</t>
        </is>
      </c>
      <c r="I1013" s="10" t="inlineStr">
        <is>
          <t>DEMO_GYS_1009</t>
        </is>
      </c>
      <c r="J1013" s="11" t="n">
        <v>16.1</v>
      </c>
      <c r="K1013" s="11" t="n">
        <v>32</v>
      </c>
      <c r="L1013" s="12" t="n">
        <v>500</v>
      </c>
      <c r="M1013" s="10" t="inlineStr">
        <is>
          <t>是</t>
        </is>
      </c>
      <c r="N1013" s="10" t="inlineStr">
        <is>
          <t>是</t>
        </is>
      </c>
      <c r="O1013" s="10" t="inlineStr">
        <is>
          <t>supplier1009@example.com</t>
        </is>
      </c>
      <c r="P1013" s="10" t="inlineStr">
        <is>
          <t>https://example.com/supplier/1009</t>
        </is>
      </c>
      <c r="Q1013" s="10">
        <f>IF(R1013&gt;=85,"A",IF(R1013&gt;=70,"B","C"))</f>
        <v/>
      </c>
      <c r="R1013" s="13">
        <f>MIN(100,50+IF(M1013="是",10,0)+IF(N1013="是",10,0)+IF(L1013&lt;=100,10,IF(L1013&lt;=300,5,0))+IF(J1013&lt;=20,10,IF(J1013&lt;=50,5,0))+IF(K1013-J1013&lt;=20,5,0)+IF(F1013="企业官网",5,0))</f>
        <v/>
      </c>
      <c r="S1013" s="10">
        <f>IF(Q1013="A","价格与起订量有优势，建议优先询盘",IF(Q1013="B","条件较均衡，可作为备选","起订量或价格需要进一步确认"))</f>
        <v/>
      </c>
      <c r="T1013" s="10" t="inlineStr">
        <is>
          <t>未联系</t>
        </is>
      </c>
      <c r="U1013" s="10" t="inlineStr">
        <is>
          <t>虚构演示数据</t>
        </is>
      </c>
    </row>
    <row r="1014" ht="21" customHeight="1">
      <c r="A1014" s="10" t="inlineStr">
        <is>
          <t>GYS-1010</t>
        </is>
      </c>
      <c r="B1014" s="10" t="inlineStr">
        <is>
          <t>佛山汽车用品供应链1010有限公司（演示）</t>
        </is>
      </c>
      <c r="C1014" s="10" t="inlineStr">
        <is>
          <t>汽车用品</t>
        </is>
      </c>
      <c r="D1014" s="10" t="inlineStr">
        <is>
          <t>车载香薰</t>
        </is>
      </c>
      <c r="E1014" s="10" t="inlineStr">
        <is>
          <t>广东佛山</t>
        </is>
      </c>
      <c r="F1014" s="10" t="inlineStr">
        <is>
          <t>中国制造网</t>
        </is>
      </c>
      <c r="G1014" s="10" t="inlineStr">
        <is>
          <t>陈经理</t>
        </is>
      </c>
      <c r="H1014" s="10" t="inlineStr">
        <is>
          <t>000-0000-1010</t>
        </is>
      </c>
      <c r="I1014" s="10" t="inlineStr">
        <is>
          <t>DEMO_GYS_1010</t>
        </is>
      </c>
      <c r="J1014" s="11" t="n">
        <v>17.8</v>
      </c>
      <c r="K1014" s="11" t="n">
        <v>34.8</v>
      </c>
      <c r="L1014" s="12" t="n">
        <v>300</v>
      </c>
      <c r="M1014" s="10" t="inlineStr">
        <is>
          <t>是</t>
        </is>
      </c>
      <c r="N1014" s="10" t="inlineStr">
        <is>
          <t>是</t>
        </is>
      </c>
      <c r="O1014" s="10" t="inlineStr">
        <is>
          <t>supplier1010@example.com</t>
        </is>
      </c>
      <c r="P1014" s="10" t="inlineStr">
        <is>
          <t>https://example.com/supplier/1010</t>
        </is>
      </c>
      <c r="Q1014" s="10">
        <f>IF(R1014&gt;=85,"A",IF(R1014&gt;=70,"B","C"))</f>
        <v/>
      </c>
      <c r="R1014" s="13">
        <f>MIN(100,50+IF(M1014="是",10,0)+IF(N1014="是",10,0)+IF(L1014&lt;=100,10,IF(L1014&lt;=300,5,0))+IF(J1014&lt;=20,10,IF(J1014&lt;=50,5,0))+IF(K1014-J1014&lt;=20,5,0)+IF(F1014="企业官网",5,0))</f>
        <v/>
      </c>
      <c r="S1014" s="10">
        <f>IF(Q1014="A","价格与起订量有优势，建议优先询盘",IF(Q1014="B","条件较均衡，可作为备选","起订量或价格需要进一步确认"))</f>
        <v/>
      </c>
      <c r="T1014" s="10" t="inlineStr">
        <is>
          <t>未联系</t>
        </is>
      </c>
      <c r="U1014" s="10" t="inlineStr">
        <is>
          <t>虚构演示数据</t>
        </is>
      </c>
    </row>
    <row r="1015" ht="21" customHeight="1">
      <c r="A1015" s="10" t="inlineStr">
        <is>
          <t>GYS-1011</t>
        </is>
      </c>
      <c r="B1015" s="10" t="inlineStr">
        <is>
          <t>苏州美容工具供应链1011有限公司（演示）</t>
        </is>
      </c>
      <c r="C1015" s="10" t="inlineStr">
        <is>
          <t>美容工具</t>
        </is>
      </c>
      <c r="D1015" s="10" t="inlineStr">
        <is>
          <t>便携化妆镜</t>
        </is>
      </c>
      <c r="E1015" s="10" t="inlineStr">
        <is>
          <t>江苏苏州</t>
        </is>
      </c>
      <c r="F1015" s="10" t="inlineStr">
        <is>
          <t>企业官网</t>
        </is>
      </c>
      <c r="G1015" s="10" t="inlineStr">
        <is>
          <t>林经理</t>
        </is>
      </c>
      <c r="H1015" s="10" t="inlineStr">
        <is>
          <t>000-0000-1011</t>
        </is>
      </c>
      <c r="I1015" s="10" t="inlineStr">
        <is>
          <t>DEMO_GYS_1011</t>
        </is>
      </c>
      <c r="J1015" s="11" t="n">
        <v>19.5</v>
      </c>
      <c r="K1015" s="11" t="n">
        <v>37.6</v>
      </c>
      <c r="L1015" s="12" t="n">
        <v>200</v>
      </c>
      <c r="M1015" s="10" t="inlineStr">
        <is>
          <t>是</t>
        </is>
      </c>
      <c r="N1015" s="10" t="inlineStr">
        <is>
          <t>否</t>
        </is>
      </c>
      <c r="O1015" s="10" t="inlineStr">
        <is>
          <t>supplier1011@example.com</t>
        </is>
      </c>
      <c r="P1015" s="10" t="inlineStr">
        <is>
          <t>https://example.com/supplier/1011</t>
        </is>
      </c>
      <c r="Q1015" s="10">
        <f>IF(R1015&gt;=85,"A",IF(R1015&gt;=70,"B","C"))</f>
        <v/>
      </c>
      <c r="R1015" s="13">
        <f>MIN(100,50+IF(M1015="是",10,0)+IF(N1015="是",10,0)+IF(L1015&lt;=100,10,IF(L1015&lt;=300,5,0))+IF(J1015&lt;=20,10,IF(J1015&lt;=50,5,0))+IF(K1015-J1015&lt;=20,5,0)+IF(F1015="企业官网",5,0))</f>
        <v/>
      </c>
      <c r="S1015" s="10">
        <f>IF(Q1015="A","价格与起订量有优势，建议优先询盘",IF(Q1015="B","条件较均衡，可作为备选","起订量或价格需要进一步确认"))</f>
        <v/>
      </c>
      <c r="T1015" s="10" t="inlineStr">
        <is>
          <t>未联系</t>
        </is>
      </c>
      <c r="U1015" s="10" t="inlineStr">
        <is>
          <t>虚构演示数据</t>
        </is>
      </c>
    </row>
    <row r="1016" ht="21" customHeight="1">
      <c r="A1016" s="10" t="inlineStr">
        <is>
          <t>GYS-1012</t>
        </is>
      </c>
      <c r="B1016" s="10" t="inlineStr">
        <is>
          <t>白沟旅行用品供应链1012有限公司（演示）</t>
        </is>
      </c>
      <c r="C1016" s="10" t="inlineStr">
        <is>
          <t>旅行用品</t>
        </is>
      </c>
      <c r="D1016" s="10" t="inlineStr">
        <is>
          <t>压缩收纳袋</t>
        </is>
      </c>
      <c r="E1016" s="10" t="inlineStr">
        <is>
          <t>河北白沟</t>
        </is>
      </c>
      <c r="F1016" s="10" t="inlineStr">
        <is>
          <t>义乌购</t>
        </is>
      </c>
      <c r="G1016" s="10" t="inlineStr">
        <is>
          <t>王经理</t>
        </is>
      </c>
      <c r="H1016" s="10" t="inlineStr">
        <is>
          <t>000-0000-1012</t>
        </is>
      </c>
      <c r="I1016" s="10" t="inlineStr">
        <is>
          <t>DEMO_GYS_1012</t>
        </is>
      </c>
      <c r="J1016" s="11" t="n">
        <v>21.2</v>
      </c>
      <c r="K1016" s="11" t="n">
        <v>40.4</v>
      </c>
      <c r="L1016" s="12" t="n">
        <v>100</v>
      </c>
      <c r="M1016" s="10" t="inlineStr">
        <is>
          <t>否</t>
        </is>
      </c>
      <c r="N1016" s="10" t="inlineStr">
        <is>
          <t>是</t>
        </is>
      </c>
      <c r="O1016" s="10" t="inlineStr">
        <is>
          <t>supplier1012@example.com</t>
        </is>
      </c>
      <c r="P1016" s="10" t="inlineStr">
        <is>
          <t>https://example.com/supplier/1012</t>
        </is>
      </c>
      <c r="Q1016" s="10">
        <f>IF(R1016&gt;=85,"A",IF(R1016&gt;=70,"B","C"))</f>
        <v/>
      </c>
      <c r="R1016" s="13">
        <f>MIN(100,50+IF(M1016="是",10,0)+IF(N1016="是",10,0)+IF(L1016&lt;=100,10,IF(L1016&lt;=300,5,0))+IF(J1016&lt;=20,10,IF(J1016&lt;=50,5,0))+IF(K1016-J1016&lt;=20,5,0)+IF(F1016="企业官网",5,0))</f>
        <v/>
      </c>
      <c r="S1016" s="10">
        <f>IF(Q1016="A","价格与起订量有优势，建议优先询盘",IF(Q1016="B","条件较均衡，可作为备选","起订量或价格需要进一步确认"))</f>
        <v/>
      </c>
      <c r="T1016" s="10" t="inlineStr">
        <is>
          <t>未联系</t>
        </is>
      </c>
      <c r="U1016" s="10" t="inlineStr">
        <is>
          <t>虚构演示数据</t>
        </is>
      </c>
    </row>
    <row r="1017" ht="21" customHeight="1">
      <c r="A1017" s="10" t="inlineStr">
        <is>
          <t>GYS-1013</t>
        </is>
      </c>
      <c r="B1017" s="10" t="inlineStr">
        <is>
          <t>义乌清洁工具供应链1013有限公司（演示）</t>
        </is>
      </c>
      <c r="C1017" s="10" t="inlineStr">
        <is>
          <t>清洁工具</t>
        </is>
      </c>
      <c r="D1017" s="10" t="inlineStr">
        <is>
          <t>免手洗拖把</t>
        </is>
      </c>
      <c r="E1017" s="10" t="inlineStr">
        <is>
          <t>浙江义乌</t>
        </is>
      </c>
      <c r="F1017" s="10" t="inlineStr">
        <is>
          <t>慧聪网</t>
        </is>
      </c>
      <c r="G1017" s="10" t="inlineStr">
        <is>
          <t>李经理</t>
        </is>
      </c>
      <c r="H1017" s="10" t="inlineStr">
        <is>
          <t>000-0000-1013</t>
        </is>
      </c>
      <c r="I1017" s="10" t="inlineStr">
        <is>
          <t>DEMO_GYS_1013</t>
        </is>
      </c>
      <c r="J1017" s="11" t="n">
        <v>22.9</v>
      </c>
      <c r="K1017" s="11" t="n">
        <v>43.2</v>
      </c>
      <c r="L1017" s="12" t="n">
        <v>50</v>
      </c>
      <c r="M1017" s="10" t="inlineStr">
        <is>
          <t>是</t>
        </is>
      </c>
      <c r="N1017" s="10" t="inlineStr">
        <is>
          <t>是</t>
        </is>
      </c>
      <c r="O1017" s="10" t="inlineStr">
        <is>
          <t>supplier1013@example.com</t>
        </is>
      </c>
      <c r="P1017" s="10" t="inlineStr">
        <is>
          <t>https://example.com/supplier/1013</t>
        </is>
      </c>
      <c r="Q1017" s="10">
        <f>IF(R1017&gt;=85,"A",IF(R1017&gt;=70,"B","C"))</f>
        <v/>
      </c>
      <c r="R1017" s="13">
        <f>MIN(100,50+IF(M1017="是",10,0)+IF(N1017="是",10,0)+IF(L1017&lt;=100,10,IF(L1017&lt;=300,5,0))+IF(J1017&lt;=20,10,IF(J1017&lt;=50,5,0))+IF(K1017-J1017&lt;=20,5,0)+IF(F1017="企业官网",5,0))</f>
        <v/>
      </c>
      <c r="S1017" s="10">
        <f>IF(Q1017="A","价格与起订量有优势，建议优先询盘",IF(Q1017="B","条件较均衡，可作为备选","起订量或价格需要进一步确认"))</f>
        <v/>
      </c>
      <c r="T1017" s="10" t="inlineStr">
        <is>
          <t>未联系</t>
        </is>
      </c>
      <c r="U1017" s="10" t="inlineStr">
        <is>
          <t>虚构演示数据</t>
        </is>
      </c>
    </row>
    <row r="1018" ht="21" customHeight="1">
      <c r="A1018" s="10" t="inlineStr">
        <is>
          <t>GYS-1014</t>
        </is>
      </c>
      <c r="B1018" s="10" t="inlineStr">
        <is>
          <t>台州小家电供应链1014有限公司（演示）</t>
        </is>
      </c>
      <c r="C1018" s="10" t="inlineStr">
        <is>
          <t>小家电</t>
        </is>
      </c>
      <c r="D1018" s="10" t="inlineStr">
        <is>
          <t>迷你加湿器</t>
        </is>
      </c>
      <c r="E1018" s="10" t="inlineStr">
        <is>
          <t>浙江台州</t>
        </is>
      </c>
      <c r="F1018" s="10" t="inlineStr">
        <is>
          <t>1688</t>
        </is>
      </c>
      <c r="G1018" s="10" t="inlineStr">
        <is>
          <t>张经理</t>
        </is>
      </c>
      <c r="H1018" s="10" t="inlineStr">
        <is>
          <t>000-0000-1014</t>
        </is>
      </c>
      <c r="I1018" s="10" t="inlineStr">
        <is>
          <t>DEMO_GYS_1014</t>
        </is>
      </c>
      <c r="J1018" s="11" t="n">
        <v>24.6</v>
      </c>
      <c r="K1018" s="11" t="n">
        <v>46</v>
      </c>
      <c r="L1018" s="12" t="n">
        <v>20</v>
      </c>
      <c r="M1018" s="10" t="inlineStr">
        <is>
          <t>是</t>
        </is>
      </c>
      <c r="N1018" s="10" t="inlineStr">
        <is>
          <t>否</t>
        </is>
      </c>
      <c r="O1018" s="10" t="inlineStr">
        <is>
          <t>supplier1014@example.com</t>
        </is>
      </c>
      <c r="P1018" s="10" t="inlineStr">
        <is>
          <t>https://example.com/supplier/1014</t>
        </is>
      </c>
      <c r="Q1018" s="10">
        <f>IF(R1018&gt;=85,"A",IF(R1018&gt;=70,"B","C"))</f>
        <v/>
      </c>
      <c r="R1018" s="13">
        <f>MIN(100,50+IF(M1018="是",10,0)+IF(N1018="是",10,0)+IF(L1018&lt;=100,10,IF(L1018&lt;=300,5,0))+IF(J1018&lt;=20,10,IF(J1018&lt;=50,5,0))+IF(K1018-J1018&lt;=20,5,0)+IF(F1018="企业官网",5,0))</f>
        <v/>
      </c>
      <c r="S1018" s="10">
        <f>IF(Q1018="A","价格与起订量有优势，建议优先询盘",IF(Q1018="B","条件较均衡，可作为备选","起订量或价格需要进一步确认"))</f>
        <v/>
      </c>
      <c r="T1018" s="10" t="inlineStr">
        <is>
          <t>未联系</t>
        </is>
      </c>
      <c r="U1018" s="10" t="inlineStr">
        <is>
          <t>虚构演示数据</t>
        </is>
      </c>
    </row>
    <row r="1019" ht="21" customHeight="1">
      <c r="A1019" s="10" t="inlineStr">
        <is>
          <t>GYS-1015</t>
        </is>
      </c>
      <c r="B1019" s="10" t="inlineStr">
        <is>
          <t>东莞礼品包装供应链1015有限公司（演示）</t>
        </is>
      </c>
      <c r="C1019" s="10" t="inlineStr">
        <is>
          <t>礼品包装</t>
        </is>
      </c>
      <c r="D1019" s="10" t="inlineStr">
        <is>
          <t>节日礼盒</t>
        </is>
      </c>
      <c r="E1019" s="10" t="inlineStr">
        <is>
          <t>广东东莞</t>
        </is>
      </c>
      <c r="F1019" s="10" t="inlineStr">
        <is>
          <t>中国制造网</t>
        </is>
      </c>
      <c r="G1019" s="10" t="inlineStr">
        <is>
          <t>刘经理</t>
        </is>
      </c>
      <c r="H1019" s="10" t="inlineStr">
        <is>
          <t>000-0000-1015</t>
        </is>
      </c>
      <c r="I1019" s="10" t="inlineStr">
        <is>
          <t>DEMO_GYS_1015</t>
        </is>
      </c>
      <c r="J1019" s="11" t="n">
        <v>26.3</v>
      </c>
      <c r="K1019" s="11" t="n">
        <v>30.8</v>
      </c>
      <c r="L1019" s="12" t="n">
        <v>500</v>
      </c>
      <c r="M1019" s="10" t="inlineStr">
        <is>
          <t>是</t>
        </is>
      </c>
      <c r="N1019" s="10" t="inlineStr">
        <is>
          <t>是</t>
        </is>
      </c>
      <c r="O1019" s="10" t="inlineStr">
        <is>
          <t>supplier1015@example.com</t>
        </is>
      </c>
      <c r="P1019" s="10" t="inlineStr">
        <is>
          <t>https://example.com/supplier/1015</t>
        </is>
      </c>
      <c r="Q1019" s="10">
        <f>IF(R1019&gt;=85,"A",IF(R1019&gt;=70,"B","C"))</f>
        <v/>
      </c>
      <c r="R1019" s="13">
        <f>MIN(100,50+IF(M1019="是",10,0)+IF(N1019="是",10,0)+IF(L1019&lt;=100,10,IF(L1019&lt;=300,5,0))+IF(J1019&lt;=20,10,IF(J1019&lt;=50,5,0))+IF(K1019-J1019&lt;=20,5,0)+IF(F1019="企业官网",5,0))</f>
        <v/>
      </c>
      <c r="S1019" s="10">
        <f>IF(Q1019="A","价格与起订量有优势，建议优先询盘",IF(Q1019="B","条件较均衡，可作为备选","起订量或价格需要进一步确认"))</f>
        <v/>
      </c>
      <c r="T1019" s="10" t="inlineStr">
        <is>
          <t>未联系</t>
        </is>
      </c>
      <c r="U1019" s="10" t="inlineStr">
        <is>
          <t>虚构演示数据</t>
        </is>
      </c>
    </row>
    <row r="1020" ht="21" customHeight="1">
      <c r="A1020" s="10" t="inlineStr">
        <is>
          <t>GYS-1016</t>
        </is>
      </c>
      <c r="B1020" s="10" t="inlineStr">
        <is>
          <t>厦门五金工具供应链1016有限公司（演示）</t>
        </is>
      </c>
      <c r="C1020" s="10" t="inlineStr">
        <is>
          <t>五金工具</t>
        </is>
      </c>
      <c r="D1020" s="10" t="inlineStr">
        <is>
          <t>多功能螺丝刀</t>
        </is>
      </c>
      <c r="E1020" s="10" t="inlineStr">
        <is>
          <t>福建厦门</t>
        </is>
      </c>
      <c r="F1020" s="10" t="inlineStr">
        <is>
          <t>企业官网</t>
        </is>
      </c>
      <c r="G1020" s="10" t="inlineStr">
        <is>
          <t>黄经理</t>
        </is>
      </c>
      <c r="H1020" s="10" t="inlineStr">
        <is>
          <t>000-0000-1016</t>
        </is>
      </c>
      <c r="I1020" s="10" t="inlineStr">
        <is>
          <t>DEMO_GYS_1016</t>
        </is>
      </c>
      <c r="J1020" s="11" t="n">
        <v>28</v>
      </c>
      <c r="K1020" s="11" t="n">
        <v>33.6</v>
      </c>
      <c r="L1020" s="12" t="n">
        <v>300</v>
      </c>
      <c r="M1020" s="10" t="inlineStr">
        <is>
          <t>否</t>
        </is>
      </c>
      <c r="N1020" s="10" t="inlineStr">
        <is>
          <t>是</t>
        </is>
      </c>
      <c r="O1020" s="10" t="inlineStr">
        <is>
          <t>supplier1016@example.com</t>
        </is>
      </c>
      <c r="P1020" s="10" t="inlineStr">
        <is>
          <t>https://example.com/supplier/1016</t>
        </is>
      </c>
      <c r="Q1020" s="10">
        <f>IF(R1020&gt;=85,"A",IF(R1020&gt;=70,"B","C"))</f>
        <v/>
      </c>
      <c r="R1020" s="13">
        <f>MIN(100,50+IF(M1020="是",10,0)+IF(N1020="是",10,0)+IF(L1020&lt;=100,10,IF(L1020&lt;=300,5,0))+IF(J1020&lt;=20,10,IF(J1020&lt;=50,5,0))+IF(K1020-J1020&lt;=20,5,0)+IF(F1020="企业官网",5,0))</f>
        <v/>
      </c>
      <c r="S1020" s="10">
        <f>IF(Q1020="A","价格与起订量有优势，建议优先询盘",IF(Q1020="B","条件较均衡，可作为备选","起订量或价格需要进一步确认"))</f>
        <v/>
      </c>
      <c r="T1020" s="10" t="inlineStr">
        <is>
          <t>未联系</t>
        </is>
      </c>
      <c r="U1020" s="10" t="inlineStr">
        <is>
          <t>虚构演示数据</t>
        </is>
      </c>
    </row>
    <row r="1021" ht="21" customHeight="1">
      <c r="A1021" s="10" t="inlineStr">
        <is>
          <t>GYS-1017</t>
        </is>
      </c>
      <c r="B1021" s="10" t="inlineStr">
        <is>
          <t>临沂鞋靴配件供应链1017有限公司（演示）</t>
        </is>
      </c>
      <c r="C1021" s="10" t="inlineStr">
        <is>
          <t>鞋靴配件</t>
        </is>
      </c>
      <c r="D1021" s="10" t="inlineStr">
        <is>
          <t>防磨脚贴</t>
        </is>
      </c>
      <c r="E1021" s="10" t="inlineStr">
        <is>
          <t>山东临沂</t>
        </is>
      </c>
      <c r="F1021" s="10" t="inlineStr">
        <is>
          <t>义乌购</t>
        </is>
      </c>
      <c r="G1021" s="10" t="inlineStr">
        <is>
          <t>赵经理</t>
        </is>
      </c>
      <c r="H1021" s="10" t="inlineStr">
        <is>
          <t>000-0000-1017</t>
        </is>
      </c>
      <c r="I1021" s="10" t="inlineStr">
        <is>
          <t>DEMO_GYS_1017</t>
        </is>
      </c>
      <c r="J1021" s="11" t="n">
        <v>29.7</v>
      </c>
      <c r="K1021" s="11" t="n">
        <v>36.4</v>
      </c>
      <c r="L1021" s="12" t="n">
        <v>200</v>
      </c>
      <c r="M1021" s="10" t="inlineStr">
        <is>
          <t>是</t>
        </is>
      </c>
      <c r="N1021" s="10" t="inlineStr">
        <is>
          <t>否</t>
        </is>
      </c>
      <c r="O1021" s="10" t="inlineStr">
        <is>
          <t>supplier1017@example.com</t>
        </is>
      </c>
      <c r="P1021" s="10" t="inlineStr">
        <is>
          <t>https://example.com/supplier/1017</t>
        </is>
      </c>
      <c r="Q1021" s="10">
        <f>IF(R1021&gt;=85,"A",IF(R1021&gt;=70,"B","C"))</f>
        <v/>
      </c>
      <c r="R1021" s="13">
        <f>MIN(100,50+IF(M1021="是",10,0)+IF(N1021="是",10,0)+IF(L1021&lt;=100,10,IF(L1021&lt;=300,5,0))+IF(J1021&lt;=20,10,IF(J1021&lt;=50,5,0))+IF(K1021-J1021&lt;=20,5,0)+IF(F1021="企业官网",5,0))</f>
        <v/>
      </c>
      <c r="S1021" s="10">
        <f>IF(Q1021="A","价格与起订量有优势，建议优先询盘",IF(Q1021="B","条件较均衡，可作为备选","起订量或价格需要进一步确认"))</f>
        <v/>
      </c>
      <c r="T1021" s="10" t="inlineStr">
        <is>
          <t>未联系</t>
        </is>
      </c>
      <c r="U1021" s="10" t="inlineStr">
        <is>
          <t>虚构演示数据</t>
        </is>
      </c>
    </row>
    <row r="1022" ht="21" customHeight="1">
      <c r="A1022" s="10" t="inlineStr">
        <is>
          <t>GYS-1018</t>
        </is>
      </c>
      <c r="B1022" s="10" t="inlineStr">
        <is>
          <t>南昌食品包装供应链1018有限公司（演示）</t>
        </is>
      </c>
      <c r="C1022" s="10" t="inlineStr">
        <is>
          <t>食品包装</t>
        </is>
      </c>
      <c r="D1022" s="10" t="inlineStr">
        <is>
          <t>密封包装袋</t>
        </is>
      </c>
      <c r="E1022" s="10" t="inlineStr">
        <is>
          <t>江西南昌</t>
        </is>
      </c>
      <c r="F1022" s="10" t="inlineStr">
        <is>
          <t>慧聪网</t>
        </is>
      </c>
      <c r="G1022" s="10" t="inlineStr">
        <is>
          <t>周经理</t>
        </is>
      </c>
      <c r="H1022" s="10" t="inlineStr">
        <is>
          <t>000-0000-1018</t>
        </is>
      </c>
      <c r="I1022" s="10" t="inlineStr">
        <is>
          <t>DEMO_GYS_1018</t>
        </is>
      </c>
      <c r="J1022" s="11" t="n">
        <v>31.4</v>
      </c>
      <c r="K1022" s="11" t="n">
        <v>39.2</v>
      </c>
      <c r="L1022" s="12" t="n">
        <v>100</v>
      </c>
      <c r="M1022" s="10" t="inlineStr">
        <is>
          <t>是</t>
        </is>
      </c>
      <c r="N1022" s="10" t="inlineStr">
        <is>
          <t>是</t>
        </is>
      </c>
      <c r="O1022" s="10" t="inlineStr">
        <is>
          <t>supplier1018@example.com</t>
        </is>
      </c>
      <c r="P1022" s="10" t="inlineStr">
        <is>
          <t>https://example.com/supplier/1018</t>
        </is>
      </c>
      <c r="Q1022" s="10">
        <f>IF(R1022&gt;=85,"A",IF(R1022&gt;=70,"B","C"))</f>
        <v/>
      </c>
      <c r="R1022" s="13">
        <f>MIN(100,50+IF(M1022="是",10,0)+IF(N1022="是",10,0)+IF(L1022&lt;=100,10,IF(L1022&lt;=300,5,0))+IF(J1022&lt;=20,10,IF(J1022&lt;=50,5,0))+IF(K1022-J1022&lt;=20,5,0)+IF(F1022="企业官网",5,0))</f>
        <v/>
      </c>
      <c r="S1022" s="10">
        <f>IF(Q1022="A","价格与起订量有优势，建议优先询盘",IF(Q1022="B","条件较均衡，可作为备选","起订量或价格需要进一步确认"))</f>
        <v/>
      </c>
      <c r="T1022" s="10" t="inlineStr">
        <is>
          <t>未联系</t>
        </is>
      </c>
      <c r="U1022" s="10" t="inlineStr">
        <is>
          <t>虚构演示数据</t>
        </is>
      </c>
    </row>
    <row r="1023" ht="21" customHeight="1">
      <c r="A1023" s="10" t="inlineStr">
        <is>
          <t>GYS-1019</t>
        </is>
      </c>
      <c r="B1023" s="10" t="inlineStr">
        <is>
          <t>温州户外照明供应链1019有限公司（演示）</t>
        </is>
      </c>
      <c r="C1023" s="10" t="inlineStr">
        <is>
          <t>户外照明</t>
        </is>
      </c>
      <c r="D1023" s="10" t="inlineStr">
        <is>
          <t>便携露营灯</t>
        </is>
      </c>
      <c r="E1023" s="10" t="inlineStr">
        <is>
          <t>浙江温州</t>
        </is>
      </c>
      <c r="F1023" s="10" t="inlineStr">
        <is>
          <t>1688</t>
        </is>
      </c>
      <c r="G1023" s="10" t="inlineStr">
        <is>
          <t>吴经理</t>
        </is>
      </c>
      <c r="H1023" s="10" t="inlineStr">
        <is>
          <t>000-0000-1019</t>
        </is>
      </c>
      <c r="I1023" s="10" t="inlineStr">
        <is>
          <t>DEMO_GYS_1019</t>
        </is>
      </c>
      <c r="J1023" s="11" t="n">
        <v>33.1</v>
      </c>
      <c r="K1023" s="11" t="n">
        <v>42</v>
      </c>
      <c r="L1023" s="12" t="n">
        <v>50</v>
      </c>
      <c r="M1023" s="10" t="inlineStr">
        <is>
          <t>是</t>
        </is>
      </c>
      <c r="N1023" s="10" t="inlineStr">
        <is>
          <t>是</t>
        </is>
      </c>
      <c r="O1023" s="10" t="inlineStr">
        <is>
          <t>supplier1019@example.com</t>
        </is>
      </c>
      <c r="P1023" s="10" t="inlineStr">
        <is>
          <t>https://example.com/supplier/1019</t>
        </is>
      </c>
      <c r="Q1023" s="10">
        <f>IF(R1023&gt;=85,"A",IF(R1023&gt;=70,"B","C"))</f>
        <v/>
      </c>
      <c r="R1023" s="13">
        <f>MIN(100,50+IF(M1023="是",10,0)+IF(N1023="是",10,0)+IF(L1023&lt;=100,10,IF(L1023&lt;=300,5,0))+IF(J1023&lt;=20,10,IF(J1023&lt;=50,5,0))+IF(K1023-J1023&lt;=20,5,0)+IF(F1023="企业官网",5,0))</f>
        <v/>
      </c>
      <c r="S1023" s="10">
        <f>IF(Q1023="A","价格与起订量有优势，建议优先询盘",IF(Q1023="B","条件较均衡，可作为备选","起订量或价格需要进一步确认"))</f>
        <v/>
      </c>
      <c r="T1023" s="10" t="inlineStr">
        <is>
          <t>未联系</t>
        </is>
      </c>
      <c r="U1023" s="10" t="inlineStr">
        <is>
          <t>虚构演示数据</t>
        </is>
      </c>
    </row>
    <row r="1024" ht="21" customHeight="1">
      <c r="A1024" s="10" t="inlineStr">
        <is>
          <t>GYS-1020</t>
        </is>
      </c>
      <c r="B1024" s="10" t="inlineStr">
        <is>
          <t>广州健康用品供应链1020有限公司（演示）</t>
        </is>
      </c>
      <c r="C1024" s="10" t="inlineStr">
        <is>
          <t>健康用品</t>
        </is>
      </c>
      <c r="D1024" s="10" t="inlineStr">
        <is>
          <t>热敷眼罩</t>
        </is>
      </c>
      <c r="E1024" s="10" t="inlineStr">
        <is>
          <t>广东广州</t>
        </is>
      </c>
      <c r="F1024" s="10" t="inlineStr">
        <is>
          <t>中国制造网</t>
        </is>
      </c>
      <c r="G1024" s="10" t="inlineStr">
        <is>
          <t>陈经理</t>
        </is>
      </c>
      <c r="H1024" s="10" t="inlineStr">
        <is>
          <t>000-0000-1020</t>
        </is>
      </c>
      <c r="I1024" s="10" t="inlineStr">
        <is>
          <t>DEMO_GYS_1020</t>
        </is>
      </c>
      <c r="J1024" s="11" t="n">
        <v>34.8</v>
      </c>
      <c r="K1024" s="11" t="n">
        <v>44.8</v>
      </c>
      <c r="L1024" s="12" t="n">
        <v>20</v>
      </c>
      <c r="M1024" s="10" t="inlineStr">
        <is>
          <t>否</t>
        </is>
      </c>
      <c r="N1024" s="10" t="inlineStr">
        <is>
          <t>否</t>
        </is>
      </c>
      <c r="O1024" s="10" t="inlineStr">
        <is>
          <t>supplier1020@example.com</t>
        </is>
      </c>
      <c r="P1024" s="10" t="inlineStr">
        <is>
          <t>https://example.com/supplier/1020</t>
        </is>
      </c>
      <c r="Q1024" s="10">
        <f>IF(R1024&gt;=85,"A",IF(R1024&gt;=70,"B","C"))</f>
        <v/>
      </c>
      <c r="R1024" s="13">
        <f>MIN(100,50+IF(M1024="是",10,0)+IF(N1024="是",10,0)+IF(L1024&lt;=100,10,IF(L1024&lt;=300,5,0))+IF(J1024&lt;=20,10,IF(J1024&lt;=50,5,0))+IF(K1024-J1024&lt;=20,5,0)+IF(F1024="企业官网",5,0))</f>
        <v/>
      </c>
      <c r="S1024" s="10">
        <f>IF(Q1024="A","价格与起订量有优势，建议优先询盘",IF(Q1024="B","条件较均衡，可作为备选","起订量或价格需要进一步确认"))</f>
        <v/>
      </c>
      <c r="T1024" s="10" t="inlineStr">
        <is>
          <t>未联系</t>
        </is>
      </c>
      <c r="U1024" s="10" t="inlineStr">
        <is>
          <t>虚构演示数据</t>
        </is>
      </c>
    </row>
    <row r="1025" ht="21" customHeight="1">
      <c r="A1025" s="10" t="inlineStr">
        <is>
          <t>GYS-1021</t>
        </is>
      </c>
      <c r="B1025" s="10" t="inlineStr">
        <is>
          <t>泉州服饰内衣供应链1021有限公司（演示）</t>
        </is>
      </c>
      <c r="C1025" s="10" t="inlineStr">
        <is>
          <t>服饰内衣</t>
        </is>
      </c>
      <c r="D1025" s="10" t="inlineStr">
        <is>
          <t>防滑袜</t>
        </is>
      </c>
      <c r="E1025" s="10" t="inlineStr">
        <is>
          <t>福建泉州</t>
        </is>
      </c>
      <c r="F1025" s="10" t="inlineStr">
        <is>
          <t>企业官网</t>
        </is>
      </c>
      <c r="G1025" s="10" t="inlineStr">
        <is>
          <t>林经理</t>
        </is>
      </c>
      <c r="H1025" s="10" t="inlineStr">
        <is>
          <t>000-0000-1021</t>
        </is>
      </c>
      <c r="I1025" s="10" t="inlineStr">
        <is>
          <t>DEMO_GYS_1021</t>
        </is>
      </c>
      <c r="J1025" s="11" t="n">
        <v>36.5</v>
      </c>
      <c r="K1025" s="11" t="n">
        <v>47.6</v>
      </c>
      <c r="L1025" s="12" t="n">
        <v>500</v>
      </c>
      <c r="M1025" s="10" t="inlineStr">
        <is>
          <t>是</t>
        </is>
      </c>
      <c r="N1025" s="10" t="inlineStr">
        <is>
          <t>是</t>
        </is>
      </c>
      <c r="O1025" s="10" t="inlineStr">
        <is>
          <t>supplier1021@example.com</t>
        </is>
      </c>
      <c r="P1025" s="10" t="inlineStr">
        <is>
          <t>https://example.com/supplier/1021</t>
        </is>
      </c>
      <c r="Q1025" s="10">
        <f>IF(R1025&gt;=85,"A",IF(R1025&gt;=70,"B","C"))</f>
        <v/>
      </c>
      <c r="R1025" s="13">
        <f>MIN(100,50+IF(M1025="是",10,0)+IF(N1025="是",10,0)+IF(L1025&lt;=100,10,IF(L1025&lt;=300,5,0))+IF(J1025&lt;=20,10,IF(J1025&lt;=50,5,0))+IF(K1025-J1025&lt;=20,5,0)+IF(F1025="企业官网",5,0))</f>
        <v/>
      </c>
      <c r="S1025" s="10">
        <f>IF(Q1025="A","价格与起订量有优势，建议优先询盘",IF(Q1025="B","条件较均衡，可作为备选","起订量或价格需要进一步确认"))</f>
        <v/>
      </c>
      <c r="T1025" s="10" t="inlineStr">
        <is>
          <t>未联系</t>
        </is>
      </c>
      <c r="U1025" s="10" t="inlineStr">
        <is>
          <t>虚构演示数据</t>
        </is>
      </c>
    </row>
    <row r="1026" ht="21" customHeight="1">
      <c r="A1026" s="10" t="inlineStr">
        <is>
          <t>GYS-1022</t>
        </is>
      </c>
      <c r="B1026" s="10" t="inlineStr">
        <is>
          <t>南通家居日用供应链1022有限公司（演示）</t>
        </is>
      </c>
      <c r="C1026" s="10" t="inlineStr">
        <is>
          <t>家居日用</t>
        </is>
      </c>
      <c r="D1026" s="10" t="inlineStr">
        <is>
          <t>折叠收纳箱</t>
        </is>
      </c>
      <c r="E1026" s="10" t="inlineStr">
        <is>
          <t>江苏南通</t>
        </is>
      </c>
      <c r="F1026" s="10" t="inlineStr">
        <is>
          <t>义乌购</t>
        </is>
      </c>
      <c r="G1026" s="10" t="inlineStr">
        <is>
          <t>王经理</t>
        </is>
      </c>
      <c r="H1026" s="10" t="inlineStr">
        <is>
          <t>000-0000-1022</t>
        </is>
      </c>
      <c r="I1026" s="10" t="inlineStr">
        <is>
          <t>DEMO_GYS_1022</t>
        </is>
      </c>
      <c r="J1026" s="11" t="n">
        <v>38.2</v>
      </c>
      <c r="K1026" s="11" t="n">
        <v>50.4</v>
      </c>
      <c r="L1026" s="12" t="n">
        <v>300</v>
      </c>
      <c r="M1026" s="10" t="inlineStr">
        <is>
          <t>是</t>
        </is>
      </c>
      <c r="N1026" s="10" t="inlineStr">
        <is>
          <t>是</t>
        </is>
      </c>
      <c r="O1026" s="10" t="inlineStr">
        <is>
          <t>supplier1022@example.com</t>
        </is>
      </c>
      <c r="P1026" s="10" t="inlineStr">
        <is>
          <t>https://example.com/supplier/1022</t>
        </is>
      </c>
      <c r="Q1026" s="10">
        <f>IF(R1026&gt;=85,"A",IF(R1026&gt;=70,"B","C"))</f>
        <v/>
      </c>
      <c r="R1026" s="13">
        <f>MIN(100,50+IF(M1026="是",10,0)+IF(N1026="是",10,0)+IF(L1026&lt;=100,10,IF(L1026&lt;=300,5,0))+IF(J1026&lt;=20,10,IF(J1026&lt;=50,5,0))+IF(K1026-J1026&lt;=20,5,0)+IF(F1026="企业官网",5,0))</f>
        <v/>
      </c>
      <c r="S1026" s="10">
        <f>IF(Q1026="A","价格与起订量有优势，建议优先询盘",IF(Q1026="B","条件较均衡，可作为备选","起订量或价格需要进一步确认"))</f>
        <v/>
      </c>
      <c r="T1026" s="10" t="inlineStr">
        <is>
          <t>未联系</t>
        </is>
      </c>
      <c r="U1026" s="10" t="inlineStr">
        <is>
          <t>虚构演示数据</t>
        </is>
      </c>
    </row>
    <row r="1027" ht="21" customHeight="1">
      <c r="A1027" s="10" t="inlineStr">
        <is>
          <t>GYS-1023</t>
        </is>
      </c>
      <c r="B1027" s="10" t="inlineStr">
        <is>
          <t>郑州个护清洁供应链1023有限公司（演示）</t>
        </is>
      </c>
      <c r="C1027" s="10" t="inlineStr">
        <is>
          <t>个护清洁</t>
        </is>
      </c>
      <c r="D1027" s="10" t="inlineStr">
        <is>
          <t>便携洗脸巾</t>
        </is>
      </c>
      <c r="E1027" s="10" t="inlineStr">
        <is>
          <t>河南郑州</t>
        </is>
      </c>
      <c r="F1027" s="10" t="inlineStr">
        <is>
          <t>慧聪网</t>
        </is>
      </c>
      <c r="G1027" s="10" t="inlineStr">
        <is>
          <t>李经理</t>
        </is>
      </c>
      <c r="H1027" s="10" t="inlineStr">
        <is>
          <t>000-0000-1023</t>
        </is>
      </c>
      <c r="I1027" s="10" t="inlineStr">
        <is>
          <t>DEMO_GYS_1023</t>
        </is>
      </c>
      <c r="J1027" s="11" t="n">
        <v>39.9</v>
      </c>
      <c r="K1027" s="11" t="n">
        <v>53.2</v>
      </c>
      <c r="L1027" s="12" t="n">
        <v>200</v>
      </c>
      <c r="M1027" s="10" t="inlineStr">
        <is>
          <t>是</t>
        </is>
      </c>
      <c r="N1027" s="10" t="inlineStr">
        <is>
          <t>否</t>
        </is>
      </c>
      <c r="O1027" s="10" t="inlineStr">
        <is>
          <t>supplier1023@example.com</t>
        </is>
      </c>
      <c r="P1027" s="10" t="inlineStr">
        <is>
          <t>https://example.com/supplier/1023</t>
        </is>
      </c>
      <c r="Q1027" s="10">
        <f>IF(R1027&gt;=85,"A",IF(R1027&gt;=70,"B","C"))</f>
        <v/>
      </c>
      <c r="R1027" s="13">
        <f>MIN(100,50+IF(M1027="是",10,0)+IF(N1027="是",10,0)+IF(L1027&lt;=100,10,IF(L1027&lt;=300,5,0))+IF(J1027&lt;=20,10,IF(J1027&lt;=50,5,0))+IF(K1027-J1027&lt;=20,5,0)+IF(F1027="企业官网",5,0))</f>
        <v/>
      </c>
      <c r="S1027" s="10">
        <f>IF(Q1027="A","价格与起订量有优势，建议优先询盘",IF(Q1027="B","条件较均衡，可作为备选","起订量或价格需要进一步确认"))</f>
        <v/>
      </c>
      <c r="T1027" s="10" t="inlineStr">
        <is>
          <t>未联系</t>
        </is>
      </c>
      <c r="U1027" s="10" t="inlineStr">
        <is>
          <t>虚构演示数据</t>
        </is>
      </c>
    </row>
    <row r="1028" ht="21" customHeight="1">
      <c r="A1028" s="10" t="inlineStr">
        <is>
          <t>GYS-1024</t>
        </is>
      </c>
      <c r="B1028" s="10" t="inlineStr">
        <is>
          <t>宁波厨房用品供应链1024有限公司（演示）</t>
        </is>
      </c>
      <c r="C1028" s="10" t="inlineStr">
        <is>
          <t>厨房用品</t>
        </is>
      </c>
      <c r="D1028" s="10" t="inlineStr">
        <is>
          <t>硅胶保鲜盒</t>
        </is>
      </c>
      <c r="E1028" s="10" t="inlineStr">
        <is>
          <t>浙江宁波</t>
        </is>
      </c>
      <c r="F1028" s="10" t="inlineStr">
        <is>
          <t>1688</t>
        </is>
      </c>
      <c r="G1028" s="10" t="inlineStr">
        <is>
          <t>张经理</t>
        </is>
      </c>
      <c r="H1028" s="10" t="inlineStr">
        <is>
          <t>000-0000-1024</t>
        </is>
      </c>
      <c r="I1028" s="10" t="inlineStr">
        <is>
          <t>DEMO_GYS_1024</t>
        </is>
      </c>
      <c r="J1028" s="11" t="n">
        <v>41.6</v>
      </c>
      <c r="K1028" s="11" t="n">
        <v>56</v>
      </c>
      <c r="L1028" s="12" t="n">
        <v>100</v>
      </c>
      <c r="M1028" s="10" t="inlineStr">
        <is>
          <t>否</t>
        </is>
      </c>
      <c r="N1028" s="10" t="inlineStr">
        <is>
          <t>是</t>
        </is>
      </c>
      <c r="O1028" s="10" t="inlineStr">
        <is>
          <t>supplier1024@example.com</t>
        </is>
      </c>
      <c r="P1028" s="10" t="inlineStr">
        <is>
          <t>https://example.com/supplier/1024</t>
        </is>
      </c>
      <c r="Q1028" s="10">
        <f>IF(R1028&gt;=85,"A",IF(R1028&gt;=70,"B","C"))</f>
        <v/>
      </c>
      <c r="R1028" s="13">
        <f>MIN(100,50+IF(M1028="是",10,0)+IF(N1028="是",10,0)+IF(L1028&lt;=100,10,IF(L1028&lt;=300,5,0))+IF(J1028&lt;=20,10,IF(J1028&lt;=50,5,0))+IF(K1028-J1028&lt;=20,5,0)+IF(F1028="企业官网",5,0))</f>
        <v/>
      </c>
      <c r="S1028" s="10">
        <f>IF(Q1028="A","价格与起订量有优势，建议优先询盘",IF(Q1028="B","条件较均衡，可作为备选","起订量或价格需要进一步确认"))</f>
        <v/>
      </c>
      <c r="T1028" s="10" t="inlineStr">
        <is>
          <t>未联系</t>
        </is>
      </c>
      <c r="U1028" s="10" t="inlineStr">
        <is>
          <t>虚构演示数据</t>
        </is>
      </c>
    </row>
    <row r="1029" ht="21" customHeight="1">
      <c r="A1029" s="10" t="inlineStr">
        <is>
          <t>GYS-1025</t>
        </is>
      </c>
      <c r="B1029" s="10" t="inlineStr">
        <is>
          <t>深圳数码配件供应链1025有限公司（演示）</t>
        </is>
      </c>
      <c r="C1029" s="10" t="inlineStr">
        <is>
          <t>数码配件</t>
        </is>
      </c>
      <c r="D1029" s="10" t="inlineStr">
        <is>
          <t>磁吸手机支架</t>
        </is>
      </c>
      <c r="E1029" s="10" t="inlineStr">
        <is>
          <t>广东深圳</t>
        </is>
      </c>
      <c r="F1029" s="10" t="inlineStr">
        <is>
          <t>中国制造网</t>
        </is>
      </c>
      <c r="G1029" s="10" t="inlineStr">
        <is>
          <t>刘经理</t>
        </is>
      </c>
      <c r="H1029" s="10" t="inlineStr">
        <is>
          <t>000-0000-1025</t>
        </is>
      </c>
      <c r="I1029" s="10" t="inlineStr">
        <is>
          <t>DEMO_GYS_1025</t>
        </is>
      </c>
      <c r="J1029" s="11" t="n">
        <v>43.3</v>
      </c>
      <c r="K1029" s="11" t="n">
        <v>58.8</v>
      </c>
      <c r="L1029" s="12" t="n">
        <v>50</v>
      </c>
      <c r="M1029" s="10" t="inlineStr">
        <is>
          <t>是</t>
        </is>
      </c>
      <c r="N1029" s="10" t="inlineStr">
        <is>
          <t>是</t>
        </is>
      </c>
      <c r="O1029" s="10" t="inlineStr">
        <is>
          <t>supplier1025@example.com</t>
        </is>
      </c>
      <c r="P1029" s="10" t="inlineStr">
        <is>
          <t>https://example.com/supplier/1025</t>
        </is>
      </c>
      <c r="Q1029" s="10">
        <f>IF(R1029&gt;=85,"A",IF(R1029&gt;=70,"B","C"))</f>
        <v/>
      </c>
      <c r="R1029" s="13">
        <f>MIN(100,50+IF(M1029="是",10,0)+IF(N1029="是",10,0)+IF(L1029&lt;=100,10,IF(L1029&lt;=300,5,0))+IF(J1029&lt;=20,10,IF(J1029&lt;=50,5,0))+IF(K1029-J1029&lt;=20,5,0)+IF(F1029="企业官网",5,0))</f>
        <v/>
      </c>
      <c r="S1029" s="10">
        <f>IF(Q1029="A","价格与起订量有优势，建议优先询盘",IF(Q1029="B","条件较均衡，可作为备选","起订量或价格需要进一步确认"))</f>
        <v/>
      </c>
      <c r="T1029" s="10" t="inlineStr">
        <is>
          <t>未联系</t>
        </is>
      </c>
      <c r="U1029" s="10" t="inlineStr">
        <is>
          <t>虚构演示数据</t>
        </is>
      </c>
    </row>
    <row r="1030" ht="21" customHeight="1">
      <c r="A1030" s="10" t="inlineStr">
        <is>
          <t>GYS-1026</t>
        </is>
      </c>
      <c r="B1030" s="10" t="inlineStr">
        <is>
          <t>佛山宠物用品供应链1026有限公司（演示）</t>
        </is>
      </c>
      <c r="C1030" s="10" t="inlineStr">
        <is>
          <t>宠物用品</t>
        </is>
      </c>
      <c r="D1030" s="10" t="inlineStr">
        <is>
          <t>宠物清洁手套</t>
        </is>
      </c>
      <c r="E1030" s="10" t="inlineStr">
        <is>
          <t>广东佛山</t>
        </is>
      </c>
      <c r="F1030" s="10" t="inlineStr">
        <is>
          <t>企业官网</t>
        </is>
      </c>
      <c r="G1030" s="10" t="inlineStr">
        <is>
          <t>黄经理</t>
        </is>
      </c>
      <c r="H1030" s="10" t="inlineStr">
        <is>
          <t>000-0000-1026</t>
        </is>
      </c>
      <c r="I1030" s="10" t="inlineStr">
        <is>
          <t>DEMO_GYS_1026</t>
        </is>
      </c>
      <c r="J1030" s="11" t="n">
        <v>45</v>
      </c>
      <c r="K1030" s="11" t="n">
        <v>61.6</v>
      </c>
      <c r="L1030" s="12" t="n">
        <v>20</v>
      </c>
      <c r="M1030" s="10" t="inlineStr">
        <is>
          <t>是</t>
        </is>
      </c>
      <c r="N1030" s="10" t="inlineStr">
        <is>
          <t>否</t>
        </is>
      </c>
      <c r="O1030" s="10" t="inlineStr">
        <is>
          <t>supplier1026@example.com</t>
        </is>
      </c>
      <c r="P1030" s="10" t="inlineStr">
        <is>
          <t>https://example.com/supplier/1026</t>
        </is>
      </c>
      <c r="Q1030" s="10">
        <f>IF(R1030&gt;=85,"A",IF(R1030&gt;=70,"B","C"))</f>
        <v/>
      </c>
      <c r="R1030" s="13">
        <f>MIN(100,50+IF(M1030="是",10,0)+IF(N1030="是",10,0)+IF(L1030&lt;=100,10,IF(L1030&lt;=300,5,0))+IF(J1030&lt;=20,10,IF(J1030&lt;=50,5,0))+IF(K1030-J1030&lt;=20,5,0)+IF(F1030="企业官网",5,0))</f>
        <v/>
      </c>
      <c r="S1030" s="10">
        <f>IF(Q1030="A","价格与起订量有优势，建议优先询盘",IF(Q1030="B","条件较均衡，可作为备选","起订量或价格需要进一步确认"))</f>
        <v/>
      </c>
      <c r="T1030" s="10" t="inlineStr">
        <is>
          <t>未联系</t>
        </is>
      </c>
      <c r="U1030" s="10" t="inlineStr">
        <is>
          <t>虚构演示数据</t>
        </is>
      </c>
    </row>
    <row r="1031" ht="21" customHeight="1">
      <c r="A1031" s="10" t="inlineStr">
        <is>
          <t>GYS-1027</t>
        </is>
      </c>
      <c r="B1031" s="10" t="inlineStr">
        <is>
          <t>苏州母婴用品供应链1027有限公司（演示）</t>
        </is>
      </c>
      <c r="C1031" s="10" t="inlineStr">
        <is>
          <t>母婴用品</t>
        </is>
      </c>
      <c r="D1031" s="10" t="inlineStr">
        <is>
          <t>婴儿防撞条</t>
        </is>
      </c>
      <c r="E1031" s="10" t="inlineStr">
        <is>
          <t>江苏苏州</t>
        </is>
      </c>
      <c r="F1031" s="10" t="inlineStr">
        <is>
          <t>义乌购</t>
        </is>
      </c>
      <c r="G1031" s="10" t="inlineStr">
        <is>
          <t>赵经理</t>
        </is>
      </c>
      <c r="H1031" s="10" t="inlineStr">
        <is>
          <t>000-0000-1027</t>
        </is>
      </c>
      <c r="I1031" s="10" t="inlineStr">
        <is>
          <t>DEMO_GYS_1027</t>
        </is>
      </c>
      <c r="J1031" s="11" t="n">
        <v>46.7</v>
      </c>
      <c r="K1031" s="11" t="n">
        <v>64.40000000000001</v>
      </c>
      <c r="L1031" s="12" t="n">
        <v>500</v>
      </c>
      <c r="M1031" s="10" t="inlineStr">
        <is>
          <t>是</t>
        </is>
      </c>
      <c r="N1031" s="10" t="inlineStr">
        <is>
          <t>是</t>
        </is>
      </c>
      <c r="O1031" s="10" t="inlineStr">
        <is>
          <t>supplier1027@example.com</t>
        </is>
      </c>
      <c r="P1031" s="10" t="inlineStr">
        <is>
          <t>https://example.com/supplier/1027</t>
        </is>
      </c>
      <c r="Q1031" s="10">
        <f>IF(R1031&gt;=85,"A",IF(R1031&gt;=70,"B","C"))</f>
        <v/>
      </c>
      <c r="R1031" s="13">
        <f>MIN(100,50+IF(M1031="是",10,0)+IF(N1031="是",10,0)+IF(L1031&lt;=100,10,IF(L1031&lt;=300,5,0))+IF(J1031&lt;=20,10,IF(J1031&lt;=50,5,0))+IF(K1031-J1031&lt;=20,5,0)+IF(F1031="企业官网",5,0))</f>
        <v/>
      </c>
      <c r="S1031" s="10">
        <f>IF(Q1031="A","价格与起订量有优势，建议优先询盘",IF(Q1031="B","条件较均衡，可作为备选","起订量或价格需要进一步确认"))</f>
        <v/>
      </c>
      <c r="T1031" s="10" t="inlineStr">
        <is>
          <t>未联系</t>
        </is>
      </c>
      <c r="U1031" s="10" t="inlineStr">
        <is>
          <t>虚构演示数据</t>
        </is>
      </c>
    </row>
    <row r="1032" ht="21" customHeight="1">
      <c r="A1032" s="10" t="inlineStr">
        <is>
          <t>GYS-1028</t>
        </is>
      </c>
      <c r="B1032" s="10" t="inlineStr">
        <is>
          <t>白沟运动户外供应链1028有限公司（演示）</t>
        </is>
      </c>
      <c r="C1032" s="10" t="inlineStr">
        <is>
          <t>运动户外</t>
        </is>
      </c>
      <c r="D1032" s="10" t="inlineStr">
        <is>
          <t>弹力训练带</t>
        </is>
      </c>
      <c r="E1032" s="10" t="inlineStr">
        <is>
          <t>河北白沟</t>
        </is>
      </c>
      <c r="F1032" s="10" t="inlineStr">
        <is>
          <t>慧聪网</t>
        </is>
      </c>
      <c r="G1032" s="10" t="inlineStr">
        <is>
          <t>周经理</t>
        </is>
      </c>
      <c r="H1032" s="10" t="inlineStr">
        <is>
          <t>000-0000-1028</t>
        </is>
      </c>
      <c r="I1032" s="10" t="inlineStr">
        <is>
          <t>DEMO_GYS_1028</t>
        </is>
      </c>
      <c r="J1032" s="11" t="n">
        <v>48.4</v>
      </c>
      <c r="K1032" s="11" t="n">
        <v>67.2</v>
      </c>
      <c r="L1032" s="12" t="n">
        <v>300</v>
      </c>
      <c r="M1032" s="10" t="inlineStr">
        <is>
          <t>否</t>
        </is>
      </c>
      <c r="N1032" s="10" t="inlineStr">
        <is>
          <t>是</t>
        </is>
      </c>
      <c r="O1032" s="10" t="inlineStr">
        <is>
          <t>supplier1028@example.com</t>
        </is>
      </c>
      <c r="P1032" s="10" t="inlineStr">
        <is>
          <t>https://example.com/supplier/1028</t>
        </is>
      </c>
      <c r="Q1032" s="10">
        <f>IF(R1032&gt;=85,"A",IF(R1032&gt;=70,"B","C"))</f>
        <v/>
      </c>
      <c r="R1032" s="13">
        <f>MIN(100,50+IF(M1032="是",10,0)+IF(N1032="是",10,0)+IF(L1032&lt;=100,10,IF(L1032&lt;=300,5,0))+IF(J1032&lt;=20,10,IF(J1032&lt;=50,5,0))+IF(K1032-J1032&lt;=20,5,0)+IF(F1032="企业官网",5,0))</f>
        <v/>
      </c>
      <c r="S1032" s="10">
        <f>IF(Q1032="A","价格与起订量有优势，建议优先询盘",IF(Q1032="B","条件较均衡，可作为备选","起订量或价格需要进一步确认"))</f>
        <v/>
      </c>
      <c r="T1032" s="10" t="inlineStr">
        <is>
          <t>未联系</t>
        </is>
      </c>
      <c r="U1032" s="10" t="inlineStr">
        <is>
          <t>虚构演示数据</t>
        </is>
      </c>
    </row>
    <row r="1033" ht="21" customHeight="1">
      <c r="A1033" s="10" t="inlineStr">
        <is>
          <t>GYS-1029</t>
        </is>
      </c>
      <c r="B1033" s="10" t="inlineStr">
        <is>
          <t>义乌办公文具供应链1029有限公司（演示）</t>
        </is>
      </c>
      <c r="C1033" s="10" t="inlineStr">
        <is>
          <t>办公文具</t>
        </is>
      </c>
      <c r="D1033" s="10" t="inlineStr">
        <is>
          <t>桌面收纳架</t>
        </is>
      </c>
      <c r="E1033" s="10" t="inlineStr">
        <is>
          <t>浙江义乌</t>
        </is>
      </c>
      <c r="F1033" s="10" t="inlineStr">
        <is>
          <t>1688</t>
        </is>
      </c>
      <c r="G1033" s="10" t="inlineStr">
        <is>
          <t>吴经理</t>
        </is>
      </c>
      <c r="H1033" s="10" t="inlineStr">
        <is>
          <t>000-0000-1029</t>
        </is>
      </c>
      <c r="I1033" s="10" t="inlineStr">
        <is>
          <t>DEMO_GYS_1029</t>
        </is>
      </c>
      <c r="J1033" s="11" t="n">
        <v>4.1</v>
      </c>
      <c r="K1033" s="11" t="n">
        <v>24</v>
      </c>
      <c r="L1033" s="12" t="n">
        <v>200</v>
      </c>
      <c r="M1033" s="10" t="inlineStr">
        <is>
          <t>是</t>
        </is>
      </c>
      <c r="N1033" s="10" t="inlineStr">
        <is>
          <t>否</t>
        </is>
      </c>
      <c r="O1033" s="10" t="inlineStr">
        <is>
          <t>supplier1029@example.com</t>
        </is>
      </c>
      <c r="P1033" s="10" t="inlineStr">
        <is>
          <t>https://example.com/supplier/1029</t>
        </is>
      </c>
      <c r="Q1033" s="10">
        <f>IF(R1033&gt;=85,"A",IF(R1033&gt;=70,"B","C"))</f>
        <v/>
      </c>
      <c r="R1033" s="13">
        <f>MIN(100,50+IF(M1033="是",10,0)+IF(N1033="是",10,0)+IF(L1033&lt;=100,10,IF(L1033&lt;=300,5,0))+IF(J1033&lt;=20,10,IF(J1033&lt;=50,5,0))+IF(K1033-J1033&lt;=20,5,0)+IF(F1033="企业官网",5,0))</f>
        <v/>
      </c>
      <c r="S1033" s="10">
        <f>IF(Q1033="A","价格与起订量有优势，建议优先询盘",IF(Q1033="B","条件较均衡，可作为备选","起订量或价格需要进一步确认"))</f>
        <v/>
      </c>
      <c r="T1033" s="10" t="inlineStr">
        <is>
          <t>未联系</t>
        </is>
      </c>
      <c r="U1033" s="10" t="inlineStr">
        <is>
          <t>虚构演示数据</t>
        </is>
      </c>
    </row>
    <row r="1034" ht="21" customHeight="1">
      <c r="A1034" s="10" t="inlineStr">
        <is>
          <t>GYS-1030</t>
        </is>
      </c>
      <c r="B1034" s="10" t="inlineStr">
        <is>
          <t>台州汽车用品供应链1030有限公司（演示）</t>
        </is>
      </c>
      <c r="C1034" s="10" t="inlineStr">
        <is>
          <t>汽车用品</t>
        </is>
      </c>
      <c r="D1034" s="10" t="inlineStr">
        <is>
          <t>车载香薰</t>
        </is>
      </c>
      <c r="E1034" s="10" t="inlineStr">
        <is>
          <t>浙江台州</t>
        </is>
      </c>
      <c r="F1034" s="10" t="inlineStr">
        <is>
          <t>中国制造网</t>
        </is>
      </c>
      <c r="G1034" s="10" t="inlineStr">
        <is>
          <t>陈经理</t>
        </is>
      </c>
      <c r="H1034" s="10" t="inlineStr">
        <is>
          <t>000-0000-1030</t>
        </is>
      </c>
      <c r="I1034" s="10" t="inlineStr">
        <is>
          <t>DEMO_GYS_1030</t>
        </is>
      </c>
      <c r="J1034" s="11" t="n">
        <v>5.8</v>
      </c>
      <c r="K1034" s="11" t="n">
        <v>26.8</v>
      </c>
      <c r="L1034" s="12" t="n">
        <v>100</v>
      </c>
      <c r="M1034" s="10" t="inlineStr">
        <is>
          <t>是</t>
        </is>
      </c>
      <c r="N1034" s="10" t="inlineStr">
        <is>
          <t>是</t>
        </is>
      </c>
      <c r="O1034" s="10" t="inlineStr">
        <is>
          <t>supplier1030@example.com</t>
        </is>
      </c>
      <c r="P1034" s="10" t="inlineStr">
        <is>
          <t>https://example.com/supplier/1030</t>
        </is>
      </c>
      <c r="Q1034" s="10">
        <f>IF(R1034&gt;=85,"A",IF(R1034&gt;=70,"B","C"))</f>
        <v/>
      </c>
      <c r="R1034" s="13">
        <f>MIN(100,50+IF(M1034="是",10,0)+IF(N1034="是",10,0)+IF(L1034&lt;=100,10,IF(L1034&lt;=300,5,0))+IF(J1034&lt;=20,10,IF(J1034&lt;=50,5,0))+IF(K1034-J1034&lt;=20,5,0)+IF(F1034="企业官网",5,0))</f>
        <v/>
      </c>
      <c r="S1034" s="10">
        <f>IF(Q1034="A","价格与起订量有优势，建议优先询盘",IF(Q1034="B","条件较均衡，可作为备选","起订量或价格需要进一步确认"))</f>
        <v/>
      </c>
      <c r="T1034" s="10" t="inlineStr">
        <is>
          <t>未联系</t>
        </is>
      </c>
      <c r="U1034" s="10" t="inlineStr">
        <is>
          <t>虚构演示数据</t>
        </is>
      </c>
    </row>
    <row r="1035" ht="21" customHeight="1">
      <c r="A1035" s="10" t="inlineStr">
        <is>
          <t>GYS-1031</t>
        </is>
      </c>
      <c r="B1035" s="10" t="inlineStr">
        <is>
          <t>东莞美容工具供应链1031有限公司（演示）</t>
        </is>
      </c>
      <c r="C1035" s="10" t="inlineStr">
        <is>
          <t>美容工具</t>
        </is>
      </c>
      <c r="D1035" s="10" t="inlineStr">
        <is>
          <t>便携化妆镜</t>
        </is>
      </c>
      <c r="E1035" s="10" t="inlineStr">
        <is>
          <t>广东东莞</t>
        </is>
      </c>
      <c r="F1035" s="10" t="inlineStr">
        <is>
          <t>企业官网</t>
        </is>
      </c>
      <c r="G1035" s="10" t="inlineStr">
        <is>
          <t>林经理</t>
        </is>
      </c>
      <c r="H1035" s="10" t="inlineStr">
        <is>
          <t>000-0000-1031</t>
        </is>
      </c>
      <c r="I1035" s="10" t="inlineStr">
        <is>
          <t>DEMO_GYS_1031</t>
        </is>
      </c>
      <c r="J1035" s="11" t="n">
        <v>7.5</v>
      </c>
      <c r="K1035" s="11" t="n">
        <v>11.6</v>
      </c>
      <c r="L1035" s="12" t="n">
        <v>50</v>
      </c>
      <c r="M1035" s="10" t="inlineStr">
        <is>
          <t>是</t>
        </is>
      </c>
      <c r="N1035" s="10" t="inlineStr">
        <is>
          <t>是</t>
        </is>
      </c>
      <c r="O1035" s="10" t="inlineStr">
        <is>
          <t>supplier1031@example.com</t>
        </is>
      </c>
      <c r="P1035" s="10" t="inlineStr">
        <is>
          <t>https://example.com/supplier/1031</t>
        </is>
      </c>
      <c r="Q1035" s="10">
        <f>IF(R1035&gt;=85,"A",IF(R1035&gt;=70,"B","C"))</f>
        <v/>
      </c>
      <c r="R1035" s="13">
        <f>MIN(100,50+IF(M1035="是",10,0)+IF(N1035="是",10,0)+IF(L1035&lt;=100,10,IF(L1035&lt;=300,5,0))+IF(J1035&lt;=20,10,IF(J1035&lt;=50,5,0))+IF(K1035-J1035&lt;=20,5,0)+IF(F1035="企业官网",5,0))</f>
        <v/>
      </c>
      <c r="S1035" s="10">
        <f>IF(Q1035="A","价格与起订量有优势，建议优先询盘",IF(Q1035="B","条件较均衡，可作为备选","起订量或价格需要进一步确认"))</f>
        <v/>
      </c>
      <c r="T1035" s="10" t="inlineStr">
        <is>
          <t>未联系</t>
        </is>
      </c>
      <c r="U1035" s="10" t="inlineStr">
        <is>
          <t>虚构演示数据</t>
        </is>
      </c>
    </row>
    <row r="1036" ht="21" customHeight="1">
      <c r="A1036" s="10" t="inlineStr">
        <is>
          <t>GYS-1032</t>
        </is>
      </c>
      <c r="B1036" s="10" t="inlineStr">
        <is>
          <t>厦门旅行用品供应链1032有限公司（演示）</t>
        </is>
      </c>
      <c r="C1036" s="10" t="inlineStr">
        <is>
          <t>旅行用品</t>
        </is>
      </c>
      <c r="D1036" s="10" t="inlineStr">
        <is>
          <t>压缩收纳袋</t>
        </is>
      </c>
      <c r="E1036" s="10" t="inlineStr">
        <is>
          <t>福建厦门</t>
        </is>
      </c>
      <c r="F1036" s="10" t="inlineStr">
        <is>
          <t>义乌购</t>
        </is>
      </c>
      <c r="G1036" s="10" t="inlineStr">
        <is>
          <t>王经理</t>
        </is>
      </c>
      <c r="H1036" s="10" t="inlineStr">
        <is>
          <t>000-0000-1032</t>
        </is>
      </c>
      <c r="I1036" s="10" t="inlineStr">
        <is>
          <t>DEMO_GYS_1032</t>
        </is>
      </c>
      <c r="J1036" s="11" t="n">
        <v>9.199999999999999</v>
      </c>
      <c r="K1036" s="11" t="n">
        <v>14.4</v>
      </c>
      <c r="L1036" s="12" t="n">
        <v>20</v>
      </c>
      <c r="M1036" s="10" t="inlineStr">
        <is>
          <t>否</t>
        </is>
      </c>
      <c r="N1036" s="10" t="inlineStr">
        <is>
          <t>否</t>
        </is>
      </c>
      <c r="O1036" s="10" t="inlineStr">
        <is>
          <t>supplier1032@example.com</t>
        </is>
      </c>
      <c r="P1036" s="10" t="inlineStr">
        <is>
          <t>https://example.com/supplier/1032</t>
        </is>
      </c>
      <c r="Q1036" s="10">
        <f>IF(R1036&gt;=85,"A",IF(R1036&gt;=70,"B","C"))</f>
        <v/>
      </c>
      <c r="R1036" s="13">
        <f>MIN(100,50+IF(M1036="是",10,0)+IF(N1036="是",10,0)+IF(L1036&lt;=100,10,IF(L1036&lt;=300,5,0))+IF(J1036&lt;=20,10,IF(J1036&lt;=50,5,0))+IF(K1036-J1036&lt;=20,5,0)+IF(F1036="企业官网",5,0))</f>
        <v/>
      </c>
      <c r="S1036" s="10">
        <f>IF(Q1036="A","价格与起订量有优势，建议优先询盘",IF(Q1036="B","条件较均衡，可作为备选","起订量或价格需要进一步确认"))</f>
        <v/>
      </c>
      <c r="T1036" s="10" t="inlineStr">
        <is>
          <t>未联系</t>
        </is>
      </c>
      <c r="U1036" s="10" t="inlineStr">
        <is>
          <t>虚构演示数据</t>
        </is>
      </c>
    </row>
    <row r="1037" ht="21" customHeight="1">
      <c r="A1037" s="10" t="inlineStr">
        <is>
          <t>GYS-1033</t>
        </is>
      </c>
      <c r="B1037" s="10" t="inlineStr">
        <is>
          <t>临沂清洁工具供应链1033有限公司（演示）</t>
        </is>
      </c>
      <c r="C1037" s="10" t="inlineStr">
        <is>
          <t>清洁工具</t>
        </is>
      </c>
      <c r="D1037" s="10" t="inlineStr">
        <is>
          <t>免手洗拖把</t>
        </is>
      </c>
      <c r="E1037" s="10" t="inlineStr">
        <is>
          <t>山东临沂</t>
        </is>
      </c>
      <c r="F1037" s="10" t="inlineStr">
        <is>
          <t>慧聪网</t>
        </is>
      </c>
      <c r="G1037" s="10" t="inlineStr">
        <is>
          <t>李经理</t>
        </is>
      </c>
      <c r="H1037" s="10" t="inlineStr">
        <is>
          <t>000-0000-1033</t>
        </is>
      </c>
      <c r="I1037" s="10" t="inlineStr">
        <is>
          <t>DEMO_GYS_1033</t>
        </is>
      </c>
      <c r="J1037" s="11" t="n">
        <v>10.9</v>
      </c>
      <c r="K1037" s="11" t="n">
        <v>17.2</v>
      </c>
      <c r="L1037" s="12" t="n">
        <v>500</v>
      </c>
      <c r="M1037" s="10" t="inlineStr">
        <is>
          <t>是</t>
        </is>
      </c>
      <c r="N1037" s="10" t="inlineStr">
        <is>
          <t>是</t>
        </is>
      </c>
      <c r="O1037" s="10" t="inlineStr">
        <is>
          <t>supplier1033@example.com</t>
        </is>
      </c>
      <c r="P1037" s="10" t="inlineStr">
        <is>
          <t>https://example.com/supplier/1033</t>
        </is>
      </c>
      <c r="Q1037" s="10">
        <f>IF(R1037&gt;=85,"A",IF(R1037&gt;=70,"B","C"))</f>
        <v/>
      </c>
      <c r="R1037" s="13">
        <f>MIN(100,50+IF(M1037="是",10,0)+IF(N1037="是",10,0)+IF(L1037&lt;=100,10,IF(L1037&lt;=300,5,0))+IF(J1037&lt;=20,10,IF(J1037&lt;=50,5,0))+IF(K1037-J1037&lt;=20,5,0)+IF(F1037="企业官网",5,0))</f>
        <v/>
      </c>
      <c r="S1037" s="10">
        <f>IF(Q1037="A","价格与起订量有优势，建议优先询盘",IF(Q1037="B","条件较均衡，可作为备选","起订量或价格需要进一步确认"))</f>
        <v/>
      </c>
      <c r="T1037" s="10" t="inlineStr">
        <is>
          <t>未联系</t>
        </is>
      </c>
      <c r="U1037" s="10" t="inlineStr">
        <is>
          <t>虚构演示数据</t>
        </is>
      </c>
    </row>
    <row r="1038" ht="21" customHeight="1">
      <c r="A1038" s="10" t="inlineStr">
        <is>
          <t>GYS-1034</t>
        </is>
      </c>
      <c r="B1038" s="10" t="inlineStr">
        <is>
          <t>南昌小家电供应链1034有限公司（演示）</t>
        </is>
      </c>
      <c r="C1038" s="10" t="inlineStr">
        <is>
          <t>小家电</t>
        </is>
      </c>
      <c r="D1038" s="10" t="inlineStr">
        <is>
          <t>迷你加湿器</t>
        </is>
      </c>
      <c r="E1038" s="10" t="inlineStr">
        <is>
          <t>江西南昌</t>
        </is>
      </c>
      <c r="F1038" s="10" t="inlineStr">
        <is>
          <t>1688</t>
        </is>
      </c>
      <c r="G1038" s="10" t="inlineStr">
        <is>
          <t>张经理</t>
        </is>
      </c>
      <c r="H1038" s="10" t="inlineStr">
        <is>
          <t>000-0000-1034</t>
        </is>
      </c>
      <c r="I1038" s="10" t="inlineStr">
        <is>
          <t>DEMO_GYS_1034</t>
        </is>
      </c>
      <c r="J1038" s="11" t="n">
        <v>12.6</v>
      </c>
      <c r="K1038" s="11" t="n">
        <v>20</v>
      </c>
      <c r="L1038" s="12" t="n">
        <v>300</v>
      </c>
      <c r="M1038" s="10" t="inlineStr">
        <is>
          <t>是</t>
        </is>
      </c>
      <c r="N1038" s="10" t="inlineStr">
        <is>
          <t>是</t>
        </is>
      </c>
      <c r="O1038" s="10" t="inlineStr">
        <is>
          <t>supplier1034@example.com</t>
        </is>
      </c>
      <c r="P1038" s="10" t="inlineStr">
        <is>
          <t>https://example.com/supplier/1034</t>
        </is>
      </c>
      <c r="Q1038" s="10">
        <f>IF(R1038&gt;=85,"A",IF(R1038&gt;=70,"B","C"))</f>
        <v/>
      </c>
      <c r="R1038" s="13">
        <f>MIN(100,50+IF(M1038="是",10,0)+IF(N1038="是",10,0)+IF(L1038&lt;=100,10,IF(L1038&lt;=300,5,0))+IF(J1038&lt;=20,10,IF(J1038&lt;=50,5,0))+IF(K1038-J1038&lt;=20,5,0)+IF(F1038="企业官网",5,0))</f>
        <v/>
      </c>
      <c r="S1038" s="10">
        <f>IF(Q1038="A","价格与起订量有优势，建议优先询盘",IF(Q1038="B","条件较均衡，可作为备选","起订量或价格需要进一步确认"))</f>
        <v/>
      </c>
      <c r="T1038" s="10" t="inlineStr">
        <is>
          <t>未联系</t>
        </is>
      </c>
      <c r="U1038" s="10" t="inlineStr">
        <is>
          <t>虚构演示数据</t>
        </is>
      </c>
    </row>
    <row r="1039" ht="21" customHeight="1">
      <c r="A1039" s="10" t="inlineStr">
        <is>
          <t>GYS-1035</t>
        </is>
      </c>
      <c r="B1039" s="10" t="inlineStr">
        <is>
          <t>温州礼品包装供应链1035有限公司（演示）</t>
        </is>
      </c>
      <c r="C1039" s="10" t="inlineStr">
        <is>
          <t>礼品包装</t>
        </is>
      </c>
      <c r="D1039" s="10" t="inlineStr">
        <is>
          <t>节日礼盒</t>
        </is>
      </c>
      <c r="E1039" s="10" t="inlineStr">
        <is>
          <t>浙江温州</t>
        </is>
      </c>
      <c r="F1039" s="10" t="inlineStr">
        <is>
          <t>中国制造网</t>
        </is>
      </c>
      <c r="G1039" s="10" t="inlineStr">
        <is>
          <t>刘经理</t>
        </is>
      </c>
      <c r="H1039" s="10" t="inlineStr">
        <is>
          <t>000-0000-1035</t>
        </is>
      </c>
      <c r="I1039" s="10" t="inlineStr">
        <is>
          <t>DEMO_GYS_1035</t>
        </is>
      </c>
      <c r="J1039" s="11" t="n">
        <v>14.3</v>
      </c>
      <c r="K1039" s="11" t="n">
        <v>22.8</v>
      </c>
      <c r="L1039" s="12" t="n">
        <v>200</v>
      </c>
      <c r="M1039" s="10" t="inlineStr">
        <is>
          <t>是</t>
        </is>
      </c>
      <c r="N1039" s="10" t="inlineStr">
        <is>
          <t>否</t>
        </is>
      </c>
      <c r="O1039" s="10" t="inlineStr">
        <is>
          <t>supplier1035@example.com</t>
        </is>
      </c>
      <c r="P1039" s="10" t="inlineStr">
        <is>
          <t>https://example.com/supplier/1035</t>
        </is>
      </c>
      <c r="Q1039" s="10">
        <f>IF(R1039&gt;=85,"A",IF(R1039&gt;=70,"B","C"))</f>
        <v/>
      </c>
      <c r="R1039" s="13">
        <f>MIN(100,50+IF(M1039="是",10,0)+IF(N1039="是",10,0)+IF(L1039&lt;=100,10,IF(L1039&lt;=300,5,0))+IF(J1039&lt;=20,10,IF(J1039&lt;=50,5,0))+IF(K1039-J1039&lt;=20,5,0)+IF(F1039="企业官网",5,0))</f>
        <v/>
      </c>
      <c r="S1039" s="10">
        <f>IF(Q1039="A","价格与起订量有优势，建议优先询盘",IF(Q1039="B","条件较均衡，可作为备选","起订量或价格需要进一步确认"))</f>
        <v/>
      </c>
      <c r="T1039" s="10" t="inlineStr">
        <is>
          <t>未联系</t>
        </is>
      </c>
      <c r="U1039" s="10" t="inlineStr">
        <is>
          <t>虚构演示数据</t>
        </is>
      </c>
    </row>
    <row r="1040" ht="21" customHeight="1">
      <c r="A1040" s="10" t="inlineStr">
        <is>
          <t>GYS-1036</t>
        </is>
      </c>
      <c r="B1040" s="10" t="inlineStr">
        <is>
          <t>广州五金工具供应链1036有限公司（演示）</t>
        </is>
      </c>
      <c r="C1040" s="10" t="inlineStr">
        <is>
          <t>五金工具</t>
        </is>
      </c>
      <c r="D1040" s="10" t="inlineStr">
        <is>
          <t>多功能螺丝刀</t>
        </is>
      </c>
      <c r="E1040" s="10" t="inlineStr">
        <is>
          <t>广东广州</t>
        </is>
      </c>
      <c r="F1040" s="10" t="inlineStr">
        <is>
          <t>企业官网</t>
        </is>
      </c>
      <c r="G1040" s="10" t="inlineStr">
        <is>
          <t>黄经理</t>
        </is>
      </c>
      <c r="H1040" s="10" t="inlineStr">
        <is>
          <t>000-0000-1036</t>
        </is>
      </c>
      <c r="I1040" s="10" t="inlineStr">
        <is>
          <t>DEMO_GYS_1036</t>
        </is>
      </c>
      <c r="J1040" s="11" t="n">
        <v>16</v>
      </c>
      <c r="K1040" s="11" t="n">
        <v>25.6</v>
      </c>
      <c r="L1040" s="12" t="n">
        <v>100</v>
      </c>
      <c r="M1040" s="10" t="inlineStr">
        <is>
          <t>否</t>
        </is>
      </c>
      <c r="N1040" s="10" t="inlineStr">
        <is>
          <t>是</t>
        </is>
      </c>
      <c r="O1040" s="10" t="inlineStr">
        <is>
          <t>supplier1036@example.com</t>
        </is>
      </c>
      <c r="P1040" s="10" t="inlineStr">
        <is>
          <t>https://example.com/supplier/1036</t>
        </is>
      </c>
      <c r="Q1040" s="10">
        <f>IF(R1040&gt;=85,"A",IF(R1040&gt;=70,"B","C"))</f>
        <v/>
      </c>
      <c r="R1040" s="13">
        <f>MIN(100,50+IF(M1040="是",10,0)+IF(N1040="是",10,0)+IF(L1040&lt;=100,10,IF(L1040&lt;=300,5,0))+IF(J1040&lt;=20,10,IF(J1040&lt;=50,5,0))+IF(K1040-J1040&lt;=20,5,0)+IF(F1040="企业官网",5,0))</f>
        <v/>
      </c>
      <c r="S1040" s="10">
        <f>IF(Q1040="A","价格与起订量有优势，建议优先询盘",IF(Q1040="B","条件较均衡，可作为备选","起订量或价格需要进一步确认"))</f>
        <v/>
      </c>
      <c r="T1040" s="10" t="inlineStr">
        <is>
          <t>未联系</t>
        </is>
      </c>
      <c r="U1040" s="10" t="inlineStr">
        <is>
          <t>虚构演示数据</t>
        </is>
      </c>
    </row>
    <row r="1041" ht="21" customHeight="1">
      <c r="A1041" s="10" t="inlineStr">
        <is>
          <t>GYS-1037</t>
        </is>
      </c>
      <c r="B1041" s="10" t="inlineStr">
        <is>
          <t>泉州鞋靴配件供应链1037有限公司（演示）</t>
        </is>
      </c>
      <c r="C1041" s="10" t="inlineStr">
        <is>
          <t>鞋靴配件</t>
        </is>
      </c>
      <c r="D1041" s="10" t="inlineStr">
        <is>
          <t>防磨脚贴</t>
        </is>
      </c>
      <c r="E1041" s="10" t="inlineStr">
        <is>
          <t>福建泉州</t>
        </is>
      </c>
      <c r="F1041" s="10" t="inlineStr">
        <is>
          <t>义乌购</t>
        </is>
      </c>
      <c r="G1041" s="10" t="inlineStr">
        <is>
          <t>赵经理</t>
        </is>
      </c>
      <c r="H1041" s="10" t="inlineStr">
        <is>
          <t>000-0000-1037</t>
        </is>
      </c>
      <c r="I1041" s="10" t="inlineStr">
        <is>
          <t>DEMO_GYS_1037</t>
        </is>
      </c>
      <c r="J1041" s="11" t="n">
        <v>17.7</v>
      </c>
      <c r="K1041" s="11" t="n">
        <v>28.4</v>
      </c>
      <c r="L1041" s="12" t="n">
        <v>50</v>
      </c>
      <c r="M1041" s="10" t="inlineStr">
        <is>
          <t>是</t>
        </is>
      </c>
      <c r="N1041" s="10" t="inlineStr">
        <is>
          <t>是</t>
        </is>
      </c>
      <c r="O1041" s="10" t="inlineStr">
        <is>
          <t>supplier1037@example.com</t>
        </is>
      </c>
      <c r="P1041" s="10" t="inlineStr">
        <is>
          <t>https://example.com/supplier/1037</t>
        </is>
      </c>
      <c r="Q1041" s="10">
        <f>IF(R1041&gt;=85,"A",IF(R1041&gt;=70,"B","C"))</f>
        <v/>
      </c>
      <c r="R1041" s="13">
        <f>MIN(100,50+IF(M1041="是",10,0)+IF(N1041="是",10,0)+IF(L1041&lt;=100,10,IF(L1041&lt;=300,5,0))+IF(J1041&lt;=20,10,IF(J1041&lt;=50,5,0))+IF(K1041-J1041&lt;=20,5,0)+IF(F1041="企业官网",5,0))</f>
        <v/>
      </c>
      <c r="S1041" s="10">
        <f>IF(Q1041="A","价格与起订量有优势，建议优先询盘",IF(Q1041="B","条件较均衡，可作为备选","起订量或价格需要进一步确认"))</f>
        <v/>
      </c>
      <c r="T1041" s="10" t="inlineStr">
        <is>
          <t>未联系</t>
        </is>
      </c>
      <c r="U1041" s="10" t="inlineStr">
        <is>
          <t>虚构演示数据</t>
        </is>
      </c>
    </row>
    <row r="1042" ht="21" customHeight="1">
      <c r="A1042" s="10" t="inlineStr">
        <is>
          <t>GYS-1038</t>
        </is>
      </c>
      <c r="B1042" s="10" t="inlineStr">
        <is>
          <t>南通食品包装供应链1038有限公司（演示）</t>
        </is>
      </c>
      <c r="C1042" s="10" t="inlineStr">
        <is>
          <t>食品包装</t>
        </is>
      </c>
      <c r="D1042" s="10" t="inlineStr">
        <is>
          <t>密封包装袋</t>
        </is>
      </c>
      <c r="E1042" s="10" t="inlineStr">
        <is>
          <t>江苏南通</t>
        </is>
      </c>
      <c r="F1042" s="10" t="inlineStr">
        <is>
          <t>慧聪网</t>
        </is>
      </c>
      <c r="G1042" s="10" t="inlineStr">
        <is>
          <t>周经理</t>
        </is>
      </c>
      <c r="H1042" s="10" t="inlineStr">
        <is>
          <t>000-0000-1038</t>
        </is>
      </c>
      <c r="I1042" s="10" t="inlineStr">
        <is>
          <t>DEMO_GYS_1038</t>
        </is>
      </c>
      <c r="J1042" s="11" t="n">
        <v>19.4</v>
      </c>
      <c r="K1042" s="11" t="n">
        <v>31.2</v>
      </c>
      <c r="L1042" s="12" t="n">
        <v>20</v>
      </c>
      <c r="M1042" s="10" t="inlineStr">
        <is>
          <t>是</t>
        </is>
      </c>
      <c r="N1042" s="10" t="inlineStr">
        <is>
          <t>否</t>
        </is>
      </c>
      <c r="O1042" s="10" t="inlineStr">
        <is>
          <t>supplier1038@example.com</t>
        </is>
      </c>
      <c r="P1042" s="10" t="inlineStr">
        <is>
          <t>https://example.com/supplier/1038</t>
        </is>
      </c>
      <c r="Q1042" s="10">
        <f>IF(R1042&gt;=85,"A",IF(R1042&gt;=70,"B","C"))</f>
        <v/>
      </c>
      <c r="R1042" s="13">
        <f>MIN(100,50+IF(M1042="是",10,0)+IF(N1042="是",10,0)+IF(L1042&lt;=100,10,IF(L1042&lt;=300,5,0))+IF(J1042&lt;=20,10,IF(J1042&lt;=50,5,0))+IF(K1042-J1042&lt;=20,5,0)+IF(F1042="企业官网",5,0))</f>
        <v/>
      </c>
      <c r="S1042" s="10">
        <f>IF(Q1042="A","价格与起订量有优势，建议优先询盘",IF(Q1042="B","条件较均衡，可作为备选","起订量或价格需要进一步确认"))</f>
        <v/>
      </c>
      <c r="T1042" s="10" t="inlineStr">
        <is>
          <t>未联系</t>
        </is>
      </c>
      <c r="U1042" s="10" t="inlineStr">
        <is>
          <t>虚构演示数据</t>
        </is>
      </c>
    </row>
    <row r="1043" ht="21" customHeight="1">
      <c r="A1043" s="10" t="inlineStr">
        <is>
          <t>GYS-1039</t>
        </is>
      </c>
      <c r="B1043" s="10" t="inlineStr">
        <is>
          <t>郑州户外照明供应链1039有限公司（演示）</t>
        </is>
      </c>
      <c r="C1043" s="10" t="inlineStr">
        <is>
          <t>户外照明</t>
        </is>
      </c>
      <c r="D1043" s="10" t="inlineStr">
        <is>
          <t>便携露营灯</t>
        </is>
      </c>
      <c r="E1043" s="10" t="inlineStr">
        <is>
          <t>河南郑州</t>
        </is>
      </c>
      <c r="F1043" s="10" t="inlineStr">
        <is>
          <t>1688</t>
        </is>
      </c>
      <c r="G1043" s="10" t="inlineStr">
        <is>
          <t>吴经理</t>
        </is>
      </c>
      <c r="H1043" s="10" t="inlineStr">
        <is>
          <t>000-0000-1039</t>
        </is>
      </c>
      <c r="I1043" s="10" t="inlineStr">
        <is>
          <t>DEMO_GYS_1039</t>
        </is>
      </c>
      <c r="J1043" s="11" t="n">
        <v>21.1</v>
      </c>
      <c r="K1043" s="11" t="n">
        <v>34</v>
      </c>
      <c r="L1043" s="12" t="n">
        <v>500</v>
      </c>
      <c r="M1043" s="10" t="inlineStr">
        <is>
          <t>是</t>
        </is>
      </c>
      <c r="N1043" s="10" t="inlineStr">
        <is>
          <t>是</t>
        </is>
      </c>
      <c r="O1043" s="10" t="inlineStr">
        <is>
          <t>supplier1039@example.com</t>
        </is>
      </c>
      <c r="P1043" s="10" t="inlineStr">
        <is>
          <t>https://example.com/supplier/1039</t>
        </is>
      </c>
      <c r="Q1043" s="10">
        <f>IF(R1043&gt;=85,"A",IF(R1043&gt;=70,"B","C"))</f>
        <v/>
      </c>
      <c r="R1043" s="13">
        <f>MIN(100,50+IF(M1043="是",10,0)+IF(N1043="是",10,0)+IF(L1043&lt;=100,10,IF(L1043&lt;=300,5,0))+IF(J1043&lt;=20,10,IF(J1043&lt;=50,5,0))+IF(K1043-J1043&lt;=20,5,0)+IF(F1043="企业官网",5,0))</f>
        <v/>
      </c>
      <c r="S1043" s="10">
        <f>IF(Q1043="A","价格与起订量有优势，建议优先询盘",IF(Q1043="B","条件较均衡，可作为备选","起订量或价格需要进一步确认"))</f>
        <v/>
      </c>
      <c r="T1043" s="10" t="inlineStr">
        <is>
          <t>未联系</t>
        </is>
      </c>
      <c r="U1043" s="10" t="inlineStr">
        <is>
          <t>虚构演示数据</t>
        </is>
      </c>
    </row>
    <row r="1044" ht="21" customHeight="1">
      <c r="A1044" s="10" t="inlineStr">
        <is>
          <t>GYS-1040</t>
        </is>
      </c>
      <c r="B1044" s="10" t="inlineStr">
        <is>
          <t>宁波健康用品供应链1040有限公司（演示）</t>
        </is>
      </c>
      <c r="C1044" s="10" t="inlineStr">
        <is>
          <t>健康用品</t>
        </is>
      </c>
      <c r="D1044" s="10" t="inlineStr">
        <is>
          <t>热敷眼罩</t>
        </is>
      </c>
      <c r="E1044" s="10" t="inlineStr">
        <is>
          <t>浙江宁波</t>
        </is>
      </c>
      <c r="F1044" s="10" t="inlineStr">
        <is>
          <t>中国制造网</t>
        </is>
      </c>
      <c r="G1044" s="10" t="inlineStr">
        <is>
          <t>陈经理</t>
        </is>
      </c>
      <c r="H1044" s="10" t="inlineStr">
        <is>
          <t>000-0000-1040</t>
        </is>
      </c>
      <c r="I1044" s="10" t="inlineStr">
        <is>
          <t>DEMO_GYS_1040</t>
        </is>
      </c>
      <c r="J1044" s="11" t="n">
        <v>22.8</v>
      </c>
      <c r="K1044" s="11" t="n">
        <v>36.8</v>
      </c>
      <c r="L1044" s="12" t="n">
        <v>300</v>
      </c>
      <c r="M1044" s="10" t="inlineStr">
        <is>
          <t>否</t>
        </is>
      </c>
      <c r="N1044" s="10" t="inlineStr">
        <is>
          <t>是</t>
        </is>
      </c>
      <c r="O1044" s="10" t="inlineStr">
        <is>
          <t>supplier1040@example.com</t>
        </is>
      </c>
      <c r="P1044" s="10" t="inlineStr">
        <is>
          <t>https://example.com/supplier/1040</t>
        </is>
      </c>
      <c r="Q1044" s="10">
        <f>IF(R1044&gt;=85,"A",IF(R1044&gt;=70,"B","C"))</f>
        <v/>
      </c>
      <c r="R1044" s="13">
        <f>MIN(100,50+IF(M1044="是",10,0)+IF(N1044="是",10,0)+IF(L1044&lt;=100,10,IF(L1044&lt;=300,5,0))+IF(J1044&lt;=20,10,IF(J1044&lt;=50,5,0))+IF(K1044-J1044&lt;=20,5,0)+IF(F1044="企业官网",5,0))</f>
        <v/>
      </c>
      <c r="S1044" s="10">
        <f>IF(Q1044="A","价格与起订量有优势，建议优先询盘",IF(Q1044="B","条件较均衡，可作为备选","起订量或价格需要进一步确认"))</f>
        <v/>
      </c>
      <c r="T1044" s="10" t="inlineStr">
        <is>
          <t>未联系</t>
        </is>
      </c>
      <c r="U1044" s="10" t="inlineStr">
        <is>
          <t>虚构演示数据</t>
        </is>
      </c>
    </row>
    <row r="1045" ht="21" customHeight="1">
      <c r="A1045" s="10" t="inlineStr">
        <is>
          <t>GYS-1041</t>
        </is>
      </c>
      <c r="B1045" s="10" t="inlineStr">
        <is>
          <t>深圳服饰内衣供应链1041有限公司（演示）</t>
        </is>
      </c>
      <c r="C1045" s="10" t="inlineStr">
        <is>
          <t>服饰内衣</t>
        </is>
      </c>
      <c r="D1045" s="10" t="inlineStr">
        <is>
          <t>防滑袜</t>
        </is>
      </c>
      <c r="E1045" s="10" t="inlineStr">
        <is>
          <t>广东深圳</t>
        </is>
      </c>
      <c r="F1045" s="10" t="inlineStr">
        <is>
          <t>企业官网</t>
        </is>
      </c>
      <c r="G1045" s="10" t="inlineStr">
        <is>
          <t>林经理</t>
        </is>
      </c>
      <c r="H1045" s="10" t="inlineStr">
        <is>
          <t>000-0000-1041</t>
        </is>
      </c>
      <c r="I1045" s="10" t="inlineStr">
        <is>
          <t>DEMO_GYS_1041</t>
        </is>
      </c>
      <c r="J1045" s="11" t="n">
        <v>24.5</v>
      </c>
      <c r="K1045" s="11" t="n">
        <v>39.6</v>
      </c>
      <c r="L1045" s="12" t="n">
        <v>200</v>
      </c>
      <c r="M1045" s="10" t="inlineStr">
        <is>
          <t>是</t>
        </is>
      </c>
      <c r="N1045" s="10" t="inlineStr">
        <is>
          <t>否</t>
        </is>
      </c>
      <c r="O1045" s="10" t="inlineStr">
        <is>
          <t>supplier1041@example.com</t>
        </is>
      </c>
      <c r="P1045" s="10" t="inlineStr">
        <is>
          <t>https://example.com/supplier/1041</t>
        </is>
      </c>
      <c r="Q1045" s="10">
        <f>IF(R1045&gt;=85,"A",IF(R1045&gt;=70,"B","C"))</f>
        <v/>
      </c>
      <c r="R1045" s="13">
        <f>MIN(100,50+IF(M1045="是",10,0)+IF(N1045="是",10,0)+IF(L1045&lt;=100,10,IF(L1045&lt;=300,5,0))+IF(J1045&lt;=20,10,IF(J1045&lt;=50,5,0))+IF(K1045-J1045&lt;=20,5,0)+IF(F1045="企业官网",5,0))</f>
        <v/>
      </c>
      <c r="S1045" s="10">
        <f>IF(Q1045="A","价格与起订量有优势，建议优先询盘",IF(Q1045="B","条件较均衡，可作为备选","起订量或价格需要进一步确认"))</f>
        <v/>
      </c>
      <c r="T1045" s="10" t="inlineStr">
        <is>
          <t>未联系</t>
        </is>
      </c>
      <c r="U1045" s="10" t="inlineStr">
        <is>
          <t>虚构演示数据</t>
        </is>
      </c>
    </row>
    <row r="1046" ht="21" customHeight="1">
      <c r="A1046" s="10" t="inlineStr">
        <is>
          <t>GYS-1042</t>
        </is>
      </c>
      <c r="B1046" s="10" t="inlineStr">
        <is>
          <t>佛山家居日用供应链1042有限公司（演示）</t>
        </is>
      </c>
      <c r="C1046" s="10" t="inlineStr">
        <is>
          <t>家居日用</t>
        </is>
      </c>
      <c r="D1046" s="10" t="inlineStr">
        <is>
          <t>折叠收纳箱</t>
        </is>
      </c>
      <c r="E1046" s="10" t="inlineStr">
        <is>
          <t>广东佛山</t>
        </is>
      </c>
      <c r="F1046" s="10" t="inlineStr">
        <is>
          <t>义乌购</t>
        </is>
      </c>
      <c r="G1046" s="10" t="inlineStr">
        <is>
          <t>王经理</t>
        </is>
      </c>
      <c r="H1046" s="10" t="inlineStr">
        <is>
          <t>000-0000-1042</t>
        </is>
      </c>
      <c r="I1046" s="10" t="inlineStr">
        <is>
          <t>DEMO_GYS_1042</t>
        </is>
      </c>
      <c r="J1046" s="11" t="n">
        <v>26.2</v>
      </c>
      <c r="K1046" s="11" t="n">
        <v>42.4</v>
      </c>
      <c r="L1046" s="12" t="n">
        <v>100</v>
      </c>
      <c r="M1046" s="10" t="inlineStr">
        <is>
          <t>是</t>
        </is>
      </c>
      <c r="N1046" s="10" t="inlineStr">
        <is>
          <t>是</t>
        </is>
      </c>
      <c r="O1046" s="10" t="inlineStr">
        <is>
          <t>supplier1042@example.com</t>
        </is>
      </c>
      <c r="P1046" s="10" t="inlineStr">
        <is>
          <t>https://example.com/supplier/1042</t>
        </is>
      </c>
      <c r="Q1046" s="10">
        <f>IF(R1046&gt;=85,"A",IF(R1046&gt;=70,"B","C"))</f>
        <v/>
      </c>
      <c r="R1046" s="13">
        <f>MIN(100,50+IF(M1046="是",10,0)+IF(N1046="是",10,0)+IF(L1046&lt;=100,10,IF(L1046&lt;=300,5,0))+IF(J1046&lt;=20,10,IF(J1046&lt;=50,5,0))+IF(K1046-J1046&lt;=20,5,0)+IF(F1046="企业官网",5,0))</f>
        <v/>
      </c>
      <c r="S1046" s="10">
        <f>IF(Q1046="A","价格与起订量有优势，建议优先询盘",IF(Q1046="B","条件较均衡，可作为备选","起订量或价格需要进一步确认"))</f>
        <v/>
      </c>
      <c r="T1046" s="10" t="inlineStr">
        <is>
          <t>未联系</t>
        </is>
      </c>
      <c r="U1046" s="10" t="inlineStr">
        <is>
          <t>虚构演示数据</t>
        </is>
      </c>
    </row>
    <row r="1047" ht="21" customHeight="1">
      <c r="A1047" s="10" t="inlineStr">
        <is>
          <t>GYS-1043</t>
        </is>
      </c>
      <c r="B1047" s="10" t="inlineStr">
        <is>
          <t>苏州个护清洁供应链1043有限公司（演示）</t>
        </is>
      </c>
      <c r="C1047" s="10" t="inlineStr">
        <is>
          <t>个护清洁</t>
        </is>
      </c>
      <c r="D1047" s="10" t="inlineStr">
        <is>
          <t>便携洗脸巾</t>
        </is>
      </c>
      <c r="E1047" s="10" t="inlineStr">
        <is>
          <t>江苏苏州</t>
        </is>
      </c>
      <c r="F1047" s="10" t="inlineStr">
        <is>
          <t>慧聪网</t>
        </is>
      </c>
      <c r="G1047" s="10" t="inlineStr">
        <is>
          <t>李经理</t>
        </is>
      </c>
      <c r="H1047" s="10" t="inlineStr">
        <is>
          <t>000-0000-1043</t>
        </is>
      </c>
      <c r="I1047" s="10" t="inlineStr">
        <is>
          <t>DEMO_GYS_1043</t>
        </is>
      </c>
      <c r="J1047" s="11" t="n">
        <v>27.9</v>
      </c>
      <c r="K1047" s="11" t="n">
        <v>45.2</v>
      </c>
      <c r="L1047" s="12" t="n">
        <v>50</v>
      </c>
      <c r="M1047" s="10" t="inlineStr">
        <is>
          <t>是</t>
        </is>
      </c>
      <c r="N1047" s="10" t="inlineStr">
        <is>
          <t>是</t>
        </is>
      </c>
      <c r="O1047" s="10" t="inlineStr">
        <is>
          <t>supplier1043@example.com</t>
        </is>
      </c>
      <c r="P1047" s="10" t="inlineStr">
        <is>
          <t>https://example.com/supplier/1043</t>
        </is>
      </c>
      <c r="Q1047" s="10">
        <f>IF(R1047&gt;=85,"A",IF(R1047&gt;=70,"B","C"))</f>
        <v/>
      </c>
      <c r="R1047" s="13">
        <f>MIN(100,50+IF(M1047="是",10,0)+IF(N1047="是",10,0)+IF(L1047&lt;=100,10,IF(L1047&lt;=300,5,0))+IF(J1047&lt;=20,10,IF(J1047&lt;=50,5,0))+IF(K1047-J1047&lt;=20,5,0)+IF(F1047="企业官网",5,0))</f>
        <v/>
      </c>
      <c r="S1047" s="10">
        <f>IF(Q1047="A","价格与起订量有优势，建议优先询盘",IF(Q1047="B","条件较均衡，可作为备选","起订量或价格需要进一步确认"))</f>
        <v/>
      </c>
      <c r="T1047" s="10" t="inlineStr">
        <is>
          <t>未联系</t>
        </is>
      </c>
      <c r="U1047" s="10" t="inlineStr">
        <is>
          <t>虚构演示数据</t>
        </is>
      </c>
    </row>
    <row r="1048" ht="21" customHeight="1">
      <c r="A1048" s="10" t="inlineStr">
        <is>
          <t>GYS-1044</t>
        </is>
      </c>
      <c r="B1048" s="10" t="inlineStr">
        <is>
          <t>白沟厨房用品供应链1044有限公司（演示）</t>
        </is>
      </c>
      <c r="C1048" s="10" t="inlineStr">
        <is>
          <t>厨房用品</t>
        </is>
      </c>
      <c r="D1048" s="10" t="inlineStr">
        <is>
          <t>硅胶保鲜盒</t>
        </is>
      </c>
      <c r="E1048" s="10" t="inlineStr">
        <is>
          <t>河北白沟</t>
        </is>
      </c>
      <c r="F1048" s="10" t="inlineStr">
        <is>
          <t>1688</t>
        </is>
      </c>
      <c r="G1048" s="10" t="inlineStr">
        <is>
          <t>张经理</t>
        </is>
      </c>
      <c r="H1048" s="10" t="inlineStr">
        <is>
          <t>000-0000-1044</t>
        </is>
      </c>
      <c r="I1048" s="10" t="inlineStr">
        <is>
          <t>DEMO_GYS_1044</t>
        </is>
      </c>
      <c r="J1048" s="11" t="n">
        <v>29.6</v>
      </c>
      <c r="K1048" s="11" t="n">
        <v>48</v>
      </c>
      <c r="L1048" s="12" t="n">
        <v>20</v>
      </c>
      <c r="M1048" s="10" t="inlineStr">
        <is>
          <t>否</t>
        </is>
      </c>
      <c r="N1048" s="10" t="inlineStr">
        <is>
          <t>否</t>
        </is>
      </c>
      <c r="O1048" s="10" t="inlineStr">
        <is>
          <t>supplier1044@example.com</t>
        </is>
      </c>
      <c r="P1048" s="10" t="inlineStr">
        <is>
          <t>https://example.com/supplier/1044</t>
        </is>
      </c>
      <c r="Q1048" s="10">
        <f>IF(R1048&gt;=85,"A",IF(R1048&gt;=70,"B","C"))</f>
        <v/>
      </c>
      <c r="R1048" s="13">
        <f>MIN(100,50+IF(M1048="是",10,0)+IF(N1048="是",10,0)+IF(L1048&lt;=100,10,IF(L1048&lt;=300,5,0))+IF(J1048&lt;=20,10,IF(J1048&lt;=50,5,0))+IF(K1048-J1048&lt;=20,5,0)+IF(F1048="企业官网",5,0))</f>
        <v/>
      </c>
      <c r="S1048" s="10">
        <f>IF(Q1048="A","价格与起订量有优势，建议优先询盘",IF(Q1048="B","条件较均衡，可作为备选","起订量或价格需要进一步确认"))</f>
        <v/>
      </c>
      <c r="T1048" s="10" t="inlineStr">
        <is>
          <t>未联系</t>
        </is>
      </c>
      <c r="U1048" s="10" t="inlineStr">
        <is>
          <t>虚构演示数据</t>
        </is>
      </c>
    </row>
    <row r="1049" ht="21" customHeight="1">
      <c r="A1049" s="10" t="inlineStr">
        <is>
          <t>GYS-1045</t>
        </is>
      </c>
      <c r="B1049" s="10" t="inlineStr">
        <is>
          <t>义乌数码配件供应链1045有限公司（演示）</t>
        </is>
      </c>
      <c r="C1049" s="10" t="inlineStr">
        <is>
          <t>数码配件</t>
        </is>
      </c>
      <c r="D1049" s="10" t="inlineStr">
        <is>
          <t>磁吸手机支架</t>
        </is>
      </c>
      <c r="E1049" s="10" t="inlineStr">
        <is>
          <t>浙江义乌</t>
        </is>
      </c>
      <c r="F1049" s="10" t="inlineStr">
        <is>
          <t>中国制造网</t>
        </is>
      </c>
      <c r="G1049" s="10" t="inlineStr">
        <is>
          <t>刘经理</t>
        </is>
      </c>
      <c r="H1049" s="10" t="inlineStr">
        <is>
          <t>000-0000-1045</t>
        </is>
      </c>
      <c r="I1049" s="10" t="inlineStr">
        <is>
          <t>DEMO_GYS_1045</t>
        </is>
      </c>
      <c r="J1049" s="11" t="n">
        <v>31.3</v>
      </c>
      <c r="K1049" s="11" t="n">
        <v>50.8</v>
      </c>
      <c r="L1049" s="12" t="n">
        <v>500</v>
      </c>
      <c r="M1049" s="10" t="inlineStr">
        <is>
          <t>是</t>
        </is>
      </c>
      <c r="N1049" s="10" t="inlineStr">
        <is>
          <t>是</t>
        </is>
      </c>
      <c r="O1049" s="10" t="inlineStr">
        <is>
          <t>supplier1045@example.com</t>
        </is>
      </c>
      <c r="P1049" s="10" t="inlineStr">
        <is>
          <t>https://example.com/supplier/1045</t>
        </is>
      </c>
      <c r="Q1049" s="10">
        <f>IF(R1049&gt;=85,"A",IF(R1049&gt;=70,"B","C"))</f>
        <v/>
      </c>
      <c r="R1049" s="13">
        <f>MIN(100,50+IF(M1049="是",10,0)+IF(N1049="是",10,0)+IF(L1049&lt;=100,10,IF(L1049&lt;=300,5,0))+IF(J1049&lt;=20,10,IF(J1049&lt;=50,5,0))+IF(K1049-J1049&lt;=20,5,0)+IF(F1049="企业官网",5,0))</f>
        <v/>
      </c>
      <c r="S1049" s="10">
        <f>IF(Q1049="A","价格与起订量有优势，建议优先询盘",IF(Q1049="B","条件较均衡，可作为备选","起订量或价格需要进一步确认"))</f>
        <v/>
      </c>
      <c r="T1049" s="10" t="inlineStr">
        <is>
          <t>未联系</t>
        </is>
      </c>
      <c r="U1049" s="10" t="inlineStr">
        <is>
          <t>虚构演示数据</t>
        </is>
      </c>
    </row>
    <row r="1050" ht="21" customHeight="1">
      <c r="A1050" s="10" t="inlineStr">
        <is>
          <t>GYS-1046</t>
        </is>
      </c>
      <c r="B1050" s="10" t="inlineStr">
        <is>
          <t>台州宠物用品供应链1046有限公司（演示）</t>
        </is>
      </c>
      <c r="C1050" s="10" t="inlineStr">
        <is>
          <t>宠物用品</t>
        </is>
      </c>
      <c r="D1050" s="10" t="inlineStr">
        <is>
          <t>宠物清洁手套</t>
        </is>
      </c>
      <c r="E1050" s="10" t="inlineStr">
        <is>
          <t>浙江台州</t>
        </is>
      </c>
      <c r="F1050" s="10" t="inlineStr">
        <is>
          <t>企业官网</t>
        </is>
      </c>
      <c r="G1050" s="10" t="inlineStr">
        <is>
          <t>黄经理</t>
        </is>
      </c>
      <c r="H1050" s="10" t="inlineStr">
        <is>
          <t>000-0000-1046</t>
        </is>
      </c>
      <c r="I1050" s="10" t="inlineStr">
        <is>
          <t>DEMO_GYS_1046</t>
        </is>
      </c>
      <c r="J1050" s="11" t="n">
        <v>33</v>
      </c>
      <c r="K1050" s="11" t="n">
        <v>53.6</v>
      </c>
      <c r="L1050" s="12" t="n">
        <v>300</v>
      </c>
      <c r="M1050" s="10" t="inlineStr">
        <is>
          <t>是</t>
        </is>
      </c>
      <c r="N1050" s="10" t="inlineStr">
        <is>
          <t>是</t>
        </is>
      </c>
      <c r="O1050" s="10" t="inlineStr">
        <is>
          <t>supplier1046@example.com</t>
        </is>
      </c>
      <c r="P1050" s="10" t="inlineStr">
        <is>
          <t>https://example.com/supplier/1046</t>
        </is>
      </c>
      <c r="Q1050" s="10">
        <f>IF(R1050&gt;=85,"A",IF(R1050&gt;=70,"B","C"))</f>
        <v/>
      </c>
      <c r="R1050" s="13">
        <f>MIN(100,50+IF(M1050="是",10,0)+IF(N1050="是",10,0)+IF(L1050&lt;=100,10,IF(L1050&lt;=300,5,0))+IF(J1050&lt;=20,10,IF(J1050&lt;=50,5,0))+IF(K1050-J1050&lt;=20,5,0)+IF(F1050="企业官网",5,0))</f>
        <v/>
      </c>
      <c r="S1050" s="10">
        <f>IF(Q1050="A","价格与起订量有优势，建议优先询盘",IF(Q1050="B","条件较均衡，可作为备选","起订量或价格需要进一步确认"))</f>
        <v/>
      </c>
      <c r="T1050" s="10" t="inlineStr">
        <is>
          <t>未联系</t>
        </is>
      </c>
      <c r="U1050" s="10" t="inlineStr">
        <is>
          <t>虚构演示数据</t>
        </is>
      </c>
    </row>
    <row r="1051" ht="21" customHeight="1">
      <c r="A1051" s="10" t="inlineStr">
        <is>
          <t>GYS-1047</t>
        </is>
      </c>
      <c r="B1051" s="10" t="inlineStr">
        <is>
          <t>东莞母婴用品供应链1047有限公司（演示）</t>
        </is>
      </c>
      <c r="C1051" s="10" t="inlineStr">
        <is>
          <t>母婴用品</t>
        </is>
      </c>
      <c r="D1051" s="10" t="inlineStr">
        <is>
          <t>婴儿防撞条</t>
        </is>
      </c>
      <c r="E1051" s="10" t="inlineStr">
        <is>
          <t>广东东莞</t>
        </is>
      </c>
      <c r="F1051" s="10" t="inlineStr">
        <is>
          <t>义乌购</t>
        </is>
      </c>
      <c r="G1051" s="10" t="inlineStr">
        <is>
          <t>赵经理</t>
        </is>
      </c>
      <c r="H1051" s="10" t="inlineStr">
        <is>
          <t>000-0000-1047</t>
        </is>
      </c>
      <c r="I1051" s="10" t="inlineStr">
        <is>
          <t>DEMO_GYS_1047</t>
        </is>
      </c>
      <c r="J1051" s="11" t="n">
        <v>34.7</v>
      </c>
      <c r="K1051" s="11" t="n">
        <v>56.4</v>
      </c>
      <c r="L1051" s="12" t="n">
        <v>200</v>
      </c>
      <c r="M1051" s="10" t="inlineStr">
        <is>
          <t>是</t>
        </is>
      </c>
      <c r="N1051" s="10" t="inlineStr">
        <is>
          <t>否</t>
        </is>
      </c>
      <c r="O1051" s="10" t="inlineStr">
        <is>
          <t>supplier1047@example.com</t>
        </is>
      </c>
      <c r="P1051" s="10" t="inlineStr">
        <is>
          <t>https://example.com/supplier/1047</t>
        </is>
      </c>
      <c r="Q1051" s="10">
        <f>IF(R1051&gt;=85,"A",IF(R1051&gt;=70,"B","C"))</f>
        <v/>
      </c>
      <c r="R1051" s="13">
        <f>MIN(100,50+IF(M1051="是",10,0)+IF(N1051="是",10,0)+IF(L1051&lt;=100,10,IF(L1051&lt;=300,5,0))+IF(J1051&lt;=20,10,IF(J1051&lt;=50,5,0))+IF(K1051-J1051&lt;=20,5,0)+IF(F1051="企业官网",5,0))</f>
        <v/>
      </c>
      <c r="S1051" s="10">
        <f>IF(Q1051="A","价格与起订量有优势，建议优先询盘",IF(Q1051="B","条件较均衡，可作为备选","起订量或价格需要进一步确认"))</f>
        <v/>
      </c>
      <c r="T1051" s="10" t="inlineStr">
        <is>
          <t>未联系</t>
        </is>
      </c>
      <c r="U1051" s="10" t="inlineStr">
        <is>
          <t>虚构演示数据</t>
        </is>
      </c>
    </row>
    <row r="1052" ht="21" customHeight="1">
      <c r="A1052" s="10" t="inlineStr">
        <is>
          <t>GYS-1048</t>
        </is>
      </c>
      <c r="B1052" s="10" t="inlineStr">
        <is>
          <t>厦门运动户外供应链1048有限公司（演示）</t>
        </is>
      </c>
      <c r="C1052" s="10" t="inlineStr">
        <is>
          <t>运动户外</t>
        </is>
      </c>
      <c r="D1052" s="10" t="inlineStr">
        <is>
          <t>弹力训练带</t>
        </is>
      </c>
      <c r="E1052" s="10" t="inlineStr">
        <is>
          <t>福建厦门</t>
        </is>
      </c>
      <c r="F1052" s="10" t="inlineStr">
        <is>
          <t>慧聪网</t>
        </is>
      </c>
      <c r="G1052" s="10" t="inlineStr">
        <is>
          <t>周经理</t>
        </is>
      </c>
      <c r="H1052" s="10" t="inlineStr">
        <is>
          <t>000-0000-1048</t>
        </is>
      </c>
      <c r="I1052" s="10" t="inlineStr">
        <is>
          <t>DEMO_GYS_1048</t>
        </is>
      </c>
      <c r="J1052" s="11" t="n">
        <v>36.4</v>
      </c>
      <c r="K1052" s="11" t="n">
        <v>41.2</v>
      </c>
      <c r="L1052" s="12" t="n">
        <v>100</v>
      </c>
      <c r="M1052" s="10" t="inlineStr">
        <is>
          <t>否</t>
        </is>
      </c>
      <c r="N1052" s="10" t="inlineStr">
        <is>
          <t>是</t>
        </is>
      </c>
      <c r="O1052" s="10" t="inlineStr">
        <is>
          <t>supplier1048@example.com</t>
        </is>
      </c>
      <c r="P1052" s="10" t="inlineStr">
        <is>
          <t>https://example.com/supplier/1048</t>
        </is>
      </c>
      <c r="Q1052" s="10">
        <f>IF(R1052&gt;=85,"A",IF(R1052&gt;=70,"B","C"))</f>
        <v/>
      </c>
      <c r="R1052" s="13">
        <f>MIN(100,50+IF(M1052="是",10,0)+IF(N1052="是",10,0)+IF(L1052&lt;=100,10,IF(L1052&lt;=300,5,0))+IF(J1052&lt;=20,10,IF(J1052&lt;=50,5,0))+IF(K1052-J1052&lt;=20,5,0)+IF(F1052="企业官网",5,0))</f>
        <v/>
      </c>
      <c r="S1052" s="10">
        <f>IF(Q1052="A","价格与起订量有优势，建议优先询盘",IF(Q1052="B","条件较均衡，可作为备选","起订量或价格需要进一步确认"))</f>
        <v/>
      </c>
      <c r="T1052" s="10" t="inlineStr">
        <is>
          <t>未联系</t>
        </is>
      </c>
      <c r="U1052" s="10" t="inlineStr">
        <is>
          <t>虚构演示数据</t>
        </is>
      </c>
    </row>
    <row r="1053" ht="21" customHeight="1">
      <c r="A1053" s="10" t="inlineStr">
        <is>
          <t>GYS-1049</t>
        </is>
      </c>
      <c r="B1053" s="10" t="inlineStr">
        <is>
          <t>临沂办公文具供应链1049有限公司（演示）</t>
        </is>
      </c>
      <c r="C1053" s="10" t="inlineStr">
        <is>
          <t>办公文具</t>
        </is>
      </c>
      <c r="D1053" s="10" t="inlineStr">
        <is>
          <t>桌面收纳架</t>
        </is>
      </c>
      <c r="E1053" s="10" t="inlineStr">
        <is>
          <t>山东临沂</t>
        </is>
      </c>
      <c r="F1053" s="10" t="inlineStr">
        <is>
          <t>1688</t>
        </is>
      </c>
      <c r="G1053" s="10" t="inlineStr">
        <is>
          <t>吴经理</t>
        </is>
      </c>
      <c r="H1053" s="10" t="inlineStr">
        <is>
          <t>000-0000-1049</t>
        </is>
      </c>
      <c r="I1053" s="10" t="inlineStr">
        <is>
          <t>DEMO_GYS_1049</t>
        </is>
      </c>
      <c r="J1053" s="11" t="n">
        <v>38.1</v>
      </c>
      <c r="K1053" s="11" t="n">
        <v>44</v>
      </c>
      <c r="L1053" s="12" t="n">
        <v>50</v>
      </c>
      <c r="M1053" s="10" t="inlineStr">
        <is>
          <t>是</t>
        </is>
      </c>
      <c r="N1053" s="10" t="inlineStr">
        <is>
          <t>是</t>
        </is>
      </c>
      <c r="O1053" s="10" t="inlineStr">
        <is>
          <t>supplier1049@example.com</t>
        </is>
      </c>
      <c r="P1053" s="10" t="inlineStr">
        <is>
          <t>https://example.com/supplier/1049</t>
        </is>
      </c>
      <c r="Q1053" s="10">
        <f>IF(R1053&gt;=85,"A",IF(R1053&gt;=70,"B","C"))</f>
        <v/>
      </c>
      <c r="R1053" s="13">
        <f>MIN(100,50+IF(M1053="是",10,0)+IF(N1053="是",10,0)+IF(L1053&lt;=100,10,IF(L1053&lt;=300,5,0))+IF(J1053&lt;=20,10,IF(J1053&lt;=50,5,0))+IF(K1053-J1053&lt;=20,5,0)+IF(F1053="企业官网",5,0))</f>
        <v/>
      </c>
      <c r="S1053" s="10">
        <f>IF(Q1053="A","价格与起订量有优势，建议优先询盘",IF(Q1053="B","条件较均衡，可作为备选","起订量或价格需要进一步确认"))</f>
        <v/>
      </c>
      <c r="T1053" s="10" t="inlineStr">
        <is>
          <t>未联系</t>
        </is>
      </c>
      <c r="U1053" s="10" t="inlineStr">
        <is>
          <t>虚构演示数据</t>
        </is>
      </c>
    </row>
    <row r="1054" ht="21" customHeight="1">
      <c r="A1054" s="10" t="inlineStr">
        <is>
          <t>GYS-1050</t>
        </is>
      </c>
      <c r="B1054" s="10" t="inlineStr">
        <is>
          <t>南昌汽车用品供应链1050有限公司（演示）</t>
        </is>
      </c>
      <c r="C1054" s="10" t="inlineStr">
        <is>
          <t>汽车用品</t>
        </is>
      </c>
      <c r="D1054" s="10" t="inlineStr">
        <is>
          <t>车载香薰</t>
        </is>
      </c>
      <c r="E1054" s="10" t="inlineStr">
        <is>
          <t>江西南昌</t>
        </is>
      </c>
      <c r="F1054" s="10" t="inlineStr">
        <is>
          <t>中国制造网</t>
        </is>
      </c>
      <c r="G1054" s="10" t="inlineStr">
        <is>
          <t>陈经理</t>
        </is>
      </c>
      <c r="H1054" s="10" t="inlineStr">
        <is>
          <t>000-0000-1050</t>
        </is>
      </c>
      <c r="I1054" s="10" t="inlineStr">
        <is>
          <t>DEMO_GYS_1050</t>
        </is>
      </c>
      <c r="J1054" s="11" t="n">
        <v>39.8</v>
      </c>
      <c r="K1054" s="11" t="n">
        <v>46.8</v>
      </c>
      <c r="L1054" s="12" t="n">
        <v>20</v>
      </c>
      <c r="M1054" s="10" t="inlineStr">
        <is>
          <t>是</t>
        </is>
      </c>
      <c r="N1054" s="10" t="inlineStr">
        <is>
          <t>否</t>
        </is>
      </c>
      <c r="O1054" s="10" t="inlineStr">
        <is>
          <t>supplier1050@example.com</t>
        </is>
      </c>
      <c r="P1054" s="10" t="inlineStr">
        <is>
          <t>https://example.com/supplier/1050</t>
        </is>
      </c>
      <c r="Q1054" s="10">
        <f>IF(R1054&gt;=85,"A",IF(R1054&gt;=70,"B","C"))</f>
        <v/>
      </c>
      <c r="R1054" s="13">
        <f>MIN(100,50+IF(M1054="是",10,0)+IF(N1054="是",10,0)+IF(L1054&lt;=100,10,IF(L1054&lt;=300,5,0))+IF(J1054&lt;=20,10,IF(J1054&lt;=50,5,0))+IF(K1054-J1054&lt;=20,5,0)+IF(F1054="企业官网",5,0))</f>
        <v/>
      </c>
      <c r="S1054" s="10">
        <f>IF(Q1054="A","价格与起订量有优势，建议优先询盘",IF(Q1054="B","条件较均衡，可作为备选","起订量或价格需要进一步确认"))</f>
        <v/>
      </c>
      <c r="T1054" s="10" t="inlineStr">
        <is>
          <t>未联系</t>
        </is>
      </c>
      <c r="U1054" s="10" t="inlineStr">
        <is>
          <t>虚构演示数据</t>
        </is>
      </c>
    </row>
    <row r="1055" ht="21" customHeight="1">
      <c r="A1055" s="10" t="inlineStr">
        <is>
          <t>GYS-1051</t>
        </is>
      </c>
      <c r="B1055" s="10" t="inlineStr">
        <is>
          <t>温州美容工具供应链1051有限公司（演示）</t>
        </is>
      </c>
      <c r="C1055" s="10" t="inlineStr">
        <is>
          <t>美容工具</t>
        </is>
      </c>
      <c r="D1055" s="10" t="inlineStr">
        <is>
          <t>便携化妆镜</t>
        </is>
      </c>
      <c r="E1055" s="10" t="inlineStr">
        <is>
          <t>浙江温州</t>
        </is>
      </c>
      <c r="F1055" s="10" t="inlineStr">
        <is>
          <t>企业官网</t>
        </is>
      </c>
      <c r="G1055" s="10" t="inlineStr">
        <is>
          <t>林经理</t>
        </is>
      </c>
      <c r="H1055" s="10" t="inlineStr">
        <is>
          <t>000-0000-1051</t>
        </is>
      </c>
      <c r="I1055" s="10" t="inlineStr">
        <is>
          <t>DEMO_GYS_1051</t>
        </is>
      </c>
      <c r="J1055" s="11" t="n">
        <v>41.5</v>
      </c>
      <c r="K1055" s="11" t="n">
        <v>49.6</v>
      </c>
      <c r="L1055" s="12" t="n">
        <v>500</v>
      </c>
      <c r="M1055" s="10" t="inlineStr">
        <is>
          <t>是</t>
        </is>
      </c>
      <c r="N1055" s="10" t="inlineStr">
        <is>
          <t>是</t>
        </is>
      </c>
      <c r="O1055" s="10" t="inlineStr">
        <is>
          <t>supplier1051@example.com</t>
        </is>
      </c>
      <c r="P1055" s="10" t="inlineStr">
        <is>
          <t>https://example.com/supplier/1051</t>
        </is>
      </c>
      <c r="Q1055" s="10">
        <f>IF(R1055&gt;=85,"A",IF(R1055&gt;=70,"B","C"))</f>
        <v/>
      </c>
      <c r="R1055" s="13">
        <f>MIN(100,50+IF(M1055="是",10,0)+IF(N1055="是",10,0)+IF(L1055&lt;=100,10,IF(L1055&lt;=300,5,0))+IF(J1055&lt;=20,10,IF(J1055&lt;=50,5,0))+IF(K1055-J1055&lt;=20,5,0)+IF(F1055="企业官网",5,0))</f>
        <v/>
      </c>
      <c r="S1055" s="10">
        <f>IF(Q1055="A","价格与起订量有优势，建议优先询盘",IF(Q1055="B","条件较均衡，可作为备选","起订量或价格需要进一步确认"))</f>
        <v/>
      </c>
      <c r="T1055" s="10" t="inlineStr">
        <is>
          <t>未联系</t>
        </is>
      </c>
      <c r="U1055" s="10" t="inlineStr">
        <is>
          <t>虚构演示数据</t>
        </is>
      </c>
    </row>
    <row r="1056" ht="21" customHeight="1">
      <c r="A1056" s="10" t="inlineStr">
        <is>
          <t>GYS-1052</t>
        </is>
      </c>
      <c r="B1056" s="10" t="inlineStr">
        <is>
          <t>广州旅行用品供应链1052有限公司（演示）</t>
        </is>
      </c>
      <c r="C1056" s="10" t="inlineStr">
        <is>
          <t>旅行用品</t>
        </is>
      </c>
      <c r="D1056" s="10" t="inlineStr">
        <is>
          <t>压缩收纳袋</t>
        </is>
      </c>
      <c r="E1056" s="10" t="inlineStr">
        <is>
          <t>广东广州</t>
        </is>
      </c>
      <c r="F1056" s="10" t="inlineStr">
        <is>
          <t>义乌购</t>
        </is>
      </c>
      <c r="G1056" s="10" t="inlineStr">
        <is>
          <t>王经理</t>
        </is>
      </c>
      <c r="H1056" s="10" t="inlineStr">
        <is>
          <t>000-0000-1052</t>
        </is>
      </c>
      <c r="I1056" s="10" t="inlineStr">
        <is>
          <t>DEMO_GYS_1052</t>
        </is>
      </c>
      <c r="J1056" s="11" t="n">
        <v>43.2</v>
      </c>
      <c r="K1056" s="11" t="n">
        <v>52.4</v>
      </c>
      <c r="L1056" s="12" t="n">
        <v>300</v>
      </c>
      <c r="M1056" s="10" t="inlineStr">
        <is>
          <t>否</t>
        </is>
      </c>
      <c r="N1056" s="10" t="inlineStr">
        <is>
          <t>是</t>
        </is>
      </c>
      <c r="O1056" s="10" t="inlineStr">
        <is>
          <t>supplier1052@example.com</t>
        </is>
      </c>
      <c r="P1056" s="10" t="inlineStr">
        <is>
          <t>https://example.com/supplier/1052</t>
        </is>
      </c>
      <c r="Q1056" s="10">
        <f>IF(R1056&gt;=85,"A",IF(R1056&gt;=70,"B","C"))</f>
        <v/>
      </c>
      <c r="R1056" s="13">
        <f>MIN(100,50+IF(M1056="是",10,0)+IF(N1056="是",10,0)+IF(L1056&lt;=100,10,IF(L1056&lt;=300,5,0))+IF(J1056&lt;=20,10,IF(J1056&lt;=50,5,0))+IF(K1056-J1056&lt;=20,5,0)+IF(F1056="企业官网",5,0))</f>
        <v/>
      </c>
      <c r="S1056" s="10">
        <f>IF(Q1056="A","价格与起订量有优势，建议优先询盘",IF(Q1056="B","条件较均衡，可作为备选","起订量或价格需要进一步确认"))</f>
        <v/>
      </c>
      <c r="T1056" s="10" t="inlineStr">
        <is>
          <t>未联系</t>
        </is>
      </c>
      <c r="U1056" s="10" t="inlineStr">
        <is>
          <t>虚构演示数据</t>
        </is>
      </c>
    </row>
    <row r="1057" ht="21" customHeight="1">
      <c r="A1057" s="10" t="inlineStr">
        <is>
          <t>GYS-1053</t>
        </is>
      </c>
      <c r="B1057" s="10" t="inlineStr">
        <is>
          <t>泉州清洁工具供应链1053有限公司（演示）</t>
        </is>
      </c>
      <c r="C1057" s="10" t="inlineStr">
        <is>
          <t>清洁工具</t>
        </is>
      </c>
      <c r="D1057" s="10" t="inlineStr">
        <is>
          <t>免手洗拖把</t>
        </is>
      </c>
      <c r="E1057" s="10" t="inlineStr">
        <is>
          <t>福建泉州</t>
        </is>
      </c>
      <c r="F1057" s="10" t="inlineStr">
        <is>
          <t>慧聪网</t>
        </is>
      </c>
      <c r="G1057" s="10" t="inlineStr">
        <is>
          <t>李经理</t>
        </is>
      </c>
      <c r="H1057" s="10" t="inlineStr">
        <is>
          <t>000-0000-1053</t>
        </is>
      </c>
      <c r="I1057" s="10" t="inlineStr">
        <is>
          <t>DEMO_GYS_1053</t>
        </is>
      </c>
      <c r="J1057" s="11" t="n">
        <v>44.9</v>
      </c>
      <c r="K1057" s="11" t="n">
        <v>55.2</v>
      </c>
      <c r="L1057" s="12" t="n">
        <v>200</v>
      </c>
      <c r="M1057" s="10" t="inlineStr">
        <is>
          <t>是</t>
        </is>
      </c>
      <c r="N1057" s="10" t="inlineStr">
        <is>
          <t>否</t>
        </is>
      </c>
      <c r="O1057" s="10" t="inlineStr">
        <is>
          <t>supplier1053@example.com</t>
        </is>
      </c>
      <c r="P1057" s="10" t="inlineStr">
        <is>
          <t>https://example.com/supplier/1053</t>
        </is>
      </c>
      <c r="Q1057" s="10">
        <f>IF(R1057&gt;=85,"A",IF(R1057&gt;=70,"B","C"))</f>
        <v/>
      </c>
      <c r="R1057" s="13">
        <f>MIN(100,50+IF(M1057="是",10,0)+IF(N1057="是",10,0)+IF(L1057&lt;=100,10,IF(L1057&lt;=300,5,0))+IF(J1057&lt;=20,10,IF(J1057&lt;=50,5,0))+IF(K1057-J1057&lt;=20,5,0)+IF(F1057="企业官网",5,0))</f>
        <v/>
      </c>
      <c r="S1057" s="10">
        <f>IF(Q1057="A","价格与起订量有优势，建议优先询盘",IF(Q1057="B","条件较均衡，可作为备选","起订量或价格需要进一步确认"))</f>
        <v/>
      </c>
      <c r="T1057" s="10" t="inlineStr">
        <is>
          <t>未联系</t>
        </is>
      </c>
      <c r="U1057" s="10" t="inlineStr">
        <is>
          <t>虚构演示数据</t>
        </is>
      </c>
    </row>
    <row r="1058" ht="21" customHeight="1">
      <c r="A1058" s="10" t="inlineStr">
        <is>
          <t>GYS-1054</t>
        </is>
      </c>
      <c r="B1058" s="10" t="inlineStr">
        <is>
          <t>南通小家电供应链1054有限公司（演示）</t>
        </is>
      </c>
      <c r="C1058" s="10" t="inlineStr">
        <is>
          <t>小家电</t>
        </is>
      </c>
      <c r="D1058" s="10" t="inlineStr">
        <is>
          <t>迷你加湿器</t>
        </is>
      </c>
      <c r="E1058" s="10" t="inlineStr">
        <is>
          <t>江苏南通</t>
        </is>
      </c>
      <c r="F1058" s="10" t="inlineStr">
        <is>
          <t>1688</t>
        </is>
      </c>
      <c r="G1058" s="10" t="inlineStr">
        <is>
          <t>张经理</t>
        </is>
      </c>
      <c r="H1058" s="10" t="inlineStr">
        <is>
          <t>000-0000-1054</t>
        </is>
      </c>
      <c r="I1058" s="10" t="inlineStr">
        <is>
          <t>DEMO_GYS_1054</t>
        </is>
      </c>
      <c r="J1058" s="11" t="n">
        <v>46.6</v>
      </c>
      <c r="K1058" s="11" t="n">
        <v>58</v>
      </c>
      <c r="L1058" s="12" t="n">
        <v>100</v>
      </c>
      <c r="M1058" s="10" t="inlineStr">
        <is>
          <t>是</t>
        </is>
      </c>
      <c r="N1058" s="10" t="inlineStr">
        <is>
          <t>是</t>
        </is>
      </c>
      <c r="O1058" s="10" t="inlineStr">
        <is>
          <t>supplier1054@example.com</t>
        </is>
      </c>
      <c r="P1058" s="10" t="inlineStr">
        <is>
          <t>https://example.com/supplier/1054</t>
        </is>
      </c>
      <c r="Q1058" s="10">
        <f>IF(R1058&gt;=85,"A",IF(R1058&gt;=70,"B","C"))</f>
        <v/>
      </c>
      <c r="R1058" s="13">
        <f>MIN(100,50+IF(M1058="是",10,0)+IF(N1058="是",10,0)+IF(L1058&lt;=100,10,IF(L1058&lt;=300,5,0))+IF(J1058&lt;=20,10,IF(J1058&lt;=50,5,0))+IF(K1058-J1058&lt;=20,5,0)+IF(F1058="企业官网",5,0))</f>
        <v/>
      </c>
      <c r="S1058" s="10">
        <f>IF(Q1058="A","价格与起订量有优势，建议优先询盘",IF(Q1058="B","条件较均衡，可作为备选","起订量或价格需要进一步确认"))</f>
        <v/>
      </c>
      <c r="T1058" s="10" t="inlineStr">
        <is>
          <t>未联系</t>
        </is>
      </c>
      <c r="U1058" s="10" t="inlineStr">
        <is>
          <t>虚构演示数据</t>
        </is>
      </c>
    </row>
    <row r="1059" ht="21" customHeight="1">
      <c r="A1059" s="10" t="inlineStr">
        <is>
          <t>GYS-1055</t>
        </is>
      </c>
      <c r="B1059" s="10" t="inlineStr">
        <is>
          <t>郑州礼品包装供应链1055有限公司（演示）</t>
        </is>
      </c>
      <c r="C1059" s="10" t="inlineStr">
        <is>
          <t>礼品包装</t>
        </is>
      </c>
      <c r="D1059" s="10" t="inlineStr">
        <is>
          <t>节日礼盒</t>
        </is>
      </c>
      <c r="E1059" s="10" t="inlineStr">
        <is>
          <t>河南郑州</t>
        </is>
      </c>
      <c r="F1059" s="10" t="inlineStr">
        <is>
          <t>中国制造网</t>
        </is>
      </c>
      <c r="G1059" s="10" t="inlineStr">
        <is>
          <t>刘经理</t>
        </is>
      </c>
      <c r="H1059" s="10" t="inlineStr">
        <is>
          <t>000-0000-1055</t>
        </is>
      </c>
      <c r="I1059" s="10" t="inlineStr">
        <is>
          <t>DEMO_GYS_1055</t>
        </is>
      </c>
      <c r="J1059" s="11" t="n">
        <v>48.3</v>
      </c>
      <c r="K1059" s="11" t="n">
        <v>60.8</v>
      </c>
      <c r="L1059" s="12" t="n">
        <v>50</v>
      </c>
      <c r="M1059" s="10" t="inlineStr">
        <is>
          <t>是</t>
        </is>
      </c>
      <c r="N1059" s="10" t="inlineStr">
        <is>
          <t>是</t>
        </is>
      </c>
      <c r="O1059" s="10" t="inlineStr">
        <is>
          <t>supplier1055@example.com</t>
        </is>
      </c>
      <c r="P1059" s="10" t="inlineStr">
        <is>
          <t>https://example.com/supplier/1055</t>
        </is>
      </c>
      <c r="Q1059" s="10">
        <f>IF(R1059&gt;=85,"A",IF(R1059&gt;=70,"B","C"))</f>
        <v/>
      </c>
      <c r="R1059" s="13">
        <f>MIN(100,50+IF(M1059="是",10,0)+IF(N1059="是",10,0)+IF(L1059&lt;=100,10,IF(L1059&lt;=300,5,0))+IF(J1059&lt;=20,10,IF(J1059&lt;=50,5,0))+IF(K1059-J1059&lt;=20,5,0)+IF(F1059="企业官网",5,0))</f>
        <v/>
      </c>
      <c r="S1059" s="10">
        <f>IF(Q1059="A","价格与起订量有优势，建议优先询盘",IF(Q1059="B","条件较均衡，可作为备选","起订量或价格需要进一步确认"))</f>
        <v/>
      </c>
      <c r="T1059" s="10" t="inlineStr">
        <is>
          <t>未联系</t>
        </is>
      </c>
      <c r="U1059" s="10" t="inlineStr">
        <is>
          <t>虚构演示数据</t>
        </is>
      </c>
    </row>
    <row r="1060" ht="21" customHeight="1">
      <c r="A1060" s="10" t="inlineStr">
        <is>
          <t>GYS-1056</t>
        </is>
      </c>
      <c r="B1060" s="10" t="inlineStr">
        <is>
          <t>宁波五金工具供应链1056有限公司（演示）</t>
        </is>
      </c>
      <c r="C1060" s="10" t="inlineStr">
        <is>
          <t>五金工具</t>
        </is>
      </c>
      <c r="D1060" s="10" t="inlineStr">
        <is>
          <t>多功能螺丝刀</t>
        </is>
      </c>
      <c r="E1060" s="10" t="inlineStr">
        <is>
          <t>浙江宁波</t>
        </is>
      </c>
      <c r="F1060" s="10" t="inlineStr">
        <is>
          <t>企业官网</t>
        </is>
      </c>
      <c r="G1060" s="10" t="inlineStr">
        <is>
          <t>黄经理</t>
        </is>
      </c>
      <c r="H1060" s="10" t="inlineStr">
        <is>
          <t>000-0000-1056</t>
        </is>
      </c>
      <c r="I1060" s="10" t="inlineStr">
        <is>
          <t>DEMO_GYS_1056</t>
        </is>
      </c>
      <c r="J1060" s="11" t="n">
        <v>4</v>
      </c>
      <c r="K1060" s="11" t="n">
        <v>17.6</v>
      </c>
      <c r="L1060" s="12" t="n">
        <v>20</v>
      </c>
      <c r="M1060" s="10" t="inlineStr">
        <is>
          <t>否</t>
        </is>
      </c>
      <c r="N1060" s="10" t="inlineStr">
        <is>
          <t>否</t>
        </is>
      </c>
      <c r="O1060" s="10" t="inlineStr">
        <is>
          <t>supplier1056@example.com</t>
        </is>
      </c>
      <c r="P1060" s="10" t="inlineStr">
        <is>
          <t>https://example.com/supplier/1056</t>
        </is>
      </c>
      <c r="Q1060" s="10">
        <f>IF(R1060&gt;=85,"A",IF(R1060&gt;=70,"B","C"))</f>
        <v/>
      </c>
      <c r="R1060" s="13">
        <f>MIN(100,50+IF(M1060="是",10,0)+IF(N1060="是",10,0)+IF(L1060&lt;=100,10,IF(L1060&lt;=300,5,0))+IF(J1060&lt;=20,10,IF(J1060&lt;=50,5,0))+IF(K1060-J1060&lt;=20,5,0)+IF(F1060="企业官网",5,0))</f>
        <v/>
      </c>
      <c r="S1060" s="10">
        <f>IF(Q1060="A","价格与起订量有优势，建议优先询盘",IF(Q1060="B","条件较均衡，可作为备选","起订量或价格需要进一步确认"))</f>
        <v/>
      </c>
      <c r="T1060" s="10" t="inlineStr">
        <is>
          <t>未联系</t>
        </is>
      </c>
      <c r="U1060" s="10" t="inlineStr">
        <is>
          <t>虚构演示数据</t>
        </is>
      </c>
    </row>
    <row r="1061" ht="21" customHeight="1">
      <c r="A1061" s="10" t="inlineStr">
        <is>
          <t>GYS-1057</t>
        </is>
      </c>
      <c r="B1061" s="10" t="inlineStr">
        <is>
          <t>深圳鞋靴配件供应链1057有限公司（演示）</t>
        </is>
      </c>
      <c r="C1061" s="10" t="inlineStr">
        <is>
          <t>鞋靴配件</t>
        </is>
      </c>
      <c r="D1061" s="10" t="inlineStr">
        <is>
          <t>防磨脚贴</t>
        </is>
      </c>
      <c r="E1061" s="10" t="inlineStr">
        <is>
          <t>广东深圳</t>
        </is>
      </c>
      <c r="F1061" s="10" t="inlineStr">
        <is>
          <t>义乌购</t>
        </is>
      </c>
      <c r="G1061" s="10" t="inlineStr">
        <is>
          <t>赵经理</t>
        </is>
      </c>
      <c r="H1061" s="10" t="inlineStr">
        <is>
          <t>000-0000-1057</t>
        </is>
      </c>
      <c r="I1061" s="10" t="inlineStr">
        <is>
          <t>DEMO_GYS_1057</t>
        </is>
      </c>
      <c r="J1061" s="11" t="n">
        <v>5.7</v>
      </c>
      <c r="K1061" s="11" t="n">
        <v>20.4</v>
      </c>
      <c r="L1061" s="12" t="n">
        <v>500</v>
      </c>
      <c r="M1061" s="10" t="inlineStr">
        <is>
          <t>是</t>
        </is>
      </c>
      <c r="N1061" s="10" t="inlineStr">
        <is>
          <t>是</t>
        </is>
      </c>
      <c r="O1061" s="10" t="inlineStr">
        <is>
          <t>supplier1057@example.com</t>
        </is>
      </c>
      <c r="P1061" s="10" t="inlineStr">
        <is>
          <t>https://example.com/supplier/1057</t>
        </is>
      </c>
      <c r="Q1061" s="10">
        <f>IF(R1061&gt;=85,"A",IF(R1061&gt;=70,"B","C"))</f>
        <v/>
      </c>
      <c r="R1061" s="13">
        <f>MIN(100,50+IF(M1061="是",10,0)+IF(N1061="是",10,0)+IF(L1061&lt;=100,10,IF(L1061&lt;=300,5,0))+IF(J1061&lt;=20,10,IF(J1061&lt;=50,5,0))+IF(K1061-J1061&lt;=20,5,0)+IF(F1061="企业官网",5,0))</f>
        <v/>
      </c>
      <c r="S1061" s="10">
        <f>IF(Q1061="A","价格与起订量有优势，建议优先询盘",IF(Q1061="B","条件较均衡，可作为备选","起订量或价格需要进一步确认"))</f>
        <v/>
      </c>
      <c r="T1061" s="10" t="inlineStr">
        <is>
          <t>未联系</t>
        </is>
      </c>
      <c r="U1061" s="10" t="inlineStr">
        <is>
          <t>虚构演示数据</t>
        </is>
      </c>
    </row>
    <row r="1062" ht="21" customHeight="1">
      <c r="A1062" s="10" t="inlineStr">
        <is>
          <t>GYS-1058</t>
        </is>
      </c>
      <c r="B1062" s="10" t="inlineStr">
        <is>
          <t>佛山食品包装供应链1058有限公司（演示）</t>
        </is>
      </c>
      <c r="C1062" s="10" t="inlineStr">
        <is>
          <t>食品包装</t>
        </is>
      </c>
      <c r="D1062" s="10" t="inlineStr">
        <is>
          <t>密封包装袋</t>
        </is>
      </c>
      <c r="E1062" s="10" t="inlineStr">
        <is>
          <t>广东佛山</t>
        </is>
      </c>
      <c r="F1062" s="10" t="inlineStr">
        <is>
          <t>慧聪网</t>
        </is>
      </c>
      <c r="G1062" s="10" t="inlineStr">
        <is>
          <t>周经理</t>
        </is>
      </c>
      <c r="H1062" s="10" t="inlineStr">
        <is>
          <t>000-0000-1058</t>
        </is>
      </c>
      <c r="I1062" s="10" t="inlineStr">
        <is>
          <t>DEMO_GYS_1058</t>
        </is>
      </c>
      <c r="J1062" s="11" t="n">
        <v>7.4</v>
      </c>
      <c r="K1062" s="11" t="n">
        <v>23.2</v>
      </c>
      <c r="L1062" s="12" t="n">
        <v>300</v>
      </c>
      <c r="M1062" s="10" t="inlineStr">
        <is>
          <t>是</t>
        </is>
      </c>
      <c r="N1062" s="10" t="inlineStr">
        <is>
          <t>是</t>
        </is>
      </c>
      <c r="O1062" s="10" t="inlineStr">
        <is>
          <t>supplier1058@example.com</t>
        </is>
      </c>
      <c r="P1062" s="10" t="inlineStr">
        <is>
          <t>https://example.com/supplier/1058</t>
        </is>
      </c>
      <c r="Q1062" s="10">
        <f>IF(R1062&gt;=85,"A",IF(R1062&gt;=70,"B","C"))</f>
        <v/>
      </c>
      <c r="R1062" s="13">
        <f>MIN(100,50+IF(M1062="是",10,0)+IF(N1062="是",10,0)+IF(L1062&lt;=100,10,IF(L1062&lt;=300,5,0))+IF(J1062&lt;=20,10,IF(J1062&lt;=50,5,0))+IF(K1062-J1062&lt;=20,5,0)+IF(F1062="企业官网",5,0))</f>
        <v/>
      </c>
      <c r="S1062" s="10">
        <f>IF(Q1062="A","价格与起订量有优势，建议优先询盘",IF(Q1062="B","条件较均衡，可作为备选","起订量或价格需要进一步确认"))</f>
        <v/>
      </c>
      <c r="T1062" s="10" t="inlineStr">
        <is>
          <t>未联系</t>
        </is>
      </c>
      <c r="U1062" s="10" t="inlineStr">
        <is>
          <t>虚构演示数据</t>
        </is>
      </c>
    </row>
    <row r="1063" ht="21" customHeight="1">
      <c r="A1063" s="10" t="inlineStr">
        <is>
          <t>GYS-1059</t>
        </is>
      </c>
      <c r="B1063" s="10" t="inlineStr">
        <is>
          <t>苏州户外照明供应链1059有限公司（演示）</t>
        </is>
      </c>
      <c r="C1063" s="10" t="inlineStr">
        <is>
          <t>户外照明</t>
        </is>
      </c>
      <c r="D1063" s="10" t="inlineStr">
        <is>
          <t>便携露营灯</t>
        </is>
      </c>
      <c r="E1063" s="10" t="inlineStr">
        <is>
          <t>江苏苏州</t>
        </is>
      </c>
      <c r="F1063" s="10" t="inlineStr">
        <is>
          <t>1688</t>
        </is>
      </c>
      <c r="G1063" s="10" t="inlineStr">
        <is>
          <t>吴经理</t>
        </is>
      </c>
      <c r="H1063" s="10" t="inlineStr">
        <is>
          <t>000-0000-1059</t>
        </is>
      </c>
      <c r="I1063" s="10" t="inlineStr">
        <is>
          <t>DEMO_GYS_1059</t>
        </is>
      </c>
      <c r="J1063" s="11" t="n">
        <v>9.1</v>
      </c>
      <c r="K1063" s="11" t="n">
        <v>26</v>
      </c>
      <c r="L1063" s="12" t="n">
        <v>200</v>
      </c>
      <c r="M1063" s="10" t="inlineStr">
        <is>
          <t>是</t>
        </is>
      </c>
      <c r="N1063" s="10" t="inlineStr">
        <is>
          <t>否</t>
        </is>
      </c>
      <c r="O1063" s="10" t="inlineStr">
        <is>
          <t>supplier1059@example.com</t>
        </is>
      </c>
      <c r="P1063" s="10" t="inlineStr">
        <is>
          <t>https://example.com/supplier/1059</t>
        </is>
      </c>
      <c r="Q1063" s="10">
        <f>IF(R1063&gt;=85,"A",IF(R1063&gt;=70,"B","C"))</f>
        <v/>
      </c>
      <c r="R1063" s="13">
        <f>MIN(100,50+IF(M1063="是",10,0)+IF(N1063="是",10,0)+IF(L1063&lt;=100,10,IF(L1063&lt;=300,5,0))+IF(J1063&lt;=20,10,IF(J1063&lt;=50,5,0))+IF(K1063-J1063&lt;=20,5,0)+IF(F1063="企业官网",5,0))</f>
        <v/>
      </c>
      <c r="S1063" s="10">
        <f>IF(Q1063="A","价格与起订量有优势，建议优先询盘",IF(Q1063="B","条件较均衡，可作为备选","起订量或价格需要进一步确认"))</f>
        <v/>
      </c>
      <c r="T1063" s="10" t="inlineStr">
        <is>
          <t>未联系</t>
        </is>
      </c>
      <c r="U1063" s="10" t="inlineStr">
        <is>
          <t>虚构演示数据</t>
        </is>
      </c>
    </row>
    <row r="1064" ht="21" customHeight="1">
      <c r="A1064" s="10" t="inlineStr">
        <is>
          <t>GYS-1060</t>
        </is>
      </c>
      <c r="B1064" s="10" t="inlineStr">
        <is>
          <t>白沟健康用品供应链1060有限公司（演示）</t>
        </is>
      </c>
      <c r="C1064" s="10" t="inlineStr">
        <is>
          <t>健康用品</t>
        </is>
      </c>
      <c r="D1064" s="10" t="inlineStr">
        <is>
          <t>热敷眼罩</t>
        </is>
      </c>
      <c r="E1064" s="10" t="inlineStr">
        <is>
          <t>河北白沟</t>
        </is>
      </c>
      <c r="F1064" s="10" t="inlineStr">
        <is>
          <t>中国制造网</t>
        </is>
      </c>
      <c r="G1064" s="10" t="inlineStr">
        <is>
          <t>陈经理</t>
        </is>
      </c>
      <c r="H1064" s="10" t="inlineStr">
        <is>
          <t>000-0000-1060</t>
        </is>
      </c>
      <c r="I1064" s="10" t="inlineStr">
        <is>
          <t>DEMO_GYS_1060</t>
        </is>
      </c>
      <c r="J1064" s="11" t="n">
        <v>10.8</v>
      </c>
      <c r="K1064" s="11" t="n">
        <v>28.8</v>
      </c>
      <c r="L1064" s="12" t="n">
        <v>100</v>
      </c>
      <c r="M1064" s="10" t="inlineStr">
        <is>
          <t>否</t>
        </is>
      </c>
      <c r="N1064" s="10" t="inlineStr">
        <is>
          <t>是</t>
        </is>
      </c>
      <c r="O1064" s="10" t="inlineStr">
        <is>
          <t>supplier1060@example.com</t>
        </is>
      </c>
      <c r="P1064" s="10" t="inlineStr">
        <is>
          <t>https://example.com/supplier/1060</t>
        </is>
      </c>
      <c r="Q1064" s="10">
        <f>IF(R1064&gt;=85,"A",IF(R1064&gt;=70,"B","C"))</f>
        <v/>
      </c>
      <c r="R1064" s="13">
        <f>MIN(100,50+IF(M1064="是",10,0)+IF(N1064="是",10,0)+IF(L1064&lt;=100,10,IF(L1064&lt;=300,5,0))+IF(J1064&lt;=20,10,IF(J1064&lt;=50,5,0))+IF(K1064-J1064&lt;=20,5,0)+IF(F1064="企业官网",5,0))</f>
        <v/>
      </c>
      <c r="S1064" s="10">
        <f>IF(Q1064="A","价格与起订量有优势，建议优先询盘",IF(Q1064="B","条件较均衡，可作为备选","起订量或价格需要进一步确认"))</f>
        <v/>
      </c>
      <c r="T1064" s="10" t="inlineStr">
        <is>
          <t>未联系</t>
        </is>
      </c>
      <c r="U1064" s="10" t="inlineStr">
        <is>
          <t>虚构演示数据</t>
        </is>
      </c>
    </row>
    <row r="1065" ht="21" customHeight="1">
      <c r="A1065" s="10" t="inlineStr">
        <is>
          <t>GYS-1061</t>
        </is>
      </c>
      <c r="B1065" s="10" t="inlineStr">
        <is>
          <t>义乌服饰内衣供应链1061有限公司（演示）</t>
        </is>
      </c>
      <c r="C1065" s="10" t="inlineStr">
        <is>
          <t>服饰内衣</t>
        </is>
      </c>
      <c r="D1065" s="10" t="inlineStr">
        <is>
          <t>防滑袜</t>
        </is>
      </c>
      <c r="E1065" s="10" t="inlineStr">
        <is>
          <t>浙江义乌</t>
        </is>
      </c>
      <c r="F1065" s="10" t="inlineStr">
        <is>
          <t>企业官网</t>
        </is>
      </c>
      <c r="G1065" s="10" t="inlineStr">
        <is>
          <t>林经理</t>
        </is>
      </c>
      <c r="H1065" s="10" t="inlineStr">
        <is>
          <t>000-0000-1061</t>
        </is>
      </c>
      <c r="I1065" s="10" t="inlineStr">
        <is>
          <t>DEMO_GYS_1061</t>
        </is>
      </c>
      <c r="J1065" s="11" t="n">
        <v>12.5</v>
      </c>
      <c r="K1065" s="11" t="n">
        <v>31.6</v>
      </c>
      <c r="L1065" s="12" t="n">
        <v>50</v>
      </c>
      <c r="M1065" s="10" t="inlineStr">
        <is>
          <t>是</t>
        </is>
      </c>
      <c r="N1065" s="10" t="inlineStr">
        <is>
          <t>是</t>
        </is>
      </c>
      <c r="O1065" s="10" t="inlineStr">
        <is>
          <t>supplier1061@example.com</t>
        </is>
      </c>
      <c r="P1065" s="10" t="inlineStr">
        <is>
          <t>https://example.com/supplier/1061</t>
        </is>
      </c>
      <c r="Q1065" s="10">
        <f>IF(R1065&gt;=85,"A",IF(R1065&gt;=70,"B","C"))</f>
        <v/>
      </c>
      <c r="R1065" s="13">
        <f>MIN(100,50+IF(M1065="是",10,0)+IF(N1065="是",10,0)+IF(L1065&lt;=100,10,IF(L1065&lt;=300,5,0))+IF(J1065&lt;=20,10,IF(J1065&lt;=50,5,0))+IF(K1065-J1065&lt;=20,5,0)+IF(F1065="企业官网",5,0))</f>
        <v/>
      </c>
      <c r="S1065" s="10">
        <f>IF(Q1065="A","价格与起订量有优势，建议优先询盘",IF(Q1065="B","条件较均衡，可作为备选","起订量或价格需要进一步确认"))</f>
        <v/>
      </c>
      <c r="T1065" s="10" t="inlineStr">
        <is>
          <t>未联系</t>
        </is>
      </c>
      <c r="U1065" s="10" t="inlineStr">
        <is>
          <t>虚构演示数据</t>
        </is>
      </c>
    </row>
    <row r="1066" ht="21" customHeight="1">
      <c r="A1066" s="10" t="inlineStr">
        <is>
          <t>GYS-1062</t>
        </is>
      </c>
      <c r="B1066" s="10" t="inlineStr">
        <is>
          <t>台州家居日用供应链1062有限公司（演示）</t>
        </is>
      </c>
      <c r="C1066" s="10" t="inlineStr">
        <is>
          <t>家居日用</t>
        </is>
      </c>
      <c r="D1066" s="10" t="inlineStr">
        <is>
          <t>折叠收纳箱</t>
        </is>
      </c>
      <c r="E1066" s="10" t="inlineStr">
        <is>
          <t>浙江台州</t>
        </is>
      </c>
      <c r="F1066" s="10" t="inlineStr">
        <is>
          <t>义乌购</t>
        </is>
      </c>
      <c r="G1066" s="10" t="inlineStr">
        <is>
          <t>王经理</t>
        </is>
      </c>
      <c r="H1066" s="10" t="inlineStr">
        <is>
          <t>000-0000-1062</t>
        </is>
      </c>
      <c r="I1066" s="10" t="inlineStr">
        <is>
          <t>DEMO_GYS_1062</t>
        </is>
      </c>
      <c r="J1066" s="11" t="n">
        <v>14.2</v>
      </c>
      <c r="K1066" s="11" t="n">
        <v>34.4</v>
      </c>
      <c r="L1066" s="12" t="n">
        <v>20</v>
      </c>
      <c r="M1066" s="10" t="inlineStr">
        <is>
          <t>是</t>
        </is>
      </c>
      <c r="N1066" s="10" t="inlineStr">
        <is>
          <t>否</t>
        </is>
      </c>
      <c r="O1066" s="10" t="inlineStr">
        <is>
          <t>supplier1062@example.com</t>
        </is>
      </c>
      <c r="P1066" s="10" t="inlineStr">
        <is>
          <t>https://example.com/supplier/1062</t>
        </is>
      </c>
      <c r="Q1066" s="10">
        <f>IF(R1066&gt;=85,"A",IF(R1066&gt;=70,"B","C"))</f>
        <v/>
      </c>
      <c r="R1066" s="13">
        <f>MIN(100,50+IF(M1066="是",10,0)+IF(N1066="是",10,0)+IF(L1066&lt;=100,10,IF(L1066&lt;=300,5,0))+IF(J1066&lt;=20,10,IF(J1066&lt;=50,5,0))+IF(K1066-J1066&lt;=20,5,0)+IF(F1066="企业官网",5,0))</f>
        <v/>
      </c>
      <c r="S1066" s="10">
        <f>IF(Q1066="A","价格与起订量有优势，建议优先询盘",IF(Q1066="B","条件较均衡，可作为备选","起订量或价格需要进一步确认"))</f>
        <v/>
      </c>
      <c r="T1066" s="10" t="inlineStr">
        <is>
          <t>未联系</t>
        </is>
      </c>
      <c r="U1066" s="10" t="inlineStr">
        <is>
          <t>虚构演示数据</t>
        </is>
      </c>
    </row>
    <row r="1067" ht="21" customHeight="1">
      <c r="A1067" s="10" t="inlineStr">
        <is>
          <t>GYS-1063</t>
        </is>
      </c>
      <c r="B1067" s="10" t="inlineStr">
        <is>
          <t>东莞个护清洁供应链1063有限公司（演示）</t>
        </is>
      </c>
      <c r="C1067" s="10" t="inlineStr">
        <is>
          <t>个护清洁</t>
        </is>
      </c>
      <c r="D1067" s="10" t="inlineStr">
        <is>
          <t>便携洗脸巾</t>
        </is>
      </c>
      <c r="E1067" s="10" t="inlineStr">
        <is>
          <t>广东东莞</t>
        </is>
      </c>
      <c r="F1067" s="10" t="inlineStr">
        <is>
          <t>慧聪网</t>
        </is>
      </c>
      <c r="G1067" s="10" t="inlineStr">
        <is>
          <t>李经理</t>
        </is>
      </c>
      <c r="H1067" s="10" t="inlineStr">
        <is>
          <t>000-0000-1063</t>
        </is>
      </c>
      <c r="I1067" s="10" t="inlineStr">
        <is>
          <t>DEMO_GYS_1063</t>
        </is>
      </c>
      <c r="J1067" s="11" t="n">
        <v>15.9</v>
      </c>
      <c r="K1067" s="11" t="n">
        <v>37.2</v>
      </c>
      <c r="L1067" s="12" t="n">
        <v>500</v>
      </c>
      <c r="M1067" s="10" t="inlineStr">
        <is>
          <t>是</t>
        </is>
      </c>
      <c r="N1067" s="10" t="inlineStr">
        <is>
          <t>是</t>
        </is>
      </c>
      <c r="O1067" s="10" t="inlineStr">
        <is>
          <t>supplier1063@example.com</t>
        </is>
      </c>
      <c r="P1067" s="10" t="inlineStr">
        <is>
          <t>https://example.com/supplier/1063</t>
        </is>
      </c>
      <c r="Q1067" s="10">
        <f>IF(R1067&gt;=85,"A",IF(R1067&gt;=70,"B","C"))</f>
        <v/>
      </c>
      <c r="R1067" s="13">
        <f>MIN(100,50+IF(M1067="是",10,0)+IF(N1067="是",10,0)+IF(L1067&lt;=100,10,IF(L1067&lt;=300,5,0))+IF(J1067&lt;=20,10,IF(J1067&lt;=50,5,0))+IF(K1067-J1067&lt;=20,5,0)+IF(F1067="企业官网",5,0))</f>
        <v/>
      </c>
      <c r="S1067" s="10">
        <f>IF(Q1067="A","价格与起订量有优势，建议优先询盘",IF(Q1067="B","条件较均衡，可作为备选","起订量或价格需要进一步确认"))</f>
        <v/>
      </c>
      <c r="T1067" s="10" t="inlineStr">
        <is>
          <t>未联系</t>
        </is>
      </c>
      <c r="U1067" s="10" t="inlineStr">
        <is>
          <t>虚构演示数据</t>
        </is>
      </c>
    </row>
    <row r="1068" ht="21" customHeight="1">
      <c r="A1068" s="10" t="inlineStr">
        <is>
          <t>GYS-1064</t>
        </is>
      </c>
      <c r="B1068" s="10" t="inlineStr">
        <is>
          <t>厦门厨房用品供应链1064有限公司（演示）</t>
        </is>
      </c>
      <c r="C1068" s="10" t="inlineStr">
        <is>
          <t>厨房用品</t>
        </is>
      </c>
      <c r="D1068" s="10" t="inlineStr">
        <is>
          <t>硅胶保鲜盒</t>
        </is>
      </c>
      <c r="E1068" s="10" t="inlineStr">
        <is>
          <t>福建厦门</t>
        </is>
      </c>
      <c r="F1068" s="10" t="inlineStr">
        <is>
          <t>1688</t>
        </is>
      </c>
      <c r="G1068" s="10" t="inlineStr">
        <is>
          <t>张经理</t>
        </is>
      </c>
      <c r="H1068" s="10" t="inlineStr">
        <is>
          <t>000-0000-1064</t>
        </is>
      </c>
      <c r="I1068" s="10" t="inlineStr">
        <is>
          <t>DEMO_GYS_1064</t>
        </is>
      </c>
      <c r="J1068" s="11" t="n">
        <v>17.6</v>
      </c>
      <c r="K1068" s="11" t="n">
        <v>22</v>
      </c>
      <c r="L1068" s="12" t="n">
        <v>300</v>
      </c>
      <c r="M1068" s="10" t="inlineStr">
        <is>
          <t>否</t>
        </is>
      </c>
      <c r="N1068" s="10" t="inlineStr">
        <is>
          <t>是</t>
        </is>
      </c>
      <c r="O1068" s="10" t="inlineStr">
        <is>
          <t>supplier1064@example.com</t>
        </is>
      </c>
      <c r="P1068" s="10" t="inlineStr">
        <is>
          <t>https://example.com/supplier/1064</t>
        </is>
      </c>
      <c r="Q1068" s="10">
        <f>IF(R1068&gt;=85,"A",IF(R1068&gt;=70,"B","C"))</f>
        <v/>
      </c>
      <c r="R1068" s="13">
        <f>MIN(100,50+IF(M1068="是",10,0)+IF(N1068="是",10,0)+IF(L1068&lt;=100,10,IF(L1068&lt;=300,5,0))+IF(J1068&lt;=20,10,IF(J1068&lt;=50,5,0))+IF(K1068-J1068&lt;=20,5,0)+IF(F1068="企业官网",5,0))</f>
        <v/>
      </c>
      <c r="S1068" s="10">
        <f>IF(Q1068="A","价格与起订量有优势，建议优先询盘",IF(Q1068="B","条件较均衡，可作为备选","起订量或价格需要进一步确认"))</f>
        <v/>
      </c>
      <c r="T1068" s="10" t="inlineStr">
        <is>
          <t>未联系</t>
        </is>
      </c>
      <c r="U1068" s="10" t="inlineStr">
        <is>
          <t>虚构演示数据</t>
        </is>
      </c>
    </row>
    <row r="1069" ht="21" customHeight="1">
      <c r="A1069" s="10" t="inlineStr">
        <is>
          <t>GYS-1065</t>
        </is>
      </c>
      <c r="B1069" s="10" t="inlineStr">
        <is>
          <t>临沂数码配件供应链1065有限公司（演示）</t>
        </is>
      </c>
      <c r="C1069" s="10" t="inlineStr">
        <is>
          <t>数码配件</t>
        </is>
      </c>
      <c r="D1069" s="10" t="inlineStr">
        <is>
          <t>磁吸手机支架</t>
        </is>
      </c>
      <c r="E1069" s="10" t="inlineStr">
        <is>
          <t>山东临沂</t>
        </is>
      </c>
      <c r="F1069" s="10" t="inlineStr">
        <is>
          <t>中国制造网</t>
        </is>
      </c>
      <c r="G1069" s="10" t="inlineStr">
        <is>
          <t>刘经理</t>
        </is>
      </c>
      <c r="H1069" s="10" t="inlineStr">
        <is>
          <t>000-0000-1065</t>
        </is>
      </c>
      <c r="I1069" s="10" t="inlineStr">
        <is>
          <t>DEMO_GYS_1065</t>
        </is>
      </c>
      <c r="J1069" s="11" t="n">
        <v>19.3</v>
      </c>
      <c r="K1069" s="11" t="n">
        <v>24.8</v>
      </c>
      <c r="L1069" s="12" t="n">
        <v>200</v>
      </c>
      <c r="M1069" s="10" t="inlineStr">
        <is>
          <t>是</t>
        </is>
      </c>
      <c r="N1069" s="10" t="inlineStr">
        <is>
          <t>否</t>
        </is>
      </c>
      <c r="O1069" s="10" t="inlineStr">
        <is>
          <t>supplier1065@example.com</t>
        </is>
      </c>
      <c r="P1069" s="10" t="inlineStr">
        <is>
          <t>https://example.com/supplier/1065</t>
        </is>
      </c>
      <c r="Q1069" s="10">
        <f>IF(R1069&gt;=85,"A",IF(R1069&gt;=70,"B","C"))</f>
        <v/>
      </c>
      <c r="R1069" s="13">
        <f>MIN(100,50+IF(M1069="是",10,0)+IF(N1069="是",10,0)+IF(L1069&lt;=100,10,IF(L1069&lt;=300,5,0))+IF(J1069&lt;=20,10,IF(J1069&lt;=50,5,0))+IF(K1069-J1069&lt;=20,5,0)+IF(F1069="企业官网",5,0))</f>
        <v/>
      </c>
      <c r="S1069" s="10">
        <f>IF(Q1069="A","价格与起订量有优势，建议优先询盘",IF(Q1069="B","条件较均衡，可作为备选","起订量或价格需要进一步确认"))</f>
        <v/>
      </c>
      <c r="T1069" s="10" t="inlineStr">
        <is>
          <t>未联系</t>
        </is>
      </c>
      <c r="U1069" s="10" t="inlineStr">
        <is>
          <t>虚构演示数据</t>
        </is>
      </c>
    </row>
    <row r="1070" ht="21" customHeight="1">
      <c r="A1070" s="10" t="inlineStr">
        <is>
          <t>GYS-1066</t>
        </is>
      </c>
      <c r="B1070" s="10" t="inlineStr">
        <is>
          <t>南昌宠物用品供应链1066有限公司（演示）</t>
        </is>
      </c>
      <c r="C1070" s="10" t="inlineStr">
        <is>
          <t>宠物用品</t>
        </is>
      </c>
      <c r="D1070" s="10" t="inlineStr">
        <is>
          <t>宠物清洁手套</t>
        </is>
      </c>
      <c r="E1070" s="10" t="inlineStr">
        <is>
          <t>江西南昌</t>
        </is>
      </c>
      <c r="F1070" s="10" t="inlineStr">
        <is>
          <t>企业官网</t>
        </is>
      </c>
      <c r="G1070" s="10" t="inlineStr">
        <is>
          <t>黄经理</t>
        </is>
      </c>
      <c r="H1070" s="10" t="inlineStr">
        <is>
          <t>000-0000-1066</t>
        </is>
      </c>
      <c r="I1070" s="10" t="inlineStr">
        <is>
          <t>DEMO_GYS_1066</t>
        </is>
      </c>
      <c r="J1070" s="11" t="n">
        <v>21</v>
      </c>
      <c r="K1070" s="11" t="n">
        <v>27.6</v>
      </c>
      <c r="L1070" s="12" t="n">
        <v>100</v>
      </c>
      <c r="M1070" s="10" t="inlineStr">
        <is>
          <t>是</t>
        </is>
      </c>
      <c r="N1070" s="10" t="inlineStr">
        <is>
          <t>是</t>
        </is>
      </c>
      <c r="O1070" s="10" t="inlineStr">
        <is>
          <t>supplier1066@example.com</t>
        </is>
      </c>
      <c r="P1070" s="10" t="inlineStr">
        <is>
          <t>https://example.com/supplier/1066</t>
        </is>
      </c>
      <c r="Q1070" s="10">
        <f>IF(R1070&gt;=85,"A",IF(R1070&gt;=70,"B","C"))</f>
        <v/>
      </c>
      <c r="R1070" s="13">
        <f>MIN(100,50+IF(M1070="是",10,0)+IF(N1070="是",10,0)+IF(L1070&lt;=100,10,IF(L1070&lt;=300,5,0))+IF(J1070&lt;=20,10,IF(J1070&lt;=50,5,0))+IF(K1070-J1070&lt;=20,5,0)+IF(F1070="企业官网",5,0))</f>
        <v/>
      </c>
      <c r="S1070" s="10">
        <f>IF(Q1070="A","价格与起订量有优势，建议优先询盘",IF(Q1070="B","条件较均衡，可作为备选","起订量或价格需要进一步确认"))</f>
        <v/>
      </c>
      <c r="T1070" s="10" t="inlineStr">
        <is>
          <t>未联系</t>
        </is>
      </c>
      <c r="U1070" s="10" t="inlineStr">
        <is>
          <t>虚构演示数据</t>
        </is>
      </c>
    </row>
    <row r="1071" ht="21" customHeight="1">
      <c r="A1071" s="10" t="inlineStr">
        <is>
          <t>GYS-1067</t>
        </is>
      </c>
      <c r="B1071" s="10" t="inlineStr">
        <is>
          <t>温州母婴用品供应链1067有限公司（演示）</t>
        </is>
      </c>
      <c r="C1071" s="10" t="inlineStr">
        <is>
          <t>母婴用品</t>
        </is>
      </c>
      <c r="D1071" s="10" t="inlineStr">
        <is>
          <t>婴儿防撞条</t>
        </is>
      </c>
      <c r="E1071" s="10" t="inlineStr">
        <is>
          <t>浙江温州</t>
        </is>
      </c>
      <c r="F1071" s="10" t="inlineStr">
        <is>
          <t>义乌购</t>
        </is>
      </c>
      <c r="G1071" s="10" t="inlineStr">
        <is>
          <t>赵经理</t>
        </is>
      </c>
      <c r="H1071" s="10" t="inlineStr">
        <is>
          <t>000-0000-1067</t>
        </is>
      </c>
      <c r="I1071" s="10" t="inlineStr">
        <is>
          <t>DEMO_GYS_1067</t>
        </is>
      </c>
      <c r="J1071" s="11" t="n">
        <v>22.7</v>
      </c>
      <c r="K1071" s="11" t="n">
        <v>30.4</v>
      </c>
      <c r="L1071" s="12" t="n">
        <v>50</v>
      </c>
      <c r="M1071" s="10" t="inlineStr">
        <is>
          <t>是</t>
        </is>
      </c>
      <c r="N1071" s="10" t="inlineStr">
        <is>
          <t>是</t>
        </is>
      </c>
      <c r="O1071" s="10" t="inlineStr">
        <is>
          <t>supplier1067@example.com</t>
        </is>
      </c>
      <c r="P1071" s="10" t="inlineStr">
        <is>
          <t>https://example.com/supplier/1067</t>
        </is>
      </c>
      <c r="Q1071" s="10">
        <f>IF(R1071&gt;=85,"A",IF(R1071&gt;=70,"B","C"))</f>
        <v/>
      </c>
      <c r="R1071" s="13">
        <f>MIN(100,50+IF(M1071="是",10,0)+IF(N1071="是",10,0)+IF(L1071&lt;=100,10,IF(L1071&lt;=300,5,0))+IF(J1071&lt;=20,10,IF(J1071&lt;=50,5,0))+IF(K1071-J1071&lt;=20,5,0)+IF(F1071="企业官网",5,0))</f>
        <v/>
      </c>
      <c r="S1071" s="10">
        <f>IF(Q1071="A","价格与起订量有优势，建议优先询盘",IF(Q1071="B","条件较均衡，可作为备选","起订量或价格需要进一步确认"))</f>
        <v/>
      </c>
      <c r="T1071" s="10" t="inlineStr">
        <is>
          <t>未联系</t>
        </is>
      </c>
      <c r="U1071" s="10" t="inlineStr">
        <is>
          <t>虚构演示数据</t>
        </is>
      </c>
    </row>
    <row r="1072" ht="21" customHeight="1">
      <c r="A1072" s="10" t="inlineStr">
        <is>
          <t>GYS-1068</t>
        </is>
      </c>
      <c r="B1072" s="10" t="inlineStr">
        <is>
          <t>广州运动户外供应链1068有限公司（演示）</t>
        </is>
      </c>
      <c r="C1072" s="10" t="inlineStr">
        <is>
          <t>运动户外</t>
        </is>
      </c>
      <c r="D1072" s="10" t="inlineStr">
        <is>
          <t>弹力训练带</t>
        </is>
      </c>
      <c r="E1072" s="10" t="inlineStr">
        <is>
          <t>广东广州</t>
        </is>
      </c>
      <c r="F1072" s="10" t="inlineStr">
        <is>
          <t>慧聪网</t>
        </is>
      </c>
      <c r="G1072" s="10" t="inlineStr">
        <is>
          <t>周经理</t>
        </is>
      </c>
      <c r="H1072" s="10" t="inlineStr">
        <is>
          <t>000-0000-1068</t>
        </is>
      </c>
      <c r="I1072" s="10" t="inlineStr">
        <is>
          <t>DEMO_GYS_1068</t>
        </is>
      </c>
      <c r="J1072" s="11" t="n">
        <v>24.4</v>
      </c>
      <c r="K1072" s="11" t="n">
        <v>33.2</v>
      </c>
      <c r="L1072" s="12" t="n">
        <v>20</v>
      </c>
      <c r="M1072" s="10" t="inlineStr">
        <is>
          <t>否</t>
        </is>
      </c>
      <c r="N1072" s="10" t="inlineStr">
        <is>
          <t>否</t>
        </is>
      </c>
      <c r="O1072" s="10" t="inlineStr">
        <is>
          <t>supplier1068@example.com</t>
        </is>
      </c>
      <c r="P1072" s="10" t="inlineStr">
        <is>
          <t>https://example.com/supplier/1068</t>
        </is>
      </c>
      <c r="Q1072" s="10">
        <f>IF(R1072&gt;=85,"A",IF(R1072&gt;=70,"B","C"))</f>
        <v/>
      </c>
      <c r="R1072" s="13">
        <f>MIN(100,50+IF(M1072="是",10,0)+IF(N1072="是",10,0)+IF(L1072&lt;=100,10,IF(L1072&lt;=300,5,0))+IF(J1072&lt;=20,10,IF(J1072&lt;=50,5,0))+IF(K1072-J1072&lt;=20,5,0)+IF(F1072="企业官网",5,0))</f>
        <v/>
      </c>
      <c r="S1072" s="10">
        <f>IF(Q1072="A","价格与起订量有优势，建议优先询盘",IF(Q1072="B","条件较均衡，可作为备选","起订量或价格需要进一步确认"))</f>
        <v/>
      </c>
      <c r="T1072" s="10" t="inlineStr">
        <is>
          <t>未联系</t>
        </is>
      </c>
      <c r="U1072" s="10" t="inlineStr">
        <is>
          <t>虚构演示数据</t>
        </is>
      </c>
    </row>
    <row r="1073" ht="21" customHeight="1">
      <c r="A1073" s="10" t="inlineStr">
        <is>
          <t>GYS-1069</t>
        </is>
      </c>
      <c r="B1073" s="10" t="inlineStr">
        <is>
          <t>泉州办公文具供应链1069有限公司（演示）</t>
        </is>
      </c>
      <c r="C1073" s="10" t="inlineStr">
        <is>
          <t>办公文具</t>
        </is>
      </c>
      <c r="D1073" s="10" t="inlineStr">
        <is>
          <t>桌面收纳架</t>
        </is>
      </c>
      <c r="E1073" s="10" t="inlineStr">
        <is>
          <t>福建泉州</t>
        </is>
      </c>
      <c r="F1073" s="10" t="inlineStr">
        <is>
          <t>1688</t>
        </is>
      </c>
      <c r="G1073" s="10" t="inlineStr">
        <is>
          <t>吴经理</t>
        </is>
      </c>
      <c r="H1073" s="10" t="inlineStr">
        <is>
          <t>000-0000-1069</t>
        </is>
      </c>
      <c r="I1073" s="10" t="inlineStr">
        <is>
          <t>DEMO_GYS_1069</t>
        </is>
      </c>
      <c r="J1073" s="11" t="n">
        <v>26.1</v>
      </c>
      <c r="K1073" s="11" t="n">
        <v>36</v>
      </c>
      <c r="L1073" s="12" t="n">
        <v>500</v>
      </c>
      <c r="M1073" s="10" t="inlineStr">
        <is>
          <t>是</t>
        </is>
      </c>
      <c r="N1073" s="10" t="inlineStr">
        <is>
          <t>是</t>
        </is>
      </c>
      <c r="O1073" s="10" t="inlineStr">
        <is>
          <t>supplier1069@example.com</t>
        </is>
      </c>
      <c r="P1073" s="10" t="inlineStr">
        <is>
          <t>https://example.com/supplier/1069</t>
        </is>
      </c>
      <c r="Q1073" s="10">
        <f>IF(R1073&gt;=85,"A",IF(R1073&gt;=70,"B","C"))</f>
        <v/>
      </c>
      <c r="R1073" s="13">
        <f>MIN(100,50+IF(M1073="是",10,0)+IF(N1073="是",10,0)+IF(L1073&lt;=100,10,IF(L1073&lt;=300,5,0))+IF(J1073&lt;=20,10,IF(J1073&lt;=50,5,0))+IF(K1073-J1073&lt;=20,5,0)+IF(F1073="企业官网",5,0))</f>
        <v/>
      </c>
      <c r="S1073" s="10">
        <f>IF(Q1073="A","价格与起订量有优势，建议优先询盘",IF(Q1073="B","条件较均衡，可作为备选","起订量或价格需要进一步确认"))</f>
        <v/>
      </c>
      <c r="T1073" s="10" t="inlineStr">
        <is>
          <t>未联系</t>
        </is>
      </c>
      <c r="U1073" s="10" t="inlineStr">
        <is>
          <t>虚构演示数据</t>
        </is>
      </c>
    </row>
    <row r="1074" ht="21" customHeight="1">
      <c r="A1074" s="10" t="inlineStr">
        <is>
          <t>GYS-1070</t>
        </is>
      </c>
      <c r="B1074" s="10" t="inlineStr">
        <is>
          <t>南通汽车用品供应链1070有限公司（演示）</t>
        </is>
      </c>
      <c r="C1074" s="10" t="inlineStr">
        <is>
          <t>汽车用品</t>
        </is>
      </c>
      <c r="D1074" s="10" t="inlineStr">
        <is>
          <t>车载香薰</t>
        </is>
      </c>
      <c r="E1074" s="10" t="inlineStr">
        <is>
          <t>江苏南通</t>
        </is>
      </c>
      <c r="F1074" s="10" t="inlineStr">
        <is>
          <t>中国制造网</t>
        </is>
      </c>
      <c r="G1074" s="10" t="inlineStr">
        <is>
          <t>陈经理</t>
        </is>
      </c>
      <c r="H1074" s="10" t="inlineStr">
        <is>
          <t>000-0000-1070</t>
        </is>
      </c>
      <c r="I1074" s="10" t="inlineStr">
        <is>
          <t>DEMO_GYS_1070</t>
        </is>
      </c>
      <c r="J1074" s="11" t="n">
        <v>27.8</v>
      </c>
      <c r="K1074" s="11" t="n">
        <v>38.8</v>
      </c>
      <c r="L1074" s="12" t="n">
        <v>300</v>
      </c>
      <c r="M1074" s="10" t="inlineStr">
        <is>
          <t>是</t>
        </is>
      </c>
      <c r="N1074" s="10" t="inlineStr">
        <is>
          <t>是</t>
        </is>
      </c>
      <c r="O1074" s="10" t="inlineStr">
        <is>
          <t>supplier1070@example.com</t>
        </is>
      </c>
      <c r="P1074" s="10" t="inlineStr">
        <is>
          <t>https://example.com/supplier/1070</t>
        </is>
      </c>
      <c r="Q1074" s="10">
        <f>IF(R1074&gt;=85,"A",IF(R1074&gt;=70,"B","C"))</f>
        <v/>
      </c>
      <c r="R1074" s="13">
        <f>MIN(100,50+IF(M1074="是",10,0)+IF(N1074="是",10,0)+IF(L1074&lt;=100,10,IF(L1074&lt;=300,5,0))+IF(J1074&lt;=20,10,IF(J1074&lt;=50,5,0))+IF(K1074-J1074&lt;=20,5,0)+IF(F1074="企业官网",5,0))</f>
        <v/>
      </c>
      <c r="S1074" s="10">
        <f>IF(Q1074="A","价格与起订量有优势，建议优先询盘",IF(Q1074="B","条件较均衡，可作为备选","起订量或价格需要进一步确认"))</f>
        <v/>
      </c>
      <c r="T1074" s="10" t="inlineStr">
        <is>
          <t>未联系</t>
        </is>
      </c>
      <c r="U1074" s="10" t="inlineStr">
        <is>
          <t>虚构演示数据</t>
        </is>
      </c>
    </row>
    <row r="1075" ht="21" customHeight="1">
      <c r="A1075" s="10" t="inlineStr">
        <is>
          <t>GYS-1071</t>
        </is>
      </c>
      <c r="B1075" s="10" t="inlineStr">
        <is>
          <t>郑州美容工具供应链1071有限公司（演示）</t>
        </is>
      </c>
      <c r="C1075" s="10" t="inlineStr">
        <is>
          <t>美容工具</t>
        </is>
      </c>
      <c r="D1075" s="10" t="inlineStr">
        <is>
          <t>便携化妆镜</t>
        </is>
      </c>
      <c r="E1075" s="10" t="inlineStr">
        <is>
          <t>河南郑州</t>
        </is>
      </c>
      <c r="F1075" s="10" t="inlineStr">
        <is>
          <t>企业官网</t>
        </is>
      </c>
      <c r="G1075" s="10" t="inlineStr">
        <is>
          <t>林经理</t>
        </is>
      </c>
      <c r="H1075" s="10" t="inlineStr">
        <is>
          <t>000-0000-1071</t>
        </is>
      </c>
      <c r="I1075" s="10" t="inlineStr">
        <is>
          <t>DEMO_GYS_1071</t>
        </is>
      </c>
      <c r="J1075" s="11" t="n">
        <v>29.5</v>
      </c>
      <c r="K1075" s="11" t="n">
        <v>41.6</v>
      </c>
      <c r="L1075" s="12" t="n">
        <v>200</v>
      </c>
      <c r="M1075" s="10" t="inlineStr">
        <is>
          <t>是</t>
        </is>
      </c>
      <c r="N1075" s="10" t="inlineStr">
        <is>
          <t>否</t>
        </is>
      </c>
      <c r="O1075" s="10" t="inlineStr">
        <is>
          <t>supplier1071@example.com</t>
        </is>
      </c>
      <c r="P1075" s="10" t="inlineStr">
        <is>
          <t>https://example.com/supplier/1071</t>
        </is>
      </c>
      <c r="Q1075" s="10">
        <f>IF(R1075&gt;=85,"A",IF(R1075&gt;=70,"B","C"))</f>
        <v/>
      </c>
      <c r="R1075" s="13">
        <f>MIN(100,50+IF(M1075="是",10,0)+IF(N1075="是",10,0)+IF(L1075&lt;=100,10,IF(L1075&lt;=300,5,0))+IF(J1075&lt;=20,10,IF(J1075&lt;=50,5,0))+IF(K1075-J1075&lt;=20,5,0)+IF(F1075="企业官网",5,0))</f>
        <v/>
      </c>
      <c r="S1075" s="10">
        <f>IF(Q1075="A","价格与起订量有优势，建议优先询盘",IF(Q1075="B","条件较均衡，可作为备选","起订量或价格需要进一步确认"))</f>
        <v/>
      </c>
      <c r="T1075" s="10" t="inlineStr">
        <is>
          <t>未联系</t>
        </is>
      </c>
      <c r="U1075" s="10" t="inlineStr">
        <is>
          <t>虚构演示数据</t>
        </is>
      </c>
    </row>
    <row r="1076" ht="21" customHeight="1">
      <c r="A1076" s="10" t="inlineStr">
        <is>
          <t>GYS-1072</t>
        </is>
      </c>
      <c r="B1076" s="10" t="inlineStr">
        <is>
          <t>宁波旅行用品供应链1072有限公司（演示）</t>
        </is>
      </c>
      <c r="C1076" s="10" t="inlineStr">
        <is>
          <t>旅行用品</t>
        </is>
      </c>
      <c r="D1076" s="10" t="inlineStr">
        <is>
          <t>压缩收纳袋</t>
        </is>
      </c>
      <c r="E1076" s="10" t="inlineStr">
        <is>
          <t>浙江宁波</t>
        </is>
      </c>
      <c r="F1076" s="10" t="inlineStr">
        <is>
          <t>义乌购</t>
        </is>
      </c>
      <c r="G1076" s="10" t="inlineStr">
        <is>
          <t>王经理</t>
        </is>
      </c>
      <c r="H1076" s="10" t="inlineStr">
        <is>
          <t>000-0000-1072</t>
        </is>
      </c>
      <c r="I1076" s="10" t="inlineStr">
        <is>
          <t>DEMO_GYS_1072</t>
        </is>
      </c>
      <c r="J1076" s="11" t="n">
        <v>31.2</v>
      </c>
      <c r="K1076" s="11" t="n">
        <v>44.4</v>
      </c>
      <c r="L1076" s="12" t="n">
        <v>100</v>
      </c>
      <c r="M1076" s="10" t="inlineStr">
        <is>
          <t>否</t>
        </is>
      </c>
      <c r="N1076" s="10" t="inlineStr">
        <is>
          <t>是</t>
        </is>
      </c>
      <c r="O1076" s="10" t="inlineStr">
        <is>
          <t>supplier1072@example.com</t>
        </is>
      </c>
      <c r="P1076" s="10" t="inlineStr">
        <is>
          <t>https://example.com/supplier/1072</t>
        </is>
      </c>
      <c r="Q1076" s="10">
        <f>IF(R1076&gt;=85,"A",IF(R1076&gt;=70,"B","C"))</f>
        <v/>
      </c>
      <c r="R1076" s="13">
        <f>MIN(100,50+IF(M1076="是",10,0)+IF(N1076="是",10,0)+IF(L1076&lt;=100,10,IF(L1076&lt;=300,5,0))+IF(J1076&lt;=20,10,IF(J1076&lt;=50,5,0))+IF(K1076-J1076&lt;=20,5,0)+IF(F1076="企业官网",5,0))</f>
        <v/>
      </c>
      <c r="S1076" s="10">
        <f>IF(Q1076="A","价格与起订量有优势，建议优先询盘",IF(Q1076="B","条件较均衡，可作为备选","起订量或价格需要进一步确认"))</f>
        <v/>
      </c>
      <c r="T1076" s="10" t="inlineStr">
        <is>
          <t>未联系</t>
        </is>
      </c>
      <c r="U1076" s="10" t="inlineStr">
        <is>
          <t>虚构演示数据</t>
        </is>
      </c>
    </row>
    <row r="1077" ht="21" customHeight="1">
      <c r="A1077" s="10" t="inlineStr">
        <is>
          <t>GYS-1073</t>
        </is>
      </c>
      <c r="B1077" s="10" t="inlineStr">
        <is>
          <t>深圳清洁工具供应链1073有限公司（演示）</t>
        </is>
      </c>
      <c r="C1077" s="10" t="inlineStr">
        <is>
          <t>清洁工具</t>
        </is>
      </c>
      <c r="D1077" s="10" t="inlineStr">
        <is>
          <t>免手洗拖把</t>
        </is>
      </c>
      <c r="E1077" s="10" t="inlineStr">
        <is>
          <t>广东深圳</t>
        </is>
      </c>
      <c r="F1077" s="10" t="inlineStr">
        <is>
          <t>慧聪网</t>
        </is>
      </c>
      <c r="G1077" s="10" t="inlineStr">
        <is>
          <t>李经理</t>
        </is>
      </c>
      <c r="H1077" s="10" t="inlineStr">
        <is>
          <t>000-0000-1073</t>
        </is>
      </c>
      <c r="I1077" s="10" t="inlineStr">
        <is>
          <t>DEMO_GYS_1073</t>
        </is>
      </c>
      <c r="J1077" s="11" t="n">
        <v>32.9</v>
      </c>
      <c r="K1077" s="11" t="n">
        <v>47.2</v>
      </c>
      <c r="L1077" s="12" t="n">
        <v>50</v>
      </c>
      <c r="M1077" s="10" t="inlineStr">
        <is>
          <t>是</t>
        </is>
      </c>
      <c r="N1077" s="10" t="inlineStr">
        <is>
          <t>是</t>
        </is>
      </c>
      <c r="O1077" s="10" t="inlineStr">
        <is>
          <t>supplier1073@example.com</t>
        </is>
      </c>
      <c r="P1077" s="10" t="inlineStr">
        <is>
          <t>https://example.com/supplier/1073</t>
        </is>
      </c>
      <c r="Q1077" s="10">
        <f>IF(R1077&gt;=85,"A",IF(R1077&gt;=70,"B","C"))</f>
        <v/>
      </c>
      <c r="R1077" s="13">
        <f>MIN(100,50+IF(M1077="是",10,0)+IF(N1077="是",10,0)+IF(L1077&lt;=100,10,IF(L1077&lt;=300,5,0))+IF(J1077&lt;=20,10,IF(J1077&lt;=50,5,0))+IF(K1077-J1077&lt;=20,5,0)+IF(F1077="企业官网",5,0))</f>
        <v/>
      </c>
      <c r="S1077" s="10">
        <f>IF(Q1077="A","价格与起订量有优势，建议优先询盘",IF(Q1077="B","条件较均衡，可作为备选","起订量或价格需要进一步确认"))</f>
        <v/>
      </c>
      <c r="T1077" s="10" t="inlineStr">
        <is>
          <t>未联系</t>
        </is>
      </c>
      <c r="U1077" s="10" t="inlineStr">
        <is>
          <t>虚构演示数据</t>
        </is>
      </c>
    </row>
    <row r="1078" ht="21" customHeight="1">
      <c r="A1078" s="10" t="inlineStr">
        <is>
          <t>GYS-1074</t>
        </is>
      </c>
      <c r="B1078" s="10" t="inlineStr">
        <is>
          <t>佛山小家电供应链1074有限公司（演示）</t>
        </is>
      </c>
      <c r="C1078" s="10" t="inlineStr">
        <is>
          <t>小家电</t>
        </is>
      </c>
      <c r="D1078" s="10" t="inlineStr">
        <is>
          <t>迷你加湿器</t>
        </is>
      </c>
      <c r="E1078" s="10" t="inlineStr">
        <is>
          <t>广东佛山</t>
        </is>
      </c>
      <c r="F1078" s="10" t="inlineStr">
        <is>
          <t>1688</t>
        </is>
      </c>
      <c r="G1078" s="10" t="inlineStr">
        <is>
          <t>张经理</t>
        </is>
      </c>
      <c r="H1078" s="10" t="inlineStr">
        <is>
          <t>000-0000-1074</t>
        </is>
      </c>
      <c r="I1078" s="10" t="inlineStr">
        <is>
          <t>DEMO_GYS_1074</t>
        </is>
      </c>
      <c r="J1078" s="11" t="n">
        <v>34.6</v>
      </c>
      <c r="K1078" s="11" t="n">
        <v>50</v>
      </c>
      <c r="L1078" s="12" t="n">
        <v>20</v>
      </c>
      <c r="M1078" s="10" t="inlineStr">
        <is>
          <t>是</t>
        </is>
      </c>
      <c r="N1078" s="10" t="inlineStr">
        <is>
          <t>否</t>
        </is>
      </c>
      <c r="O1078" s="10" t="inlineStr">
        <is>
          <t>supplier1074@example.com</t>
        </is>
      </c>
      <c r="P1078" s="10" t="inlineStr">
        <is>
          <t>https://example.com/supplier/1074</t>
        </is>
      </c>
      <c r="Q1078" s="10">
        <f>IF(R1078&gt;=85,"A",IF(R1078&gt;=70,"B","C"))</f>
        <v/>
      </c>
      <c r="R1078" s="13">
        <f>MIN(100,50+IF(M1078="是",10,0)+IF(N1078="是",10,0)+IF(L1078&lt;=100,10,IF(L1078&lt;=300,5,0))+IF(J1078&lt;=20,10,IF(J1078&lt;=50,5,0))+IF(K1078-J1078&lt;=20,5,0)+IF(F1078="企业官网",5,0))</f>
        <v/>
      </c>
      <c r="S1078" s="10">
        <f>IF(Q1078="A","价格与起订量有优势，建议优先询盘",IF(Q1078="B","条件较均衡，可作为备选","起订量或价格需要进一步确认"))</f>
        <v/>
      </c>
      <c r="T1078" s="10" t="inlineStr">
        <is>
          <t>未联系</t>
        </is>
      </c>
      <c r="U1078" s="10" t="inlineStr">
        <is>
          <t>虚构演示数据</t>
        </is>
      </c>
    </row>
    <row r="1079" ht="21" customHeight="1">
      <c r="A1079" s="10" t="inlineStr">
        <is>
          <t>GYS-1075</t>
        </is>
      </c>
      <c r="B1079" s="10" t="inlineStr">
        <is>
          <t>苏州礼品包装供应链1075有限公司（演示）</t>
        </is>
      </c>
      <c r="C1079" s="10" t="inlineStr">
        <is>
          <t>礼品包装</t>
        </is>
      </c>
      <c r="D1079" s="10" t="inlineStr">
        <is>
          <t>节日礼盒</t>
        </is>
      </c>
      <c r="E1079" s="10" t="inlineStr">
        <is>
          <t>江苏苏州</t>
        </is>
      </c>
      <c r="F1079" s="10" t="inlineStr">
        <is>
          <t>中国制造网</t>
        </is>
      </c>
      <c r="G1079" s="10" t="inlineStr">
        <is>
          <t>刘经理</t>
        </is>
      </c>
      <c r="H1079" s="10" t="inlineStr">
        <is>
          <t>000-0000-1075</t>
        </is>
      </c>
      <c r="I1079" s="10" t="inlineStr">
        <is>
          <t>DEMO_GYS_1075</t>
        </is>
      </c>
      <c r="J1079" s="11" t="n">
        <v>36.3</v>
      </c>
      <c r="K1079" s="11" t="n">
        <v>52.8</v>
      </c>
      <c r="L1079" s="12" t="n">
        <v>500</v>
      </c>
      <c r="M1079" s="10" t="inlineStr">
        <is>
          <t>是</t>
        </is>
      </c>
      <c r="N1079" s="10" t="inlineStr">
        <is>
          <t>是</t>
        </is>
      </c>
      <c r="O1079" s="10" t="inlineStr">
        <is>
          <t>supplier1075@example.com</t>
        </is>
      </c>
      <c r="P1079" s="10" t="inlineStr">
        <is>
          <t>https://example.com/supplier/1075</t>
        </is>
      </c>
      <c r="Q1079" s="10">
        <f>IF(R1079&gt;=85,"A",IF(R1079&gt;=70,"B","C"))</f>
        <v/>
      </c>
      <c r="R1079" s="13">
        <f>MIN(100,50+IF(M1079="是",10,0)+IF(N1079="是",10,0)+IF(L1079&lt;=100,10,IF(L1079&lt;=300,5,0))+IF(J1079&lt;=20,10,IF(J1079&lt;=50,5,0))+IF(K1079-J1079&lt;=20,5,0)+IF(F1079="企业官网",5,0))</f>
        <v/>
      </c>
      <c r="S1079" s="10">
        <f>IF(Q1079="A","价格与起订量有优势，建议优先询盘",IF(Q1079="B","条件较均衡，可作为备选","起订量或价格需要进一步确认"))</f>
        <v/>
      </c>
      <c r="T1079" s="10" t="inlineStr">
        <is>
          <t>未联系</t>
        </is>
      </c>
      <c r="U1079" s="10" t="inlineStr">
        <is>
          <t>虚构演示数据</t>
        </is>
      </c>
    </row>
    <row r="1080" ht="21" customHeight="1">
      <c r="A1080" s="10" t="inlineStr">
        <is>
          <t>GYS-1076</t>
        </is>
      </c>
      <c r="B1080" s="10" t="inlineStr">
        <is>
          <t>白沟五金工具供应链1076有限公司（演示）</t>
        </is>
      </c>
      <c r="C1080" s="10" t="inlineStr">
        <is>
          <t>五金工具</t>
        </is>
      </c>
      <c r="D1080" s="10" t="inlineStr">
        <is>
          <t>多功能螺丝刀</t>
        </is>
      </c>
      <c r="E1080" s="10" t="inlineStr">
        <is>
          <t>河北白沟</t>
        </is>
      </c>
      <c r="F1080" s="10" t="inlineStr">
        <is>
          <t>企业官网</t>
        </is>
      </c>
      <c r="G1080" s="10" t="inlineStr">
        <is>
          <t>黄经理</t>
        </is>
      </c>
      <c r="H1080" s="10" t="inlineStr">
        <is>
          <t>000-0000-1076</t>
        </is>
      </c>
      <c r="I1080" s="10" t="inlineStr">
        <is>
          <t>DEMO_GYS_1076</t>
        </is>
      </c>
      <c r="J1080" s="11" t="n">
        <v>38</v>
      </c>
      <c r="K1080" s="11" t="n">
        <v>55.6</v>
      </c>
      <c r="L1080" s="12" t="n">
        <v>300</v>
      </c>
      <c r="M1080" s="10" t="inlineStr">
        <is>
          <t>否</t>
        </is>
      </c>
      <c r="N1080" s="10" t="inlineStr">
        <is>
          <t>是</t>
        </is>
      </c>
      <c r="O1080" s="10" t="inlineStr">
        <is>
          <t>supplier1076@example.com</t>
        </is>
      </c>
      <c r="P1080" s="10" t="inlineStr">
        <is>
          <t>https://example.com/supplier/1076</t>
        </is>
      </c>
      <c r="Q1080" s="10">
        <f>IF(R1080&gt;=85,"A",IF(R1080&gt;=70,"B","C"))</f>
        <v/>
      </c>
      <c r="R1080" s="13">
        <f>MIN(100,50+IF(M1080="是",10,0)+IF(N1080="是",10,0)+IF(L1080&lt;=100,10,IF(L1080&lt;=300,5,0))+IF(J1080&lt;=20,10,IF(J1080&lt;=50,5,0))+IF(K1080-J1080&lt;=20,5,0)+IF(F1080="企业官网",5,0))</f>
        <v/>
      </c>
      <c r="S1080" s="10">
        <f>IF(Q1080="A","价格与起订量有优势，建议优先询盘",IF(Q1080="B","条件较均衡，可作为备选","起订量或价格需要进一步确认"))</f>
        <v/>
      </c>
      <c r="T1080" s="10" t="inlineStr">
        <is>
          <t>未联系</t>
        </is>
      </c>
      <c r="U1080" s="10" t="inlineStr">
        <is>
          <t>虚构演示数据</t>
        </is>
      </c>
    </row>
    <row r="1081" ht="21" customHeight="1">
      <c r="A1081" s="10" t="inlineStr">
        <is>
          <t>GYS-1077</t>
        </is>
      </c>
      <c r="B1081" s="10" t="inlineStr">
        <is>
          <t>义乌鞋靴配件供应链1077有限公司（演示）</t>
        </is>
      </c>
      <c r="C1081" s="10" t="inlineStr">
        <is>
          <t>鞋靴配件</t>
        </is>
      </c>
      <c r="D1081" s="10" t="inlineStr">
        <is>
          <t>防磨脚贴</t>
        </is>
      </c>
      <c r="E1081" s="10" t="inlineStr">
        <is>
          <t>浙江义乌</t>
        </is>
      </c>
      <c r="F1081" s="10" t="inlineStr">
        <is>
          <t>义乌购</t>
        </is>
      </c>
      <c r="G1081" s="10" t="inlineStr">
        <is>
          <t>赵经理</t>
        </is>
      </c>
      <c r="H1081" s="10" t="inlineStr">
        <is>
          <t>000-0000-1077</t>
        </is>
      </c>
      <c r="I1081" s="10" t="inlineStr">
        <is>
          <t>DEMO_GYS_1077</t>
        </is>
      </c>
      <c r="J1081" s="11" t="n">
        <v>39.7</v>
      </c>
      <c r="K1081" s="11" t="n">
        <v>58.4</v>
      </c>
      <c r="L1081" s="12" t="n">
        <v>200</v>
      </c>
      <c r="M1081" s="10" t="inlineStr">
        <is>
          <t>是</t>
        </is>
      </c>
      <c r="N1081" s="10" t="inlineStr">
        <is>
          <t>否</t>
        </is>
      </c>
      <c r="O1081" s="10" t="inlineStr">
        <is>
          <t>supplier1077@example.com</t>
        </is>
      </c>
      <c r="P1081" s="10" t="inlineStr">
        <is>
          <t>https://example.com/supplier/1077</t>
        </is>
      </c>
      <c r="Q1081" s="10">
        <f>IF(R1081&gt;=85,"A",IF(R1081&gt;=70,"B","C"))</f>
        <v/>
      </c>
      <c r="R1081" s="13">
        <f>MIN(100,50+IF(M1081="是",10,0)+IF(N1081="是",10,0)+IF(L1081&lt;=100,10,IF(L1081&lt;=300,5,0))+IF(J1081&lt;=20,10,IF(J1081&lt;=50,5,0))+IF(K1081-J1081&lt;=20,5,0)+IF(F1081="企业官网",5,0))</f>
        <v/>
      </c>
      <c r="S1081" s="10">
        <f>IF(Q1081="A","价格与起订量有优势，建议优先询盘",IF(Q1081="B","条件较均衡，可作为备选","起订量或价格需要进一步确认"))</f>
        <v/>
      </c>
      <c r="T1081" s="10" t="inlineStr">
        <is>
          <t>未联系</t>
        </is>
      </c>
      <c r="U1081" s="10" t="inlineStr">
        <is>
          <t>虚构演示数据</t>
        </is>
      </c>
    </row>
    <row r="1082" ht="21" customHeight="1">
      <c r="A1082" s="10" t="inlineStr">
        <is>
          <t>GYS-1078</t>
        </is>
      </c>
      <c r="B1082" s="10" t="inlineStr">
        <is>
          <t>台州食品包装供应链1078有限公司（演示）</t>
        </is>
      </c>
      <c r="C1082" s="10" t="inlineStr">
        <is>
          <t>食品包装</t>
        </is>
      </c>
      <c r="D1082" s="10" t="inlineStr">
        <is>
          <t>密封包装袋</t>
        </is>
      </c>
      <c r="E1082" s="10" t="inlineStr">
        <is>
          <t>浙江台州</t>
        </is>
      </c>
      <c r="F1082" s="10" t="inlineStr">
        <is>
          <t>慧聪网</t>
        </is>
      </c>
      <c r="G1082" s="10" t="inlineStr">
        <is>
          <t>周经理</t>
        </is>
      </c>
      <c r="H1082" s="10" t="inlineStr">
        <is>
          <t>000-0000-1078</t>
        </is>
      </c>
      <c r="I1082" s="10" t="inlineStr">
        <is>
          <t>DEMO_GYS_1078</t>
        </is>
      </c>
      <c r="J1082" s="11" t="n">
        <v>41.4</v>
      </c>
      <c r="K1082" s="11" t="n">
        <v>61.2</v>
      </c>
      <c r="L1082" s="12" t="n">
        <v>100</v>
      </c>
      <c r="M1082" s="10" t="inlineStr">
        <is>
          <t>是</t>
        </is>
      </c>
      <c r="N1082" s="10" t="inlineStr">
        <is>
          <t>是</t>
        </is>
      </c>
      <c r="O1082" s="10" t="inlineStr">
        <is>
          <t>supplier1078@example.com</t>
        </is>
      </c>
      <c r="P1082" s="10" t="inlineStr">
        <is>
          <t>https://example.com/supplier/1078</t>
        </is>
      </c>
      <c r="Q1082" s="10">
        <f>IF(R1082&gt;=85,"A",IF(R1082&gt;=70,"B","C"))</f>
        <v/>
      </c>
      <c r="R1082" s="13">
        <f>MIN(100,50+IF(M1082="是",10,0)+IF(N1082="是",10,0)+IF(L1082&lt;=100,10,IF(L1082&lt;=300,5,0))+IF(J1082&lt;=20,10,IF(J1082&lt;=50,5,0))+IF(K1082-J1082&lt;=20,5,0)+IF(F1082="企业官网",5,0))</f>
        <v/>
      </c>
      <c r="S1082" s="10">
        <f>IF(Q1082="A","价格与起订量有优势，建议优先询盘",IF(Q1082="B","条件较均衡，可作为备选","起订量或价格需要进一步确认"))</f>
        <v/>
      </c>
      <c r="T1082" s="10" t="inlineStr">
        <is>
          <t>未联系</t>
        </is>
      </c>
      <c r="U1082" s="10" t="inlineStr">
        <is>
          <t>虚构演示数据</t>
        </is>
      </c>
    </row>
    <row r="1083" ht="21" customHeight="1">
      <c r="A1083" s="10" t="inlineStr">
        <is>
          <t>GYS-1079</t>
        </is>
      </c>
      <c r="B1083" s="10" t="inlineStr">
        <is>
          <t>东莞户外照明供应链1079有限公司（演示）</t>
        </is>
      </c>
      <c r="C1083" s="10" t="inlineStr">
        <is>
          <t>户外照明</t>
        </is>
      </c>
      <c r="D1083" s="10" t="inlineStr">
        <is>
          <t>便携露营灯</t>
        </is>
      </c>
      <c r="E1083" s="10" t="inlineStr">
        <is>
          <t>广东东莞</t>
        </is>
      </c>
      <c r="F1083" s="10" t="inlineStr">
        <is>
          <t>1688</t>
        </is>
      </c>
      <c r="G1083" s="10" t="inlineStr">
        <is>
          <t>吴经理</t>
        </is>
      </c>
      <c r="H1083" s="10" t="inlineStr">
        <is>
          <t>000-0000-1079</t>
        </is>
      </c>
      <c r="I1083" s="10" t="inlineStr">
        <is>
          <t>DEMO_GYS_1079</t>
        </is>
      </c>
      <c r="J1083" s="11" t="n">
        <v>43.1</v>
      </c>
      <c r="K1083" s="11" t="n">
        <v>64</v>
      </c>
      <c r="L1083" s="12" t="n">
        <v>50</v>
      </c>
      <c r="M1083" s="10" t="inlineStr">
        <is>
          <t>是</t>
        </is>
      </c>
      <c r="N1083" s="10" t="inlineStr">
        <is>
          <t>是</t>
        </is>
      </c>
      <c r="O1083" s="10" t="inlineStr">
        <is>
          <t>supplier1079@example.com</t>
        </is>
      </c>
      <c r="P1083" s="10" t="inlineStr">
        <is>
          <t>https://example.com/supplier/1079</t>
        </is>
      </c>
      <c r="Q1083" s="10">
        <f>IF(R1083&gt;=85,"A",IF(R1083&gt;=70,"B","C"))</f>
        <v/>
      </c>
      <c r="R1083" s="13">
        <f>MIN(100,50+IF(M1083="是",10,0)+IF(N1083="是",10,0)+IF(L1083&lt;=100,10,IF(L1083&lt;=300,5,0))+IF(J1083&lt;=20,10,IF(J1083&lt;=50,5,0))+IF(K1083-J1083&lt;=20,5,0)+IF(F1083="企业官网",5,0))</f>
        <v/>
      </c>
      <c r="S1083" s="10">
        <f>IF(Q1083="A","价格与起订量有优势，建议优先询盘",IF(Q1083="B","条件较均衡，可作为备选","起订量或价格需要进一步确认"))</f>
        <v/>
      </c>
      <c r="T1083" s="10" t="inlineStr">
        <is>
          <t>未联系</t>
        </is>
      </c>
      <c r="U1083" s="10" t="inlineStr">
        <is>
          <t>虚构演示数据</t>
        </is>
      </c>
    </row>
    <row r="1084" ht="21" customHeight="1">
      <c r="A1084" s="10" t="inlineStr">
        <is>
          <t>GYS-1080</t>
        </is>
      </c>
      <c r="B1084" s="10" t="inlineStr">
        <is>
          <t>厦门健康用品供应链1080有限公司（演示）</t>
        </is>
      </c>
      <c r="C1084" s="10" t="inlineStr">
        <is>
          <t>健康用品</t>
        </is>
      </c>
      <c r="D1084" s="10" t="inlineStr">
        <is>
          <t>热敷眼罩</t>
        </is>
      </c>
      <c r="E1084" s="10" t="inlineStr">
        <is>
          <t>福建厦门</t>
        </is>
      </c>
      <c r="F1084" s="10" t="inlineStr">
        <is>
          <t>中国制造网</t>
        </is>
      </c>
      <c r="G1084" s="10" t="inlineStr">
        <is>
          <t>陈经理</t>
        </is>
      </c>
      <c r="H1084" s="10" t="inlineStr">
        <is>
          <t>000-0000-1080</t>
        </is>
      </c>
      <c r="I1084" s="10" t="inlineStr">
        <is>
          <t>DEMO_GYS_1080</t>
        </is>
      </c>
      <c r="J1084" s="11" t="n">
        <v>44.8</v>
      </c>
      <c r="K1084" s="11" t="n">
        <v>48.8</v>
      </c>
      <c r="L1084" s="12" t="n">
        <v>20</v>
      </c>
      <c r="M1084" s="10" t="inlineStr">
        <is>
          <t>否</t>
        </is>
      </c>
      <c r="N1084" s="10" t="inlineStr">
        <is>
          <t>否</t>
        </is>
      </c>
      <c r="O1084" s="10" t="inlineStr">
        <is>
          <t>supplier1080@example.com</t>
        </is>
      </c>
      <c r="P1084" s="10" t="inlineStr">
        <is>
          <t>https://example.com/supplier/1080</t>
        </is>
      </c>
      <c r="Q1084" s="10">
        <f>IF(R1084&gt;=85,"A",IF(R1084&gt;=70,"B","C"))</f>
        <v/>
      </c>
      <c r="R1084" s="13">
        <f>MIN(100,50+IF(M1084="是",10,0)+IF(N1084="是",10,0)+IF(L1084&lt;=100,10,IF(L1084&lt;=300,5,0))+IF(J1084&lt;=20,10,IF(J1084&lt;=50,5,0))+IF(K1084-J1084&lt;=20,5,0)+IF(F1084="企业官网",5,0))</f>
        <v/>
      </c>
      <c r="S1084" s="10">
        <f>IF(Q1084="A","价格与起订量有优势，建议优先询盘",IF(Q1084="B","条件较均衡，可作为备选","起订量或价格需要进一步确认"))</f>
        <v/>
      </c>
      <c r="T1084" s="10" t="inlineStr">
        <is>
          <t>未联系</t>
        </is>
      </c>
      <c r="U1084" s="10" t="inlineStr">
        <is>
          <t>虚构演示数据</t>
        </is>
      </c>
    </row>
    <row r="1085" ht="21" customHeight="1">
      <c r="A1085" s="10" t="inlineStr">
        <is>
          <t>GYS-1081</t>
        </is>
      </c>
      <c r="B1085" s="10" t="inlineStr">
        <is>
          <t>临沂服饰内衣供应链1081有限公司（演示）</t>
        </is>
      </c>
      <c r="C1085" s="10" t="inlineStr">
        <is>
          <t>服饰内衣</t>
        </is>
      </c>
      <c r="D1085" s="10" t="inlineStr">
        <is>
          <t>防滑袜</t>
        </is>
      </c>
      <c r="E1085" s="10" t="inlineStr">
        <is>
          <t>山东临沂</t>
        </is>
      </c>
      <c r="F1085" s="10" t="inlineStr">
        <is>
          <t>企业官网</t>
        </is>
      </c>
      <c r="G1085" s="10" t="inlineStr">
        <is>
          <t>林经理</t>
        </is>
      </c>
      <c r="H1085" s="10" t="inlineStr">
        <is>
          <t>000-0000-1081</t>
        </is>
      </c>
      <c r="I1085" s="10" t="inlineStr">
        <is>
          <t>DEMO_GYS_1081</t>
        </is>
      </c>
      <c r="J1085" s="11" t="n">
        <v>46.5</v>
      </c>
      <c r="K1085" s="11" t="n">
        <v>51.6</v>
      </c>
      <c r="L1085" s="12" t="n">
        <v>500</v>
      </c>
      <c r="M1085" s="10" t="inlineStr">
        <is>
          <t>是</t>
        </is>
      </c>
      <c r="N1085" s="10" t="inlineStr">
        <is>
          <t>是</t>
        </is>
      </c>
      <c r="O1085" s="10" t="inlineStr">
        <is>
          <t>supplier1081@example.com</t>
        </is>
      </c>
      <c r="P1085" s="10" t="inlineStr">
        <is>
          <t>https://example.com/supplier/1081</t>
        </is>
      </c>
      <c r="Q1085" s="10">
        <f>IF(R1085&gt;=85,"A",IF(R1085&gt;=70,"B","C"))</f>
        <v/>
      </c>
      <c r="R1085" s="13">
        <f>MIN(100,50+IF(M1085="是",10,0)+IF(N1085="是",10,0)+IF(L1085&lt;=100,10,IF(L1085&lt;=300,5,0))+IF(J1085&lt;=20,10,IF(J1085&lt;=50,5,0))+IF(K1085-J1085&lt;=20,5,0)+IF(F1085="企业官网",5,0))</f>
        <v/>
      </c>
      <c r="S1085" s="10">
        <f>IF(Q1085="A","价格与起订量有优势，建议优先询盘",IF(Q1085="B","条件较均衡，可作为备选","起订量或价格需要进一步确认"))</f>
        <v/>
      </c>
      <c r="T1085" s="10" t="inlineStr">
        <is>
          <t>未联系</t>
        </is>
      </c>
      <c r="U1085" s="10" t="inlineStr">
        <is>
          <t>虚构演示数据</t>
        </is>
      </c>
    </row>
    <row r="1086" ht="21" customHeight="1">
      <c r="A1086" s="10" t="inlineStr">
        <is>
          <t>GYS-1082</t>
        </is>
      </c>
      <c r="B1086" s="10" t="inlineStr">
        <is>
          <t>南昌家居日用供应链1082有限公司（演示）</t>
        </is>
      </c>
      <c r="C1086" s="10" t="inlineStr">
        <is>
          <t>家居日用</t>
        </is>
      </c>
      <c r="D1086" s="10" t="inlineStr">
        <is>
          <t>折叠收纳箱</t>
        </is>
      </c>
      <c r="E1086" s="10" t="inlineStr">
        <is>
          <t>江西南昌</t>
        </is>
      </c>
      <c r="F1086" s="10" t="inlineStr">
        <is>
          <t>义乌购</t>
        </is>
      </c>
      <c r="G1086" s="10" t="inlineStr">
        <is>
          <t>王经理</t>
        </is>
      </c>
      <c r="H1086" s="10" t="inlineStr">
        <is>
          <t>000-0000-1082</t>
        </is>
      </c>
      <c r="I1086" s="10" t="inlineStr">
        <is>
          <t>DEMO_GYS_1082</t>
        </is>
      </c>
      <c r="J1086" s="11" t="n">
        <v>48.2</v>
      </c>
      <c r="K1086" s="11" t="n">
        <v>54.4</v>
      </c>
      <c r="L1086" s="12" t="n">
        <v>300</v>
      </c>
      <c r="M1086" s="10" t="inlineStr">
        <is>
          <t>是</t>
        </is>
      </c>
      <c r="N1086" s="10" t="inlineStr">
        <is>
          <t>是</t>
        </is>
      </c>
      <c r="O1086" s="10" t="inlineStr">
        <is>
          <t>supplier1082@example.com</t>
        </is>
      </c>
      <c r="P1086" s="10" t="inlineStr">
        <is>
          <t>https://example.com/supplier/1082</t>
        </is>
      </c>
      <c r="Q1086" s="10">
        <f>IF(R1086&gt;=85,"A",IF(R1086&gt;=70,"B","C"))</f>
        <v/>
      </c>
      <c r="R1086" s="13">
        <f>MIN(100,50+IF(M1086="是",10,0)+IF(N1086="是",10,0)+IF(L1086&lt;=100,10,IF(L1086&lt;=300,5,0))+IF(J1086&lt;=20,10,IF(J1086&lt;=50,5,0))+IF(K1086-J1086&lt;=20,5,0)+IF(F1086="企业官网",5,0))</f>
        <v/>
      </c>
      <c r="S1086" s="10">
        <f>IF(Q1086="A","价格与起订量有优势，建议优先询盘",IF(Q1086="B","条件较均衡，可作为备选","起订量或价格需要进一步确认"))</f>
        <v/>
      </c>
      <c r="T1086" s="10" t="inlineStr">
        <is>
          <t>未联系</t>
        </is>
      </c>
      <c r="U1086" s="10" t="inlineStr">
        <is>
          <t>虚构演示数据</t>
        </is>
      </c>
    </row>
    <row r="1087" ht="21" customHeight="1">
      <c r="A1087" s="10" t="inlineStr">
        <is>
          <t>GYS-1083</t>
        </is>
      </c>
      <c r="B1087" s="10" t="inlineStr">
        <is>
          <t>温州个护清洁供应链1083有限公司（演示）</t>
        </is>
      </c>
      <c r="C1087" s="10" t="inlineStr">
        <is>
          <t>个护清洁</t>
        </is>
      </c>
      <c r="D1087" s="10" t="inlineStr">
        <is>
          <t>便携洗脸巾</t>
        </is>
      </c>
      <c r="E1087" s="10" t="inlineStr">
        <is>
          <t>浙江温州</t>
        </is>
      </c>
      <c r="F1087" s="10" t="inlineStr">
        <is>
          <t>慧聪网</t>
        </is>
      </c>
      <c r="G1087" s="10" t="inlineStr">
        <is>
          <t>李经理</t>
        </is>
      </c>
      <c r="H1087" s="10" t="inlineStr">
        <is>
          <t>000-0000-1083</t>
        </is>
      </c>
      <c r="I1087" s="10" t="inlineStr">
        <is>
          <t>DEMO_GYS_1083</t>
        </is>
      </c>
      <c r="J1087" s="11" t="n">
        <v>3.9</v>
      </c>
      <c r="K1087" s="11" t="n">
        <v>11.2</v>
      </c>
      <c r="L1087" s="12" t="n">
        <v>200</v>
      </c>
      <c r="M1087" s="10" t="inlineStr">
        <is>
          <t>是</t>
        </is>
      </c>
      <c r="N1087" s="10" t="inlineStr">
        <is>
          <t>否</t>
        </is>
      </c>
      <c r="O1087" s="10" t="inlineStr">
        <is>
          <t>supplier1083@example.com</t>
        </is>
      </c>
      <c r="P1087" s="10" t="inlineStr">
        <is>
          <t>https://example.com/supplier/1083</t>
        </is>
      </c>
      <c r="Q1087" s="10">
        <f>IF(R1087&gt;=85,"A",IF(R1087&gt;=70,"B","C"))</f>
        <v/>
      </c>
      <c r="R1087" s="13">
        <f>MIN(100,50+IF(M1087="是",10,0)+IF(N1087="是",10,0)+IF(L1087&lt;=100,10,IF(L1087&lt;=300,5,0))+IF(J1087&lt;=20,10,IF(J1087&lt;=50,5,0))+IF(K1087-J1087&lt;=20,5,0)+IF(F1087="企业官网",5,0))</f>
        <v/>
      </c>
      <c r="S1087" s="10">
        <f>IF(Q1087="A","价格与起订量有优势，建议优先询盘",IF(Q1087="B","条件较均衡，可作为备选","起订量或价格需要进一步确认"))</f>
        <v/>
      </c>
      <c r="T1087" s="10" t="inlineStr">
        <is>
          <t>未联系</t>
        </is>
      </c>
      <c r="U1087" s="10" t="inlineStr">
        <is>
          <t>虚构演示数据</t>
        </is>
      </c>
    </row>
    <row r="1088" ht="21" customHeight="1">
      <c r="A1088" s="10" t="inlineStr">
        <is>
          <t>GYS-1084</t>
        </is>
      </c>
      <c r="B1088" s="10" t="inlineStr">
        <is>
          <t>广州厨房用品供应链1084有限公司（演示）</t>
        </is>
      </c>
      <c r="C1088" s="10" t="inlineStr">
        <is>
          <t>厨房用品</t>
        </is>
      </c>
      <c r="D1088" s="10" t="inlineStr">
        <is>
          <t>硅胶保鲜盒</t>
        </is>
      </c>
      <c r="E1088" s="10" t="inlineStr">
        <is>
          <t>广东广州</t>
        </is>
      </c>
      <c r="F1088" s="10" t="inlineStr">
        <is>
          <t>1688</t>
        </is>
      </c>
      <c r="G1088" s="10" t="inlineStr">
        <is>
          <t>张经理</t>
        </is>
      </c>
      <c r="H1088" s="10" t="inlineStr">
        <is>
          <t>000-0000-1084</t>
        </is>
      </c>
      <c r="I1088" s="10" t="inlineStr">
        <is>
          <t>DEMO_GYS_1084</t>
        </is>
      </c>
      <c r="J1088" s="11" t="n">
        <v>5.6</v>
      </c>
      <c r="K1088" s="11" t="n">
        <v>14</v>
      </c>
      <c r="L1088" s="12" t="n">
        <v>100</v>
      </c>
      <c r="M1088" s="10" t="inlineStr">
        <is>
          <t>否</t>
        </is>
      </c>
      <c r="N1088" s="10" t="inlineStr">
        <is>
          <t>是</t>
        </is>
      </c>
      <c r="O1088" s="10" t="inlineStr">
        <is>
          <t>supplier1084@example.com</t>
        </is>
      </c>
      <c r="P1088" s="10" t="inlineStr">
        <is>
          <t>https://example.com/supplier/1084</t>
        </is>
      </c>
      <c r="Q1088" s="10">
        <f>IF(R1088&gt;=85,"A",IF(R1088&gt;=70,"B","C"))</f>
        <v/>
      </c>
      <c r="R1088" s="13">
        <f>MIN(100,50+IF(M1088="是",10,0)+IF(N1088="是",10,0)+IF(L1088&lt;=100,10,IF(L1088&lt;=300,5,0))+IF(J1088&lt;=20,10,IF(J1088&lt;=50,5,0))+IF(K1088-J1088&lt;=20,5,0)+IF(F1088="企业官网",5,0))</f>
        <v/>
      </c>
      <c r="S1088" s="10">
        <f>IF(Q1088="A","价格与起订量有优势，建议优先询盘",IF(Q1088="B","条件较均衡，可作为备选","起订量或价格需要进一步确认"))</f>
        <v/>
      </c>
      <c r="T1088" s="10" t="inlineStr">
        <is>
          <t>未联系</t>
        </is>
      </c>
      <c r="U1088" s="10" t="inlineStr">
        <is>
          <t>虚构演示数据</t>
        </is>
      </c>
    </row>
    <row r="1089" ht="21" customHeight="1">
      <c r="A1089" s="10" t="inlineStr">
        <is>
          <t>GYS-1085</t>
        </is>
      </c>
      <c r="B1089" s="10" t="inlineStr">
        <is>
          <t>泉州数码配件供应链1085有限公司（演示）</t>
        </is>
      </c>
      <c r="C1089" s="10" t="inlineStr">
        <is>
          <t>数码配件</t>
        </is>
      </c>
      <c r="D1089" s="10" t="inlineStr">
        <is>
          <t>磁吸手机支架</t>
        </is>
      </c>
      <c r="E1089" s="10" t="inlineStr">
        <is>
          <t>福建泉州</t>
        </is>
      </c>
      <c r="F1089" s="10" t="inlineStr">
        <is>
          <t>中国制造网</t>
        </is>
      </c>
      <c r="G1089" s="10" t="inlineStr">
        <is>
          <t>刘经理</t>
        </is>
      </c>
      <c r="H1089" s="10" t="inlineStr">
        <is>
          <t>000-0000-1085</t>
        </is>
      </c>
      <c r="I1089" s="10" t="inlineStr">
        <is>
          <t>DEMO_GYS_1085</t>
        </is>
      </c>
      <c r="J1089" s="11" t="n">
        <v>7.3</v>
      </c>
      <c r="K1089" s="11" t="n">
        <v>16.8</v>
      </c>
      <c r="L1089" s="12" t="n">
        <v>50</v>
      </c>
      <c r="M1089" s="10" t="inlineStr">
        <is>
          <t>是</t>
        </is>
      </c>
      <c r="N1089" s="10" t="inlineStr">
        <is>
          <t>是</t>
        </is>
      </c>
      <c r="O1089" s="10" t="inlineStr">
        <is>
          <t>supplier1085@example.com</t>
        </is>
      </c>
      <c r="P1089" s="10" t="inlineStr">
        <is>
          <t>https://example.com/supplier/1085</t>
        </is>
      </c>
      <c r="Q1089" s="10">
        <f>IF(R1089&gt;=85,"A",IF(R1089&gt;=70,"B","C"))</f>
        <v/>
      </c>
      <c r="R1089" s="13">
        <f>MIN(100,50+IF(M1089="是",10,0)+IF(N1089="是",10,0)+IF(L1089&lt;=100,10,IF(L1089&lt;=300,5,0))+IF(J1089&lt;=20,10,IF(J1089&lt;=50,5,0))+IF(K1089-J1089&lt;=20,5,0)+IF(F1089="企业官网",5,0))</f>
        <v/>
      </c>
      <c r="S1089" s="10">
        <f>IF(Q1089="A","价格与起订量有优势，建议优先询盘",IF(Q1089="B","条件较均衡，可作为备选","起订量或价格需要进一步确认"))</f>
        <v/>
      </c>
      <c r="T1089" s="10" t="inlineStr">
        <is>
          <t>未联系</t>
        </is>
      </c>
      <c r="U1089" s="10" t="inlineStr">
        <is>
          <t>虚构演示数据</t>
        </is>
      </c>
    </row>
    <row r="1090" ht="21" customHeight="1">
      <c r="A1090" s="10" t="inlineStr">
        <is>
          <t>GYS-1086</t>
        </is>
      </c>
      <c r="B1090" s="10" t="inlineStr">
        <is>
          <t>南通宠物用品供应链1086有限公司（演示）</t>
        </is>
      </c>
      <c r="C1090" s="10" t="inlineStr">
        <is>
          <t>宠物用品</t>
        </is>
      </c>
      <c r="D1090" s="10" t="inlineStr">
        <is>
          <t>宠物清洁手套</t>
        </is>
      </c>
      <c r="E1090" s="10" t="inlineStr">
        <is>
          <t>江苏南通</t>
        </is>
      </c>
      <c r="F1090" s="10" t="inlineStr">
        <is>
          <t>企业官网</t>
        </is>
      </c>
      <c r="G1090" s="10" t="inlineStr">
        <is>
          <t>黄经理</t>
        </is>
      </c>
      <c r="H1090" s="10" t="inlineStr">
        <is>
          <t>000-0000-1086</t>
        </is>
      </c>
      <c r="I1090" s="10" t="inlineStr">
        <is>
          <t>DEMO_GYS_1086</t>
        </is>
      </c>
      <c r="J1090" s="11" t="n">
        <v>9</v>
      </c>
      <c r="K1090" s="11" t="n">
        <v>19.6</v>
      </c>
      <c r="L1090" s="12" t="n">
        <v>20</v>
      </c>
      <c r="M1090" s="10" t="inlineStr">
        <is>
          <t>是</t>
        </is>
      </c>
      <c r="N1090" s="10" t="inlineStr">
        <is>
          <t>否</t>
        </is>
      </c>
      <c r="O1090" s="10" t="inlineStr">
        <is>
          <t>supplier1086@example.com</t>
        </is>
      </c>
      <c r="P1090" s="10" t="inlineStr">
        <is>
          <t>https://example.com/supplier/1086</t>
        </is>
      </c>
      <c r="Q1090" s="10">
        <f>IF(R1090&gt;=85,"A",IF(R1090&gt;=70,"B","C"))</f>
        <v/>
      </c>
      <c r="R1090" s="13">
        <f>MIN(100,50+IF(M1090="是",10,0)+IF(N1090="是",10,0)+IF(L1090&lt;=100,10,IF(L1090&lt;=300,5,0))+IF(J1090&lt;=20,10,IF(J1090&lt;=50,5,0))+IF(K1090-J1090&lt;=20,5,0)+IF(F1090="企业官网",5,0))</f>
        <v/>
      </c>
      <c r="S1090" s="10">
        <f>IF(Q1090="A","价格与起订量有优势，建议优先询盘",IF(Q1090="B","条件较均衡，可作为备选","起订量或价格需要进一步确认"))</f>
        <v/>
      </c>
      <c r="T1090" s="10" t="inlineStr">
        <is>
          <t>未联系</t>
        </is>
      </c>
      <c r="U1090" s="10" t="inlineStr">
        <is>
          <t>虚构演示数据</t>
        </is>
      </c>
    </row>
    <row r="1091" ht="21" customHeight="1">
      <c r="A1091" s="10" t="inlineStr">
        <is>
          <t>GYS-1087</t>
        </is>
      </c>
      <c r="B1091" s="10" t="inlineStr">
        <is>
          <t>郑州母婴用品供应链1087有限公司（演示）</t>
        </is>
      </c>
      <c r="C1091" s="10" t="inlineStr">
        <is>
          <t>母婴用品</t>
        </is>
      </c>
      <c r="D1091" s="10" t="inlineStr">
        <is>
          <t>婴儿防撞条</t>
        </is>
      </c>
      <c r="E1091" s="10" t="inlineStr">
        <is>
          <t>河南郑州</t>
        </is>
      </c>
      <c r="F1091" s="10" t="inlineStr">
        <is>
          <t>义乌购</t>
        </is>
      </c>
      <c r="G1091" s="10" t="inlineStr">
        <is>
          <t>赵经理</t>
        </is>
      </c>
      <c r="H1091" s="10" t="inlineStr">
        <is>
          <t>000-0000-1087</t>
        </is>
      </c>
      <c r="I1091" s="10" t="inlineStr">
        <is>
          <t>DEMO_GYS_1087</t>
        </is>
      </c>
      <c r="J1091" s="11" t="n">
        <v>10.7</v>
      </c>
      <c r="K1091" s="11" t="n">
        <v>22.4</v>
      </c>
      <c r="L1091" s="12" t="n">
        <v>500</v>
      </c>
      <c r="M1091" s="10" t="inlineStr">
        <is>
          <t>是</t>
        </is>
      </c>
      <c r="N1091" s="10" t="inlineStr">
        <is>
          <t>是</t>
        </is>
      </c>
      <c r="O1091" s="10" t="inlineStr">
        <is>
          <t>supplier1087@example.com</t>
        </is>
      </c>
      <c r="P1091" s="10" t="inlineStr">
        <is>
          <t>https://example.com/supplier/1087</t>
        </is>
      </c>
      <c r="Q1091" s="10">
        <f>IF(R1091&gt;=85,"A",IF(R1091&gt;=70,"B","C"))</f>
        <v/>
      </c>
      <c r="R1091" s="13">
        <f>MIN(100,50+IF(M1091="是",10,0)+IF(N1091="是",10,0)+IF(L1091&lt;=100,10,IF(L1091&lt;=300,5,0))+IF(J1091&lt;=20,10,IF(J1091&lt;=50,5,0))+IF(K1091-J1091&lt;=20,5,0)+IF(F1091="企业官网",5,0))</f>
        <v/>
      </c>
      <c r="S1091" s="10">
        <f>IF(Q1091="A","价格与起订量有优势，建议优先询盘",IF(Q1091="B","条件较均衡，可作为备选","起订量或价格需要进一步确认"))</f>
        <v/>
      </c>
      <c r="T1091" s="10" t="inlineStr">
        <is>
          <t>未联系</t>
        </is>
      </c>
      <c r="U1091" s="10" t="inlineStr">
        <is>
          <t>虚构演示数据</t>
        </is>
      </c>
    </row>
    <row r="1092" ht="21" customHeight="1">
      <c r="A1092" s="10" t="inlineStr">
        <is>
          <t>GYS-1088</t>
        </is>
      </c>
      <c r="B1092" s="10" t="inlineStr">
        <is>
          <t>宁波运动户外供应链1088有限公司（演示）</t>
        </is>
      </c>
      <c r="C1092" s="10" t="inlineStr">
        <is>
          <t>运动户外</t>
        </is>
      </c>
      <c r="D1092" s="10" t="inlineStr">
        <is>
          <t>弹力训练带</t>
        </is>
      </c>
      <c r="E1092" s="10" t="inlineStr">
        <is>
          <t>浙江宁波</t>
        </is>
      </c>
      <c r="F1092" s="10" t="inlineStr">
        <is>
          <t>慧聪网</t>
        </is>
      </c>
      <c r="G1092" s="10" t="inlineStr">
        <is>
          <t>周经理</t>
        </is>
      </c>
      <c r="H1092" s="10" t="inlineStr">
        <is>
          <t>000-0000-1088</t>
        </is>
      </c>
      <c r="I1092" s="10" t="inlineStr">
        <is>
          <t>DEMO_GYS_1088</t>
        </is>
      </c>
      <c r="J1092" s="11" t="n">
        <v>12.4</v>
      </c>
      <c r="K1092" s="11" t="n">
        <v>25.2</v>
      </c>
      <c r="L1092" s="12" t="n">
        <v>300</v>
      </c>
      <c r="M1092" s="10" t="inlineStr">
        <is>
          <t>否</t>
        </is>
      </c>
      <c r="N1092" s="10" t="inlineStr">
        <is>
          <t>是</t>
        </is>
      </c>
      <c r="O1092" s="10" t="inlineStr">
        <is>
          <t>supplier1088@example.com</t>
        </is>
      </c>
      <c r="P1092" s="10" t="inlineStr">
        <is>
          <t>https://example.com/supplier/1088</t>
        </is>
      </c>
      <c r="Q1092" s="10">
        <f>IF(R1092&gt;=85,"A",IF(R1092&gt;=70,"B","C"))</f>
        <v/>
      </c>
      <c r="R1092" s="13">
        <f>MIN(100,50+IF(M1092="是",10,0)+IF(N1092="是",10,0)+IF(L1092&lt;=100,10,IF(L1092&lt;=300,5,0))+IF(J1092&lt;=20,10,IF(J1092&lt;=50,5,0))+IF(K1092-J1092&lt;=20,5,0)+IF(F1092="企业官网",5,0))</f>
        <v/>
      </c>
      <c r="S1092" s="10">
        <f>IF(Q1092="A","价格与起订量有优势，建议优先询盘",IF(Q1092="B","条件较均衡，可作为备选","起订量或价格需要进一步确认"))</f>
        <v/>
      </c>
      <c r="T1092" s="10" t="inlineStr">
        <is>
          <t>未联系</t>
        </is>
      </c>
      <c r="U1092" s="10" t="inlineStr">
        <is>
          <t>虚构演示数据</t>
        </is>
      </c>
    </row>
    <row r="1093" ht="21" customHeight="1">
      <c r="A1093" s="10" t="inlineStr">
        <is>
          <t>GYS-1089</t>
        </is>
      </c>
      <c r="B1093" s="10" t="inlineStr">
        <is>
          <t>深圳办公文具供应链1089有限公司（演示）</t>
        </is>
      </c>
      <c r="C1093" s="10" t="inlineStr">
        <is>
          <t>办公文具</t>
        </is>
      </c>
      <c r="D1093" s="10" t="inlineStr">
        <is>
          <t>桌面收纳架</t>
        </is>
      </c>
      <c r="E1093" s="10" t="inlineStr">
        <is>
          <t>广东深圳</t>
        </is>
      </c>
      <c r="F1093" s="10" t="inlineStr">
        <is>
          <t>1688</t>
        </is>
      </c>
      <c r="G1093" s="10" t="inlineStr">
        <is>
          <t>吴经理</t>
        </is>
      </c>
      <c r="H1093" s="10" t="inlineStr">
        <is>
          <t>000-0000-1089</t>
        </is>
      </c>
      <c r="I1093" s="10" t="inlineStr">
        <is>
          <t>DEMO_GYS_1089</t>
        </is>
      </c>
      <c r="J1093" s="11" t="n">
        <v>14.1</v>
      </c>
      <c r="K1093" s="11" t="n">
        <v>28</v>
      </c>
      <c r="L1093" s="12" t="n">
        <v>200</v>
      </c>
      <c r="M1093" s="10" t="inlineStr">
        <is>
          <t>是</t>
        </is>
      </c>
      <c r="N1093" s="10" t="inlineStr">
        <is>
          <t>否</t>
        </is>
      </c>
      <c r="O1093" s="10" t="inlineStr">
        <is>
          <t>supplier1089@example.com</t>
        </is>
      </c>
      <c r="P1093" s="10" t="inlineStr">
        <is>
          <t>https://example.com/supplier/1089</t>
        </is>
      </c>
      <c r="Q1093" s="10">
        <f>IF(R1093&gt;=85,"A",IF(R1093&gt;=70,"B","C"))</f>
        <v/>
      </c>
      <c r="R1093" s="13">
        <f>MIN(100,50+IF(M1093="是",10,0)+IF(N1093="是",10,0)+IF(L1093&lt;=100,10,IF(L1093&lt;=300,5,0))+IF(J1093&lt;=20,10,IF(J1093&lt;=50,5,0))+IF(K1093-J1093&lt;=20,5,0)+IF(F1093="企业官网",5,0))</f>
        <v/>
      </c>
      <c r="S1093" s="10">
        <f>IF(Q1093="A","价格与起订量有优势，建议优先询盘",IF(Q1093="B","条件较均衡，可作为备选","起订量或价格需要进一步确认"))</f>
        <v/>
      </c>
      <c r="T1093" s="10" t="inlineStr">
        <is>
          <t>未联系</t>
        </is>
      </c>
      <c r="U1093" s="10" t="inlineStr">
        <is>
          <t>虚构演示数据</t>
        </is>
      </c>
    </row>
    <row r="1094" ht="21" customHeight="1">
      <c r="A1094" s="10" t="inlineStr">
        <is>
          <t>GYS-1090</t>
        </is>
      </c>
      <c r="B1094" s="10" t="inlineStr">
        <is>
          <t>佛山汽车用品供应链1090有限公司（演示）</t>
        </is>
      </c>
      <c r="C1094" s="10" t="inlineStr">
        <is>
          <t>汽车用品</t>
        </is>
      </c>
      <c r="D1094" s="10" t="inlineStr">
        <is>
          <t>车载香薰</t>
        </is>
      </c>
      <c r="E1094" s="10" t="inlineStr">
        <is>
          <t>广东佛山</t>
        </is>
      </c>
      <c r="F1094" s="10" t="inlineStr">
        <is>
          <t>中国制造网</t>
        </is>
      </c>
      <c r="G1094" s="10" t="inlineStr">
        <is>
          <t>陈经理</t>
        </is>
      </c>
      <c r="H1094" s="10" t="inlineStr">
        <is>
          <t>000-0000-1090</t>
        </is>
      </c>
      <c r="I1094" s="10" t="inlineStr">
        <is>
          <t>DEMO_GYS_1090</t>
        </is>
      </c>
      <c r="J1094" s="11" t="n">
        <v>15.8</v>
      </c>
      <c r="K1094" s="11" t="n">
        <v>30.8</v>
      </c>
      <c r="L1094" s="12" t="n">
        <v>100</v>
      </c>
      <c r="M1094" s="10" t="inlineStr">
        <is>
          <t>是</t>
        </is>
      </c>
      <c r="N1094" s="10" t="inlineStr">
        <is>
          <t>是</t>
        </is>
      </c>
      <c r="O1094" s="10" t="inlineStr">
        <is>
          <t>supplier1090@example.com</t>
        </is>
      </c>
      <c r="P1094" s="10" t="inlineStr">
        <is>
          <t>https://example.com/supplier/1090</t>
        </is>
      </c>
      <c r="Q1094" s="10">
        <f>IF(R1094&gt;=85,"A",IF(R1094&gt;=70,"B","C"))</f>
        <v/>
      </c>
      <c r="R1094" s="13">
        <f>MIN(100,50+IF(M1094="是",10,0)+IF(N1094="是",10,0)+IF(L1094&lt;=100,10,IF(L1094&lt;=300,5,0))+IF(J1094&lt;=20,10,IF(J1094&lt;=50,5,0))+IF(K1094-J1094&lt;=20,5,0)+IF(F1094="企业官网",5,0))</f>
        <v/>
      </c>
      <c r="S1094" s="10">
        <f>IF(Q1094="A","价格与起订量有优势，建议优先询盘",IF(Q1094="B","条件较均衡，可作为备选","起订量或价格需要进一步确认"))</f>
        <v/>
      </c>
      <c r="T1094" s="10" t="inlineStr">
        <is>
          <t>未联系</t>
        </is>
      </c>
      <c r="U1094" s="10" t="inlineStr">
        <is>
          <t>虚构演示数据</t>
        </is>
      </c>
    </row>
    <row r="1095" ht="21" customHeight="1">
      <c r="A1095" s="10" t="inlineStr">
        <is>
          <t>GYS-1091</t>
        </is>
      </c>
      <c r="B1095" s="10" t="inlineStr">
        <is>
          <t>苏州美容工具供应链1091有限公司（演示）</t>
        </is>
      </c>
      <c r="C1095" s="10" t="inlineStr">
        <is>
          <t>美容工具</t>
        </is>
      </c>
      <c r="D1095" s="10" t="inlineStr">
        <is>
          <t>便携化妆镜</t>
        </is>
      </c>
      <c r="E1095" s="10" t="inlineStr">
        <is>
          <t>江苏苏州</t>
        </is>
      </c>
      <c r="F1095" s="10" t="inlineStr">
        <is>
          <t>企业官网</t>
        </is>
      </c>
      <c r="G1095" s="10" t="inlineStr">
        <is>
          <t>林经理</t>
        </is>
      </c>
      <c r="H1095" s="10" t="inlineStr">
        <is>
          <t>000-0000-1091</t>
        </is>
      </c>
      <c r="I1095" s="10" t="inlineStr">
        <is>
          <t>DEMO_GYS_1091</t>
        </is>
      </c>
      <c r="J1095" s="11" t="n">
        <v>17.5</v>
      </c>
      <c r="K1095" s="11" t="n">
        <v>33.6</v>
      </c>
      <c r="L1095" s="12" t="n">
        <v>50</v>
      </c>
      <c r="M1095" s="10" t="inlineStr">
        <is>
          <t>是</t>
        </is>
      </c>
      <c r="N1095" s="10" t="inlineStr">
        <is>
          <t>是</t>
        </is>
      </c>
      <c r="O1095" s="10" t="inlineStr">
        <is>
          <t>supplier1091@example.com</t>
        </is>
      </c>
      <c r="P1095" s="10" t="inlineStr">
        <is>
          <t>https://example.com/supplier/1091</t>
        </is>
      </c>
      <c r="Q1095" s="10">
        <f>IF(R1095&gt;=85,"A",IF(R1095&gt;=70,"B","C"))</f>
        <v/>
      </c>
      <c r="R1095" s="13">
        <f>MIN(100,50+IF(M1095="是",10,0)+IF(N1095="是",10,0)+IF(L1095&lt;=100,10,IF(L1095&lt;=300,5,0))+IF(J1095&lt;=20,10,IF(J1095&lt;=50,5,0))+IF(K1095-J1095&lt;=20,5,0)+IF(F1095="企业官网",5,0))</f>
        <v/>
      </c>
      <c r="S1095" s="10">
        <f>IF(Q1095="A","价格与起订量有优势，建议优先询盘",IF(Q1095="B","条件较均衡，可作为备选","起订量或价格需要进一步确认"))</f>
        <v/>
      </c>
      <c r="T1095" s="10" t="inlineStr">
        <is>
          <t>未联系</t>
        </is>
      </c>
      <c r="U1095" s="10" t="inlineStr">
        <is>
          <t>虚构演示数据</t>
        </is>
      </c>
    </row>
    <row r="1096" ht="21" customHeight="1">
      <c r="A1096" s="10" t="inlineStr">
        <is>
          <t>GYS-1092</t>
        </is>
      </c>
      <c r="B1096" s="10" t="inlineStr">
        <is>
          <t>白沟旅行用品供应链1092有限公司（演示）</t>
        </is>
      </c>
      <c r="C1096" s="10" t="inlineStr">
        <is>
          <t>旅行用品</t>
        </is>
      </c>
      <c r="D1096" s="10" t="inlineStr">
        <is>
          <t>压缩收纳袋</t>
        </is>
      </c>
      <c r="E1096" s="10" t="inlineStr">
        <is>
          <t>河北白沟</t>
        </is>
      </c>
      <c r="F1096" s="10" t="inlineStr">
        <is>
          <t>义乌购</t>
        </is>
      </c>
      <c r="G1096" s="10" t="inlineStr">
        <is>
          <t>王经理</t>
        </is>
      </c>
      <c r="H1096" s="10" t="inlineStr">
        <is>
          <t>000-0000-1092</t>
        </is>
      </c>
      <c r="I1096" s="10" t="inlineStr">
        <is>
          <t>DEMO_GYS_1092</t>
        </is>
      </c>
      <c r="J1096" s="11" t="n">
        <v>19.2</v>
      </c>
      <c r="K1096" s="11" t="n">
        <v>36.4</v>
      </c>
      <c r="L1096" s="12" t="n">
        <v>20</v>
      </c>
      <c r="M1096" s="10" t="inlineStr">
        <is>
          <t>否</t>
        </is>
      </c>
      <c r="N1096" s="10" t="inlineStr">
        <is>
          <t>否</t>
        </is>
      </c>
      <c r="O1096" s="10" t="inlineStr">
        <is>
          <t>supplier1092@example.com</t>
        </is>
      </c>
      <c r="P1096" s="10" t="inlineStr">
        <is>
          <t>https://example.com/supplier/1092</t>
        </is>
      </c>
      <c r="Q1096" s="10">
        <f>IF(R1096&gt;=85,"A",IF(R1096&gt;=70,"B","C"))</f>
        <v/>
      </c>
      <c r="R1096" s="13">
        <f>MIN(100,50+IF(M1096="是",10,0)+IF(N1096="是",10,0)+IF(L1096&lt;=100,10,IF(L1096&lt;=300,5,0))+IF(J1096&lt;=20,10,IF(J1096&lt;=50,5,0))+IF(K1096-J1096&lt;=20,5,0)+IF(F1096="企业官网",5,0))</f>
        <v/>
      </c>
      <c r="S1096" s="10">
        <f>IF(Q1096="A","价格与起订量有优势，建议优先询盘",IF(Q1096="B","条件较均衡，可作为备选","起订量或价格需要进一步确认"))</f>
        <v/>
      </c>
      <c r="T1096" s="10" t="inlineStr">
        <is>
          <t>未联系</t>
        </is>
      </c>
      <c r="U1096" s="10" t="inlineStr">
        <is>
          <t>虚构演示数据</t>
        </is>
      </c>
    </row>
    <row r="1097" ht="21" customHeight="1">
      <c r="A1097" s="10" t="inlineStr">
        <is>
          <t>GYS-1093</t>
        </is>
      </c>
      <c r="B1097" s="10" t="inlineStr">
        <is>
          <t>义乌清洁工具供应链1093有限公司（演示）</t>
        </is>
      </c>
      <c r="C1097" s="10" t="inlineStr">
        <is>
          <t>清洁工具</t>
        </is>
      </c>
      <c r="D1097" s="10" t="inlineStr">
        <is>
          <t>免手洗拖把</t>
        </is>
      </c>
      <c r="E1097" s="10" t="inlineStr">
        <is>
          <t>浙江义乌</t>
        </is>
      </c>
      <c r="F1097" s="10" t="inlineStr">
        <is>
          <t>慧聪网</t>
        </is>
      </c>
      <c r="G1097" s="10" t="inlineStr">
        <is>
          <t>李经理</t>
        </is>
      </c>
      <c r="H1097" s="10" t="inlineStr">
        <is>
          <t>000-0000-1093</t>
        </is>
      </c>
      <c r="I1097" s="10" t="inlineStr">
        <is>
          <t>DEMO_GYS_1093</t>
        </is>
      </c>
      <c r="J1097" s="11" t="n">
        <v>20.9</v>
      </c>
      <c r="K1097" s="11" t="n">
        <v>39.2</v>
      </c>
      <c r="L1097" s="12" t="n">
        <v>500</v>
      </c>
      <c r="M1097" s="10" t="inlineStr">
        <is>
          <t>是</t>
        </is>
      </c>
      <c r="N1097" s="10" t="inlineStr">
        <is>
          <t>是</t>
        </is>
      </c>
      <c r="O1097" s="10" t="inlineStr">
        <is>
          <t>supplier1093@example.com</t>
        </is>
      </c>
      <c r="P1097" s="10" t="inlineStr">
        <is>
          <t>https://example.com/supplier/1093</t>
        </is>
      </c>
      <c r="Q1097" s="10">
        <f>IF(R1097&gt;=85,"A",IF(R1097&gt;=70,"B","C"))</f>
        <v/>
      </c>
      <c r="R1097" s="13">
        <f>MIN(100,50+IF(M1097="是",10,0)+IF(N1097="是",10,0)+IF(L1097&lt;=100,10,IF(L1097&lt;=300,5,0))+IF(J1097&lt;=20,10,IF(J1097&lt;=50,5,0))+IF(K1097-J1097&lt;=20,5,0)+IF(F1097="企业官网",5,0))</f>
        <v/>
      </c>
      <c r="S1097" s="10">
        <f>IF(Q1097="A","价格与起订量有优势，建议优先询盘",IF(Q1097="B","条件较均衡，可作为备选","起订量或价格需要进一步确认"))</f>
        <v/>
      </c>
      <c r="T1097" s="10" t="inlineStr">
        <is>
          <t>未联系</t>
        </is>
      </c>
      <c r="U1097" s="10" t="inlineStr">
        <is>
          <t>虚构演示数据</t>
        </is>
      </c>
    </row>
    <row r="1098" ht="21" customHeight="1">
      <c r="A1098" s="10" t="inlineStr">
        <is>
          <t>GYS-1094</t>
        </is>
      </c>
      <c r="B1098" s="10" t="inlineStr">
        <is>
          <t>台州小家电供应链1094有限公司（演示）</t>
        </is>
      </c>
      <c r="C1098" s="10" t="inlineStr">
        <is>
          <t>小家电</t>
        </is>
      </c>
      <c r="D1098" s="10" t="inlineStr">
        <is>
          <t>迷你加湿器</t>
        </is>
      </c>
      <c r="E1098" s="10" t="inlineStr">
        <is>
          <t>浙江台州</t>
        </is>
      </c>
      <c r="F1098" s="10" t="inlineStr">
        <is>
          <t>1688</t>
        </is>
      </c>
      <c r="G1098" s="10" t="inlineStr">
        <is>
          <t>张经理</t>
        </is>
      </c>
      <c r="H1098" s="10" t="inlineStr">
        <is>
          <t>000-0000-1094</t>
        </is>
      </c>
      <c r="I1098" s="10" t="inlineStr">
        <is>
          <t>DEMO_GYS_1094</t>
        </is>
      </c>
      <c r="J1098" s="11" t="n">
        <v>22.6</v>
      </c>
      <c r="K1098" s="11" t="n">
        <v>42</v>
      </c>
      <c r="L1098" s="12" t="n">
        <v>300</v>
      </c>
      <c r="M1098" s="10" t="inlineStr">
        <is>
          <t>是</t>
        </is>
      </c>
      <c r="N1098" s="10" t="inlineStr">
        <is>
          <t>是</t>
        </is>
      </c>
      <c r="O1098" s="10" t="inlineStr">
        <is>
          <t>supplier1094@example.com</t>
        </is>
      </c>
      <c r="P1098" s="10" t="inlineStr">
        <is>
          <t>https://example.com/supplier/1094</t>
        </is>
      </c>
      <c r="Q1098" s="10">
        <f>IF(R1098&gt;=85,"A",IF(R1098&gt;=70,"B","C"))</f>
        <v/>
      </c>
      <c r="R1098" s="13">
        <f>MIN(100,50+IF(M1098="是",10,0)+IF(N1098="是",10,0)+IF(L1098&lt;=100,10,IF(L1098&lt;=300,5,0))+IF(J1098&lt;=20,10,IF(J1098&lt;=50,5,0))+IF(K1098-J1098&lt;=20,5,0)+IF(F1098="企业官网",5,0))</f>
        <v/>
      </c>
      <c r="S1098" s="10">
        <f>IF(Q1098="A","价格与起订量有优势，建议优先询盘",IF(Q1098="B","条件较均衡，可作为备选","起订量或价格需要进一步确认"))</f>
        <v/>
      </c>
      <c r="T1098" s="10" t="inlineStr">
        <is>
          <t>未联系</t>
        </is>
      </c>
      <c r="U1098" s="10" t="inlineStr">
        <is>
          <t>虚构演示数据</t>
        </is>
      </c>
    </row>
    <row r="1099" ht="21" customHeight="1">
      <c r="A1099" s="10" t="inlineStr">
        <is>
          <t>GYS-1095</t>
        </is>
      </c>
      <c r="B1099" s="10" t="inlineStr">
        <is>
          <t>东莞礼品包装供应链1095有限公司（演示）</t>
        </is>
      </c>
      <c r="C1099" s="10" t="inlineStr">
        <is>
          <t>礼品包装</t>
        </is>
      </c>
      <c r="D1099" s="10" t="inlineStr">
        <is>
          <t>节日礼盒</t>
        </is>
      </c>
      <c r="E1099" s="10" t="inlineStr">
        <is>
          <t>广东东莞</t>
        </is>
      </c>
      <c r="F1099" s="10" t="inlineStr">
        <is>
          <t>中国制造网</t>
        </is>
      </c>
      <c r="G1099" s="10" t="inlineStr">
        <is>
          <t>刘经理</t>
        </is>
      </c>
      <c r="H1099" s="10" t="inlineStr">
        <is>
          <t>000-0000-1095</t>
        </is>
      </c>
      <c r="I1099" s="10" t="inlineStr">
        <is>
          <t>DEMO_GYS_1095</t>
        </is>
      </c>
      <c r="J1099" s="11" t="n">
        <v>24.3</v>
      </c>
      <c r="K1099" s="11" t="n">
        <v>44.8</v>
      </c>
      <c r="L1099" s="12" t="n">
        <v>200</v>
      </c>
      <c r="M1099" s="10" t="inlineStr">
        <is>
          <t>是</t>
        </is>
      </c>
      <c r="N1099" s="10" t="inlineStr">
        <is>
          <t>否</t>
        </is>
      </c>
      <c r="O1099" s="10" t="inlineStr">
        <is>
          <t>supplier1095@example.com</t>
        </is>
      </c>
      <c r="P1099" s="10" t="inlineStr">
        <is>
          <t>https://example.com/supplier/1095</t>
        </is>
      </c>
      <c r="Q1099" s="10">
        <f>IF(R1099&gt;=85,"A",IF(R1099&gt;=70,"B","C"))</f>
        <v/>
      </c>
      <c r="R1099" s="13">
        <f>MIN(100,50+IF(M1099="是",10,0)+IF(N1099="是",10,0)+IF(L1099&lt;=100,10,IF(L1099&lt;=300,5,0))+IF(J1099&lt;=20,10,IF(J1099&lt;=50,5,0))+IF(K1099-J1099&lt;=20,5,0)+IF(F1099="企业官网",5,0))</f>
        <v/>
      </c>
      <c r="S1099" s="10">
        <f>IF(Q1099="A","价格与起订量有优势，建议优先询盘",IF(Q1099="B","条件较均衡，可作为备选","起订量或价格需要进一步确认"))</f>
        <v/>
      </c>
      <c r="T1099" s="10" t="inlineStr">
        <is>
          <t>未联系</t>
        </is>
      </c>
      <c r="U1099" s="10" t="inlineStr">
        <is>
          <t>虚构演示数据</t>
        </is>
      </c>
    </row>
    <row r="1100" ht="21" customHeight="1">
      <c r="A1100" s="10" t="inlineStr">
        <is>
          <t>GYS-1096</t>
        </is>
      </c>
      <c r="B1100" s="10" t="inlineStr">
        <is>
          <t>厦门五金工具供应链1096有限公司（演示）</t>
        </is>
      </c>
      <c r="C1100" s="10" t="inlineStr">
        <is>
          <t>五金工具</t>
        </is>
      </c>
      <c r="D1100" s="10" t="inlineStr">
        <is>
          <t>多功能螺丝刀</t>
        </is>
      </c>
      <c r="E1100" s="10" t="inlineStr">
        <is>
          <t>福建厦门</t>
        </is>
      </c>
      <c r="F1100" s="10" t="inlineStr">
        <is>
          <t>企业官网</t>
        </is>
      </c>
      <c r="G1100" s="10" t="inlineStr">
        <is>
          <t>黄经理</t>
        </is>
      </c>
      <c r="H1100" s="10" t="inlineStr">
        <is>
          <t>000-0000-1096</t>
        </is>
      </c>
      <c r="I1100" s="10" t="inlineStr">
        <is>
          <t>DEMO_GYS_1096</t>
        </is>
      </c>
      <c r="J1100" s="11" t="n">
        <v>26</v>
      </c>
      <c r="K1100" s="11" t="n">
        <v>47.6</v>
      </c>
      <c r="L1100" s="12" t="n">
        <v>100</v>
      </c>
      <c r="M1100" s="10" t="inlineStr">
        <is>
          <t>否</t>
        </is>
      </c>
      <c r="N1100" s="10" t="inlineStr">
        <is>
          <t>是</t>
        </is>
      </c>
      <c r="O1100" s="10" t="inlineStr">
        <is>
          <t>supplier1096@example.com</t>
        </is>
      </c>
      <c r="P1100" s="10" t="inlineStr">
        <is>
          <t>https://example.com/supplier/1096</t>
        </is>
      </c>
      <c r="Q1100" s="10">
        <f>IF(R1100&gt;=85,"A",IF(R1100&gt;=70,"B","C"))</f>
        <v/>
      </c>
      <c r="R1100" s="13">
        <f>MIN(100,50+IF(M1100="是",10,0)+IF(N1100="是",10,0)+IF(L1100&lt;=100,10,IF(L1100&lt;=300,5,0))+IF(J1100&lt;=20,10,IF(J1100&lt;=50,5,0))+IF(K1100-J1100&lt;=20,5,0)+IF(F1100="企业官网",5,0))</f>
        <v/>
      </c>
      <c r="S1100" s="10">
        <f>IF(Q1100="A","价格与起订量有优势，建议优先询盘",IF(Q1100="B","条件较均衡，可作为备选","起订量或价格需要进一步确认"))</f>
        <v/>
      </c>
      <c r="T1100" s="10" t="inlineStr">
        <is>
          <t>未联系</t>
        </is>
      </c>
      <c r="U1100" s="10" t="inlineStr">
        <is>
          <t>虚构演示数据</t>
        </is>
      </c>
    </row>
    <row r="1101" ht="21" customHeight="1">
      <c r="A1101" s="10" t="inlineStr">
        <is>
          <t>GYS-1097</t>
        </is>
      </c>
      <c r="B1101" s="10" t="inlineStr">
        <is>
          <t>临沂鞋靴配件供应链1097有限公司（演示）</t>
        </is>
      </c>
      <c r="C1101" s="10" t="inlineStr">
        <is>
          <t>鞋靴配件</t>
        </is>
      </c>
      <c r="D1101" s="10" t="inlineStr">
        <is>
          <t>防磨脚贴</t>
        </is>
      </c>
      <c r="E1101" s="10" t="inlineStr">
        <is>
          <t>山东临沂</t>
        </is>
      </c>
      <c r="F1101" s="10" t="inlineStr">
        <is>
          <t>义乌购</t>
        </is>
      </c>
      <c r="G1101" s="10" t="inlineStr">
        <is>
          <t>赵经理</t>
        </is>
      </c>
      <c r="H1101" s="10" t="inlineStr">
        <is>
          <t>000-0000-1097</t>
        </is>
      </c>
      <c r="I1101" s="10" t="inlineStr">
        <is>
          <t>DEMO_GYS_1097</t>
        </is>
      </c>
      <c r="J1101" s="11" t="n">
        <v>27.7</v>
      </c>
      <c r="K1101" s="11" t="n">
        <v>32.4</v>
      </c>
      <c r="L1101" s="12" t="n">
        <v>50</v>
      </c>
      <c r="M1101" s="10" t="inlineStr">
        <is>
          <t>是</t>
        </is>
      </c>
      <c r="N1101" s="10" t="inlineStr">
        <is>
          <t>是</t>
        </is>
      </c>
      <c r="O1101" s="10" t="inlineStr">
        <is>
          <t>supplier1097@example.com</t>
        </is>
      </c>
      <c r="P1101" s="10" t="inlineStr">
        <is>
          <t>https://example.com/supplier/1097</t>
        </is>
      </c>
      <c r="Q1101" s="10">
        <f>IF(R1101&gt;=85,"A",IF(R1101&gt;=70,"B","C"))</f>
        <v/>
      </c>
      <c r="R1101" s="13">
        <f>MIN(100,50+IF(M1101="是",10,0)+IF(N1101="是",10,0)+IF(L1101&lt;=100,10,IF(L1101&lt;=300,5,0))+IF(J1101&lt;=20,10,IF(J1101&lt;=50,5,0))+IF(K1101-J1101&lt;=20,5,0)+IF(F1101="企业官网",5,0))</f>
        <v/>
      </c>
      <c r="S1101" s="10">
        <f>IF(Q1101="A","价格与起订量有优势，建议优先询盘",IF(Q1101="B","条件较均衡，可作为备选","起订量或价格需要进一步确认"))</f>
        <v/>
      </c>
      <c r="T1101" s="10" t="inlineStr">
        <is>
          <t>未联系</t>
        </is>
      </c>
      <c r="U1101" s="10" t="inlineStr">
        <is>
          <t>虚构演示数据</t>
        </is>
      </c>
    </row>
    <row r="1102" ht="21" customHeight="1">
      <c r="A1102" s="10" t="inlineStr">
        <is>
          <t>GYS-1098</t>
        </is>
      </c>
      <c r="B1102" s="10" t="inlineStr">
        <is>
          <t>南昌食品包装供应链1098有限公司（演示）</t>
        </is>
      </c>
      <c r="C1102" s="10" t="inlineStr">
        <is>
          <t>食品包装</t>
        </is>
      </c>
      <c r="D1102" s="10" t="inlineStr">
        <is>
          <t>密封包装袋</t>
        </is>
      </c>
      <c r="E1102" s="10" t="inlineStr">
        <is>
          <t>江西南昌</t>
        </is>
      </c>
      <c r="F1102" s="10" t="inlineStr">
        <is>
          <t>慧聪网</t>
        </is>
      </c>
      <c r="G1102" s="10" t="inlineStr">
        <is>
          <t>周经理</t>
        </is>
      </c>
      <c r="H1102" s="10" t="inlineStr">
        <is>
          <t>000-0000-1098</t>
        </is>
      </c>
      <c r="I1102" s="10" t="inlineStr">
        <is>
          <t>DEMO_GYS_1098</t>
        </is>
      </c>
      <c r="J1102" s="11" t="n">
        <v>29.4</v>
      </c>
      <c r="K1102" s="11" t="n">
        <v>35.2</v>
      </c>
      <c r="L1102" s="12" t="n">
        <v>20</v>
      </c>
      <c r="M1102" s="10" t="inlineStr">
        <is>
          <t>是</t>
        </is>
      </c>
      <c r="N1102" s="10" t="inlineStr">
        <is>
          <t>否</t>
        </is>
      </c>
      <c r="O1102" s="10" t="inlineStr">
        <is>
          <t>supplier1098@example.com</t>
        </is>
      </c>
      <c r="P1102" s="10" t="inlineStr">
        <is>
          <t>https://example.com/supplier/1098</t>
        </is>
      </c>
      <c r="Q1102" s="10">
        <f>IF(R1102&gt;=85,"A",IF(R1102&gt;=70,"B","C"))</f>
        <v/>
      </c>
      <c r="R1102" s="13">
        <f>MIN(100,50+IF(M1102="是",10,0)+IF(N1102="是",10,0)+IF(L1102&lt;=100,10,IF(L1102&lt;=300,5,0))+IF(J1102&lt;=20,10,IF(J1102&lt;=50,5,0))+IF(K1102-J1102&lt;=20,5,0)+IF(F1102="企业官网",5,0))</f>
        <v/>
      </c>
      <c r="S1102" s="10">
        <f>IF(Q1102="A","价格与起订量有优势，建议优先询盘",IF(Q1102="B","条件较均衡，可作为备选","起订量或价格需要进一步确认"))</f>
        <v/>
      </c>
      <c r="T1102" s="10" t="inlineStr">
        <is>
          <t>未联系</t>
        </is>
      </c>
      <c r="U1102" s="10" t="inlineStr">
        <is>
          <t>虚构演示数据</t>
        </is>
      </c>
    </row>
    <row r="1103" ht="21" customHeight="1">
      <c r="A1103" s="10" t="inlineStr">
        <is>
          <t>GYS-1099</t>
        </is>
      </c>
      <c r="B1103" s="10" t="inlineStr">
        <is>
          <t>温州户外照明供应链1099有限公司（演示）</t>
        </is>
      </c>
      <c r="C1103" s="10" t="inlineStr">
        <is>
          <t>户外照明</t>
        </is>
      </c>
      <c r="D1103" s="10" t="inlineStr">
        <is>
          <t>便携露营灯</t>
        </is>
      </c>
      <c r="E1103" s="10" t="inlineStr">
        <is>
          <t>浙江温州</t>
        </is>
      </c>
      <c r="F1103" s="10" t="inlineStr">
        <is>
          <t>1688</t>
        </is>
      </c>
      <c r="G1103" s="10" t="inlineStr">
        <is>
          <t>吴经理</t>
        </is>
      </c>
      <c r="H1103" s="10" t="inlineStr">
        <is>
          <t>000-0000-1099</t>
        </is>
      </c>
      <c r="I1103" s="10" t="inlineStr">
        <is>
          <t>DEMO_GYS_1099</t>
        </is>
      </c>
      <c r="J1103" s="11" t="n">
        <v>31.1</v>
      </c>
      <c r="K1103" s="11" t="n">
        <v>38</v>
      </c>
      <c r="L1103" s="12" t="n">
        <v>500</v>
      </c>
      <c r="M1103" s="10" t="inlineStr">
        <is>
          <t>是</t>
        </is>
      </c>
      <c r="N1103" s="10" t="inlineStr">
        <is>
          <t>是</t>
        </is>
      </c>
      <c r="O1103" s="10" t="inlineStr">
        <is>
          <t>supplier1099@example.com</t>
        </is>
      </c>
      <c r="P1103" s="10" t="inlineStr">
        <is>
          <t>https://example.com/supplier/1099</t>
        </is>
      </c>
      <c r="Q1103" s="10">
        <f>IF(R1103&gt;=85,"A",IF(R1103&gt;=70,"B","C"))</f>
        <v/>
      </c>
      <c r="R1103" s="13">
        <f>MIN(100,50+IF(M1103="是",10,0)+IF(N1103="是",10,0)+IF(L1103&lt;=100,10,IF(L1103&lt;=300,5,0))+IF(J1103&lt;=20,10,IF(J1103&lt;=50,5,0))+IF(K1103-J1103&lt;=20,5,0)+IF(F1103="企业官网",5,0))</f>
        <v/>
      </c>
      <c r="S1103" s="10">
        <f>IF(Q1103="A","价格与起订量有优势，建议优先询盘",IF(Q1103="B","条件较均衡，可作为备选","起订量或价格需要进一步确认"))</f>
        <v/>
      </c>
      <c r="T1103" s="10" t="inlineStr">
        <is>
          <t>未联系</t>
        </is>
      </c>
      <c r="U1103" s="10" t="inlineStr">
        <is>
          <t>虚构演示数据</t>
        </is>
      </c>
    </row>
    <row r="1104" ht="21" customHeight="1">
      <c r="A1104" s="10" t="inlineStr">
        <is>
          <t>GYS-1100</t>
        </is>
      </c>
      <c r="B1104" s="10" t="inlineStr">
        <is>
          <t>广州健康用品供应链1100有限公司（演示）</t>
        </is>
      </c>
      <c r="C1104" s="10" t="inlineStr">
        <is>
          <t>健康用品</t>
        </is>
      </c>
      <c r="D1104" s="10" t="inlineStr">
        <is>
          <t>热敷眼罩</t>
        </is>
      </c>
      <c r="E1104" s="10" t="inlineStr">
        <is>
          <t>广东广州</t>
        </is>
      </c>
      <c r="F1104" s="10" t="inlineStr">
        <is>
          <t>中国制造网</t>
        </is>
      </c>
      <c r="G1104" s="10" t="inlineStr">
        <is>
          <t>陈经理</t>
        </is>
      </c>
      <c r="H1104" s="10" t="inlineStr">
        <is>
          <t>000-0000-1100</t>
        </is>
      </c>
      <c r="I1104" s="10" t="inlineStr">
        <is>
          <t>DEMO_GYS_1100</t>
        </is>
      </c>
      <c r="J1104" s="11" t="n">
        <v>32.8</v>
      </c>
      <c r="K1104" s="11" t="n">
        <v>40.8</v>
      </c>
      <c r="L1104" s="12" t="n">
        <v>300</v>
      </c>
      <c r="M1104" s="10" t="inlineStr">
        <is>
          <t>否</t>
        </is>
      </c>
      <c r="N1104" s="10" t="inlineStr">
        <is>
          <t>是</t>
        </is>
      </c>
      <c r="O1104" s="10" t="inlineStr">
        <is>
          <t>supplier1100@example.com</t>
        </is>
      </c>
      <c r="P1104" s="10" t="inlineStr">
        <is>
          <t>https://example.com/supplier/1100</t>
        </is>
      </c>
      <c r="Q1104" s="10">
        <f>IF(R1104&gt;=85,"A",IF(R1104&gt;=70,"B","C"))</f>
        <v/>
      </c>
      <c r="R1104" s="13">
        <f>MIN(100,50+IF(M1104="是",10,0)+IF(N1104="是",10,0)+IF(L1104&lt;=100,10,IF(L1104&lt;=300,5,0))+IF(J1104&lt;=20,10,IF(J1104&lt;=50,5,0))+IF(K1104-J1104&lt;=20,5,0)+IF(F1104="企业官网",5,0))</f>
        <v/>
      </c>
      <c r="S1104" s="10">
        <f>IF(Q1104="A","价格与起订量有优势，建议优先询盘",IF(Q1104="B","条件较均衡，可作为备选","起订量或价格需要进一步确认"))</f>
        <v/>
      </c>
      <c r="T1104" s="10" t="inlineStr">
        <is>
          <t>未联系</t>
        </is>
      </c>
      <c r="U1104" s="10" t="inlineStr">
        <is>
          <t>虚构演示数据</t>
        </is>
      </c>
    </row>
    <row r="1105" ht="21" customHeight="1">
      <c r="A1105" s="10" t="inlineStr">
        <is>
          <t>GYS-1101</t>
        </is>
      </c>
      <c r="B1105" s="10" t="inlineStr">
        <is>
          <t>泉州服饰内衣供应链1101有限公司（演示）</t>
        </is>
      </c>
      <c r="C1105" s="10" t="inlineStr">
        <is>
          <t>服饰内衣</t>
        </is>
      </c>
      <c r="D1105" s="10" t="inlineStr">
        <is>
          <t>防滑袜</t>
        </is>
      </c>
      <c r="E1105" s="10" t="inlineStr">
        <is>
          <t>福建泉州</t>
        </is>
      </c>
      <c r="F1105" s="10" t="inlineStr">
        <is>
          <t>企业官网</t>
        </is>
      </c>
      <c r="G1105" s="10" t="inlineStr">
        <is>
          <t>林经理</t>
        </is>
      </c>
      <c r="H1105" s="10" t="inlineStr">
        <is>
          <t>000-0000-1101</t>
        </is>
      </c>
      <c r="I1105" s="10" t="inlineStr">
        <is>
          <t>DEMO_GYS_1101</t>
        </is>
      </c>
      <c r="J1105" s="11" t="n">
        <v>34.5</v>
      </c>
      <c r="K1105" s="11" t="n">
        <v>43.6</v>
      </c>
      <c r="L1105" s="12" t="n">
        <v>200</v>
      </c>
      <c r="M1105" s="10" t="inlineStr">
        <is>
          <t>是</t>
        </is>
      </c>
      <c r="N1105" s="10" t="inlineStr">
        <is>
          <t>否</t>
        </is>
      </c>
      <c r="O1105" s="10" t="inlineStr">
        <is>
          <t>supplier1101@example.com</t>
        </is>
      </c>
      <c r="P1105" s="10" t="inlineStr">
        <is>
          <t>https://example.com/supplier/1101</t>
        </is>
      </c>
      <c r="Q1105" s="10">
        <f>IF(R1105&gt;=85,"A",IF(R1105&gt;=70,"B","C"))</f>
        <v/>
      </c>
      <c r="R1105" s="13">
        <f>MIN(100,50+IF(M1105="是",10,0)+IF(N1105="是",10,0)+IF(L1105&lt;=100,10,IF(L1105&lt;=300,5,0))+IF(J1105&lt;=20,10,IF(J1105&lt;=50,5,0))+IF(K1105-J1105&lt;=20,5,0)+IF(F1105="企业官网",5,0))</f>
        <v/>
      </c>
      <c r="S1105" s="10">
        <f>IF(Q1105="A","价格与起订量有优势，建议优先询盘",IF(Q1105="B","条件较均衡，可作为备选","起订量或价格需要进一步确认"))</f>
        <v/>
      </c>
      <c r="T1105" s="10" t="inlineStr">
        <is>
          <t>未联系</t>
        </is>
      </c>
      <c r="U1105" s="10" t="inlineStr">
        <is>
          <t>虚构演示数据</t>
        </is>
      </c>
    </row>
    <row r="1106" ht="21" customHeight="1">
      <c r="A1106" s="10" t="inlineStr">
        <is>
          <t>GYS-1102</t>
        </is>
      </c>
      <c r="B1106" s="10" t="inlineStr">
        <is>
          <t>南通家居日用供应链1102有限公司（演示）</t>
        </is>
      </c>
      <c r="C1106" s="10" t="inlineStr">
        <is>
          <t>家居日用</t>
        </is>
      </c>
      <c r="D1106" s="10" t="inlineStr">
        <is>
          <t>折叠收纳箱</t>
        </is>
      </c>
      <c r="E1106" s="10" t="inlineStr">
        <is>
          <t>江苏南通</t>
        </is>
      </c>
      <c r="F1106" s="10" t="inlineStr">
        <is>
          <t>义乌购</t>
        </is>
      </c>
      <c r="G1106" s="10" t="inlineStr">
        <is>
          <t>王经理</t>
        </is>
      </c>
      <c r="H1106" s="10" t="inlineStr">
        <is>
          <t>000-0000-1102</t>
        </is>
      </c>
      <c r="I1106" s="10" t="inlineStr">
        <is>
          <t>DEMO_GYS_1102</t>
        </is>
      </c>
      <c r="J1106" s="11" t="n">
        <v>36.2</v>
      </c>
      <c r="K1106" s="11" t="n">
        <v>46.4</v>
      </c>
      <c r="L1106" s="12" t="n">
        <v>100</v>
      </c>
      <c r="M1106" s="10" t="inlineStr">
        <is>
          <t>是</t>
        </is>
      </c>
      <c r="N1106" s="10" t="inlineStr">
        <is>
          <t>是</t>
        </is>
      </c>
      <c r="O1106" s="10" t="inlineStr">
        <is>
          <t>supplier1102@example.com</t>
        </is>
      </c>
      <c r="P1106" s="10" t="inlineStr">
        <is>
          <t>https://example.com/supplier/1102</t>
        </is>
      </c>
      <c r="Q1106" s="10">
        <f>IF(R1106&gt;=85,"A",IF(R1106&gt;=70,"B","C"))</f>
        <v/>
      </c>
      <c r="R1106" s="13">
        <f>MIN(100,50+IF(M1106="是",10,0)+IF(N1106="是",10,0)+IF(L1106&lt;=100,10,IF(L1106&lt;=300,5,0))+IF(J1106&lt;=20,10,IF(J1106&lt;=50,5,0))+IF(K1106-J1106&lt;=20,5,0)+IF(F1106="企业官网",5,0))</f>
        <v/>
      </c>
      <c r="S1106" s="10">
        <f>IF(Q1106="A","价格与起订量有优势，建议优先询盘",IF(Q1106="B","条件较均衡，可作为备选","起订量或价格需要进一步确认"))</f>
        <v/>
      </c>
      <c r="T1106" s="10" t="inlineStr">
        <is>
          <t>未联系</t>
        </is>
      </c>
      <c r="U1106" s="10" t="inlineStr">
        <is>
          <t>虚构演示数据</t>
        </is>
      </c>
    </row>
    <row r="1107" ht="21" customHeight="1">
      <c r="A1107" s="10" t="inlineStr">
        <is>
          <t>GYS-1103</t>
        </is>
      </c>
      <c r="B1107" s="10" t="inlineStr">
        <is>
          <t>郑州个护清洁供应链1103有限公司（演示）</t>
        </is>
      </c>
      <c r="C1107" s="10" t="inlineStr">
        <is>
          <t>个护清洁</t>
        </is>
      </c>
      <c r="D1107" s="10" t="inlineStr">
        <is>
          <t>便携洗脸巾</t>
        </is>
      </c>
      <c r="E1107" s="10" t="inlineStr">
        <is>
          <t>河南郑州</t>
        </is>
      </c>
      <c r="F1107" s="10" t="inlineStr">
        <is>
          <t>慧聪网</t>
        </is>
      </c>
      <c r="G1107" s="10" t="inlineStr">
        <is>
          <t>李经理</t>
        </is>
      </c>
      <c r="H1107" s="10" t="inlineStr">
        <is>
          <t>000-0000-1103</t>
        </is>
      </c>
      <c r="I1107" s="10" t="inlineStr">
        <is>
          <t>DEMO_GYS_1103</t>
        </is>
      </c>
      <c r="J1107" s="11" t="n">
        <v>37.9</v>
      </c>
      <c r="K1107" s="11" t="n">
        <v>49.2</v>
      </c>
      <c r="L1107" s="12" t="n">
        <v>50</v>
      </c>
      <c r="M1107" s="10" t="inlineStr">
        <is>
          <t>是</t>
        </is>
      </c>
      <c r="N1107" s="10" t="inlineStr">
        <is>
          <t>是</t>
        </is>
      </c>
      <c r="O1107" s="10" t="inlineStr">
        <is>
          <t>supplier1103@example.com</t>
        </is>
      </c>
      <c r="P1107" s="10" t="inlineStr">
        <is>
          <t>https://example.com/supplier/1103</t>
        </is>
      </c>
      <c r="Q1107" s="10">
        <f>IF(R1107&gt;=85,"A",IF(R1107&gt;=70,"B","C"))</f>
        <v/>
      </c>
      <c r="R1107" s="13">
        <f>MIN(100,50+IF(M1107="是",10,0)+IF(N1107="是",10,0)+IF(L1107&lt;=100,10,IF(L1107&lt;=300,5,0))+IF(J1107&lt;=20,10,IF(J1107&lt;=50,5,0))+IF(K1107-J1107&lt;=20,5,0)+IF(F1107="企业官网",5,0))</f>
        <v/>
      </c>
      <c r="S1107" s="10">
        <f>IF(Q1107="A","价格与起订量有优势，建议优先询盘",IF(Q1107="B","条件较均衡，可作为备选","起订量或价格需要进一步确认"))</f>
        <v/>
      </c>
      <c r="T1107" s="10" t="inlineStr">
        <is>
          <t>未联系</t>
        </is>
      </c>
      <c r="U1107" s="10" t="inlineStr">
        <is>
          <t>虚构演示数据</t>
        </is>
      </c>
    </row>
    <row r="1108" ht="21" customHeight="1">
      <c r="A1108" s="10" t="inlineStr">
        <is>
          <t>GYS-1104</t>
        </is>
      </c>
      <c r="B1108" s="10" t="inlineStr">
        <is>
          <t>宁波厨房用品供应链1104有限公司（演示）</t>
        </is>
      </c>
      <c r="C1108" s="10" t="inlineStr">
        <is>
          <t>厨房用品</t>
        </is>
      </c>
      <c r="D1108" s="10" t="inlineStr">
        <is>
          <t>硅胶保鲜盒</t>
        </is>
      </c>
      <c r="E1108" s="10" t="inlineStr">
        <is>
          <t>浙江宁波</t>
        </is>
      </c>
      <c r="F1108" s="10" t="inlineStr">
        <is>
          <t>1688</t>
        </is>
      </c>
      <c r="G1108" s="10" t="inlineStr">
        <is>
          <t>张经理</t>
        </is>
      </c>
      <c r="H1108" s="10" t="inlineStr">
        <is>
          <t>000-0000-1104</t>
        </is>
      </c>
      <c r="I1108" s="10" t="inlineStr">
        <is>
          <t>DEMO_GYS_1104</t>
        </is>
      </c>
      <c r="J1108" s="11" t="n">
        <v>39.6</v>
      </c>
      <c r="K1108" s="11" t="n">
        <v>52</v>
      </c>
      <c r="L1108" s="12" t="n">
        <v>20</v>
      </c>
      <c r="M1108" s="10" t="inlineStr">
        <is>
          <t>否</t>
        </is>
      </c>
      <c r="N1108" s="10" t="inlineStr">
        <is>
          <t>否</t>
        </is>
      </c>
      <c r="O1108" s="10" t="inlineStr">
        <is>
          <t>supplier1104@example.com</t>
        </is>
      </c>
      <c r="P1108" s="10" t="inlineStr">
        <is>
          <t>https://example.com/supplier/1104</t>
        </is>
      </c>
      <c r="Q1108" s="10">
        <f>IF(R1108&gt;=85,"A",IF(R1108&gt;=70,"B","C"))</f>
        <v/>
      </c>
      <c r="R1108" s="13">
        <f>MIN(100,50+IF(M1108="是",10,0)+IF(N1108="是",10,0)+IF(L1108&lt;=100,10,IF(L1108&lt;=300,5,0))+IF(J1108&lt;=20,10,IF(J1108&lt;=50,5,0))+IF(K1108-J1108&lt;=20,5,0)+IF(F1108="企业官网",5,0))</f>
        <v/>
      </c>
      <c r="S1108" s="10">
        <f>IF(Q1108="A","价格与起订量有优势，建议优先询盘",IF(Q1108="B","条件较均衡，可作为备选","起订量或价格需要进一步确认"))</f>
        <v/>
      </c>
      <c r="T1108" s="10" t="inlineStr">
        <is>
          <t>未联系</t>
        </is>
      </c>
      <c r="U1108" s="10" t="inlineStr">
        <is>
          <t>虚构演示数据</t>
        </is>
      </c>
    </row>
    <row r="1109" ht="21" customHeight="1">
      <c r="A1109" s="10" t="inlineStr">
        <is>
          <t>GYS-1105</t>
        </is>
      </c>
      <c r="B1109" s="10" t="inlineStr">
        <is>
          <t>深圳数码配件供应链1105有限公司（演示）</t>
        </is>
      </c>
      <c r="C1109" s="10" t="inlineStr">
        <is>
          <t>数码配件</t>
        </is>
      </c>
      <c r="D1109" s="10" t="inlineStr">
        <is>
          <t>磁吸手机支架</t>
        </is>
      </c>
      <c r="E1109" s="10" t="inlineStr">
        <is>
          <t>广东深圳</t>
        </is>
      </c>
      <c r="F1109" s="10" t="inlineStr">
        <is>
          <t>中国制造网</t>
        </is>
      </c>
      <c r="G1109" s="10" t="inlineStr">
        <is>
          <t>刘经理</t>
        </is>
      </c>
      <c r="H1109" s="10" t="inlineStr">
        <is>
          <t>000-0000-1105</t>
        </is>
      </c>
      <c r="I1109" s="10" t="inlineStr">
        <is>
          <t>DEMO_GYS_1105</t>
        </is>
      </c>
      <c r="J1109" s="11" t="n">
        <v>41.3</v>
      </c>
      <c r="K1109" s="11" t="n">
        <v>54.8</v>
      </c>
      <c r="L1109" s="12" t="n">
        <v>500</v>
      </c>
      <c r="M1109" s="10" t="inlineStr">
        <is>
          <t>是</t>
        </is>
      </c>
      <c r="N1109" s="10" t="inlineStr">
        <is>
          <t>是</t>
        </is>
      </c>
      <c r="O1109" s="10" t="inlineStr">
        <is>
          <t>supplier1105@example.com</t>
        </is>
      </c>
      <c r="P1109" s="10" t="inlineStr">
        <is>
          <t>https://example.com/supplier/1105</t>
        </is>
      </c>
      <c r="Q1109" s="10">
        <f>IF(R1109&gt;=85,"A",IF(R1109&gt;=70,"B","C"))</f>
        <v/>
      </c>
      <c r="R1109" s="13">
        <f>MIN(100,50+IF(M1109="是",10,0)+IF(N1109="是",10,0)+IF(L1109&lt;=100,10,IF(L1109&lt;=300,5,0))+IF(J1109&lt;=20,10,IF(J1109&lt;=50,5,0))+IF(K1109-J1109&lt;=20,5,0)+IF(F1109="企业官网",5,0))</f>
        <v/>
      </c>
      <c r="S1109" s="10">
        <f>IF(Q1109="A","价格与起订量有优势，建议优先询盘",IF(Q1109="B","条件较均衡，可作为备选","起订量或价格需要进一步确认"))</f>
        <v/>
      </c>
      <c r="T1109" s="10" t="inlineStr">
        <is>
          <t>未联系</t>
        </is>
      </c>
      <c r="U1109" s="10" t="inlineStr">
        <is>
          <t>虚构演示数据</t>
        </is>
      </c>
    </row>
    <row r="1110" ht="21" customHeight="1">
      <c r="A1110" s="10" t="inlineStr">
        <is>
          <t>GYS-1106</t>
        </is>
      </c>
      <c r="B1110" s="10" t="inlineStr">
        <is>
          <t>佛山宠物用品供应链1106有限公司（演示）</t>
        </is>
      </c>
      <c r="C1110" s="10" t="inlineStr">
        <is>
          <t>宠物用品</t>
        </is>
      </c>
      <c r="D1110" s="10" t="inlineStr">
        <is>
          <t>宠物清洁手套</t>
        </is>
      </c>
      <c r="E1110" s="10" t="inlineStr">
        <is>
          <t>广东佛山</t>
        </is>
      </c>
      <c r="F1110" s="10" t="inlineStr">
        <is>
          <t>企业官网</t>
        </is>
      </c>
      <c r="G1110" s="10" t="inlineStr">
        <is>
          <t>黄经理</t>
        </is>
      </c>
      <c r="H1110" s="10" t="inlineStr">
        <is>
          <t>000-0000-1106</t>
        </is>
      </c>
      <c r="I1110" s="10" t="inlineStr">
        <is>
          <t>DEMO_GYS_1106</t>
        </is>
      </c>
      <c r="J1110" s="11" t="n">
        <v>43</v>
      </c>
      <c r="K1110" s="11" t="n">
        <v>57.6</v>
      </c>
      <c r="L1110" s="12" t="n">
        <v>300</v>
      </c>
      <c r="M1110" s="10" t="inlineStr">
        <is>
          <t>是</t>
        </is>
      </c>
      <c r="N1110" s="10" t="inlineStr">
        <is>
          <t>是</t>
        </is>
      </c>
      <c r="O1110" s="10" t="inlineStr">
        <is>
          <t>supplier1106@example.com</t>
        </is>
      </c>
      <c r="P1110" s="10" t="inlineStr">
        <is>
          <t>https://example.com/supplier/1106</t>
        </is>
      </c>
      <c r="Q1110" s="10">
        <f>IF(R1110&gt;=85,"A",IF(R1110&gt;=70,"B","C"))</f>
        <v/>
      </c>
      <c r="R1110" s="13">
        <f>MIN(100,50+IF(M1110="是",10,0)+IF(N1110="是",10,0)+IF(L1110&lt;=100,10,IF(L1110&lt;=300,5,0))+IF(J1110&lt;=20,10,IF(J1110&lt;=50,5,0))+IF(K1110-J1110&lt;=20,5,0)+IF(F1110="企业官网",5,0))</f>
        <v/>
      </c>
      <c r="S1110" s="10">
        <f>IF(Q1110="A","价格与起订量有优势，建议优先询盘",IF(Q1110="B","条件较均衡，可作为备选","起订量或价格需要进一步确认"))</f>
        <v/>
      </c>
      <c r="T1110" s="10" t="inlineStr">
        <is>
          <t>未联系</t>
        </is>
      </c>
      <c r="U1110" s="10" t="inlineStr">
        <is>
          <t>虚构演示数据</t>
        </is>
      </c>
    </row>
    <row r="1111" ht="21" customHeight="1">
      <c r="A1111" s="10" t="inlineStr">
        <is>
          <t>GYS-1107</t>
        </is>
      </c>
      <c r="B1111" s="10" t="inlineStr">
        <is>
          <t>苏州母婴用品供应链1107有限公司（演示）</t>
        </is>
      </c>
      <c r="C1111" s="10" t="inlineStr">
        <is>
          <t>母婴用品</t>
        </is>
      </c>
      <c r="D1111" s="10" t="inlineStr">
        <is>
          <t>婴儿防撞条</t>
        </is>
      </c>
      <c r="E1111" s="10" t="inlineStr">
        <is>
          <t>江苏苏州</t>
        </is>
      </c>
      <c r="F1111" s="10" t="inlineStr">
        <is>
          <t>义乌购</t>
        </is>
      </c>
      <c r="G1111" s="10" t="inlineStr">
        <is>
          <t>赵经理</t>
        </is>
      </c>
      <c r="H1111" s="10" t="inlineStr">
        <is>
          <t>000-0000-1107</t>
        </is>
      </c>
      <c r="I1111" s="10" t="inlineStr">
        <is>
          <t>DEMO_GYS_1107</t>
        </is>
      </c>
      <c r="J1111" s="11" t="n">
        <v>44.7</v>
      </c>
      <c r="K1111" s="11" t="n">
        <v>60.4</v>
      </c>
      <c r="L1111" s="12" t="n">
        <v>200</v>
      </c>
      <c r="M1111" s="10" t="inlineStr">
        <is>
          <t>是</t>
        </is>
      </c>
      <c r="N1111" s="10" t="inlineStr">
        <is>
          <t>否</t>
        </is>
      </c>
      <c r="O1111" s="10" t="inlineStr">
        <is>
          <t>supplier1107@example.com</t>
        </is>
      </c>
      <c r="P1111" s="10" t="inlineStr">
        <is>
          <t>https://example.com/supplier/1107</t>
        </is>
      </c>
      <c r="Q1111" s="10">
        <f>IF(R1111&gt;=85,"A",IF(R1111&gt;=70,"B","C"))</f>
        <v/>
      </c>
      <c r="R1111" s="13">
        <f>MIN(100,50+IF(M1111="是",10,0)+IF(N1111="是",10,0)+IF(L1111&lt;=100,10,IF(L1111&lt;=300,5,0))+IF(J1111&lt;=20,10,IF(J1111&lt;=50,5,0))+IF(K1111-J1111&lt;=20,5,0)+IF(F1111="企业官网",5,0))</f>
        <v/>
      </c>
      <c r="S1111" s="10">
        <f>IF(Q1111="A","价格与起订量有优势，建议优先询盘",IF(Q1111="B","条件较均衡，可作为备选","起订量或价格需要进一步确认"))</f>
        <v/>
      </c>
      <c r="T1111" s="10" t="inlineStr">
        <is>
          <t>未联系</t>
        </is>
      </c>
      <c r="U1111" s="10" t="inlineStr">
        <is>
          <t>虚构演示数据</t>
        </is>
      </c>
    </row>
    <row r="1112" ht="21" customHeight="1">
      <c r="A1112" s="10" t="inlineStr">
        <is>
          <t>GYS-1108</t>
        </is>
      </c>
      <c r="B1112" s="10" t="inlineStr">
        <is>
          <t>白沟运动户外供应链1108有限公司（演示）</t>
        </is>
      </c>
      <c r="C1112" s="10" t="inlineStr">
        <is>
          <t>运动户外</t>
        </is>
      </c>
      <c r="D1112" s="10" t="inlineStr">
        <is>
          <t>弹力训练带</t>
        </is>
      </c>
      <c r="E1112" s="10" t="inlineStr">
        <is>
          <t>河北白沟</t>
        </is>
      </c>
      <c r="F1112" s="10" t="inlineStr">
        <is>
          <t>慧聪网</t>
        </is>
      </c>
      <c r="G1112" s="10" t="inlineStr">
        <is>
          <t>周经理</t>
        </is>
      </c>
      <c r="H1112" s="10" t="inlineStr">
        <is>
          <t>000-0000-1108</t>
        </is>
      </c>
      <c r="I1112" s="10" t="inlineStr">
        <is>
          <t>DEMO_GYS_1108</t>
        </is>
      </c>
      <c r="J1112" s="11" t="n">
        <v>46.4</v>
      </c>
      <c r="K1112" s="11" t="n">
        <v>63.2</v>
      </c>
      <c r="L1112" s="12" t="n">
        <v>100</v>
      </c>
      <c r="M1112" s="10" t="inlineStr">
        <is>
          <t>否</t>
        </is>
      </c>
      <c r="N1112" s="10" t="inlineStr">
        <is>
          <t>是</t>
        </is>
      </c>
      <c r="O1112" s="10" t="inlineStr">
        <is>
          <t>supplier1108@example.com</t>
        </is>
      </c>
      <c r="P1112" s="10" t="inlineStr">
        <is>
          <t>https://example.com/supplier/1108</t>
        </is>
      </c>
      <c r="Q1112" s="10">
        <f>IF(R1112&gt;=85,"A",IF(R1112&gt;=70,"B","C"))</f>
        <v/>
      </c>
      <c r="R1112" s="13">
        <f>MIN(100,50+IF(M1112="是",10,0)+IF(N1112="是",10,0)+IF(L1112&lt;=100,10,IF(L1112&lt;=300,5,0))+IF(J1112&lt;=20,10,IF(J1112&lt;=50,5,0))+IF(K1112-J1112&lt;=20,5,0)+IF(F1112="企业官网",5,0))</f>
        <v/>
      </c>
      <c r="S1112" s="10">
        <f>IF(Q1112="A","价格与起订量有优势，建议优先询盘",IF(Q1112="B","条件较均衡，可作为备选","起订量或价格需要进一步确认"))</f>
        <v/>
      </c>
      <c r="T1112" s="10" t="inlineStr">
        <is>
          <t>未联系</t>
        </is>
      </c>
      <c r="U1112" s="10" t="inlineStr">
        <is>
          <t>虚构演示数据</t>
        </is>
      </c>
    </row>
    <row r="1113" ht="21" customHeight="1">
      <c r="A1113" s="10" t="inlineStr">
        <is>
          <t>GYS-1109</t>
        </is>
      </c>
      <c r="B1113" s="10" t="inlineStr">
        <is>
          <t>义乌办公文具供应链1109有限公司（演示）</t>
        </is>
      </c>
      <c r="C1113" s="10" t="inlineStr">
        <is>
          <t>办公文具</t>
        </is>
      </c>
      <c r="D1113" s="10" t="inlineStr">
        <is>
          <t>桌面收纳架</t>
        </is>
      </c>
      <c r="E1113" s="10" t="inlineStr">
        <is>
          <t>浙江义乌</t>
        </is>
      </c>
      <c r="F1113" s="10" t="inlineStr">
        <is>
          <t>1688</t>
        </is>
      </c>
      <c r="G1113" s="10" t="inlineStr">
        <is>
          <t>吴经理</t>
        </is>
      </c>
      <c r="H1113" s="10" t="inlineStr">
        <is>
          <t>000-0000-1109</t>
        </is>
      </c>
      <c r="I1113" s="10" t="inlineStr">
        <is>
          <t>DEMO_GYS_1109</t>
        </is>
      </c>
      <c r="J1113" s="11" t="n">
        <v>48.1</v>
      </c>
      <c r="K1113" s="11" t="n">
        <v>66</v>
      </c>
      <c r="L1113" s="12" t="n">
        <v>50</v>
      </c>
      <c r="M1113" s="10" t="inlineStr">
        <is>
          <t>是</t>
        </is>
      </c>
      <c r="N1113" s="10" t="inlineStr">
        <is>
          <t>是</t>
        </is>
      </c>
      <c r="O1113" s="10" t="inlineStr">
        <is>
          <t>supplier1109@example.com</t>
        </is>
      </c>
      <c r="P1113" s="10" t="inlineStr">
        <is>
          <t>https://example.com/supplier/1109</t>
        </is>
      </c>
      <c r="Q1113" s="10">
        <f>IF(R1113&gt;=85,"A",IF(R1113&gt;=70,"B","C"))</f>
        <v/>
      </c>
      <c r="R1113" s="13">
        <f>MIN(100,50+IF(M1113="是",10,0)+IF(N1113="是",10,0)+IF(L1113&lt;=100,10,IF(L1113&lt;=300,5,0))+IF(J1113&lt;=20,10,IF(J1113&lt;=50,5,0))+IF(K1113-J1113&lt;=20,5,0)+IF(F1113="企业官网",5,0))</f>
        <v/>
      </c>
      <c r="S1113" s="10">
        <f>IF(Q1113="A","价格与起订量有优势，建议优先询盘",IF(Q1113="B","条件较均衡，可作为备选","起订量或价格需要进一步确认"))</f>
        <v/>
      </c>
      <c r="T1113" s="10" t="inlineStr">
        <is>
          <t>未联系</t>
        </is>
      </c>
      <c r="U1113" s="10" t="inlineStr">
        <is>
          <t>虚构演示数据</t>
        </is>
      </c>
    </row>
    <row r="1114" ht="21" customHeight="1">
      <c r="A1114" s="10" t="inlineStr">
        <is>
          <t>GYS-1110</t>
        </is>
      </c>
      <c r="B1114" s="10" t="inlineStr">
        <is>
          <t>台州汽车用品供应链1110有限公司（演示）</t>
        </is>
      </c>
      <c r="C1114" s="10" t="inlineStr">
        <is>
          <t>汽车用品</t>
        </is>
      </c>
      <c r="D1114" s="10" t="inlineStr">
        <is>
          <t>车载香薰</t>
        </is>
      </c>
      <c r="E1114" s="10" t="inlineStr">
        <is>
          <t>浙江台州</t>
        </is>
      </c>
      <c r="F1114" s="10" t="inlineStr">
        <is>
          <t>中国制造网</t>
        </is>
      </c>
      <c r="G1114" s="10" t="inlineStr">
        <is>
          <t>陈经理</t>
        </is>
      </c>
      <c r="H1114" s="10" t="inlineStr">
        <is>
          <t>000-0000-1110</t>
        </is>
      </c>
      <c r="I1114" s="10" t="inlineStr">
        <is>
          <t>DEMO_GYS_1110</t>
        </is>
      </c>
      <c r="J1114" s="11" t="n">
        <v>3.8</v>
      </c>
      <c r="K1114" s="11" t="n">
        <v>22.8</v>
      </c>
      <c r="L1114" s="12" t="n">
        <v>20</v>
      </c>
      <c r="M1114" s="10" t="inlineStr">
        <is>
          <t>是</t>
        </is>
      </c>
      <c r="N1114" s="10" t="inlineStr">
        <is>
          <t>否</t>
        </is>
      </c>
      <c r="O1114" s="10" t="inlineStr">
        <is>
          <t>supplier1110@example.com</t>
        </is>
      </c>
      <c r="P1114" s="10" t="inlineStr">
        <is>
          <t>https://example.com/supplier/1110</t>
        </is>
      </c>
      <c r="Q1114" s="10">
        <f>IF(R1114&gt;=85,"A",IF(R1114&gt;=70,"B","C"))</f>
        <v/>
      </c>
      <c r="R1114" s="13">
        <f>MIN(100,50+IF(M1114="是",10,0)+IF(N1114="是",10,0)+IF(L1114&lt;=100,10,IF(L1114&lt;=300,5,0))+IF(J1114&lt;=20,10,IF(J1114&lt;=50,5,0))+IF(K1114-J1114&lt;=20,5,0)+IF(F1114="企业官网",5,0))</f>
        <v/>
      </c>
      <c r="S1114" s="10">
        <f>IF(Q1114="A","价格与起订量有优势，建议优先询盘",IF(Q1114="B","条件较均衡，可作为备选","起订量或价格需要进一步确认"))</f>
        <v/>
      </c>
      <c r="T1114" s="10" t="inlineStr">
        <is>
          <t>未联系</t>
        </is>
      </c>
      <c r="U1114" s="10" t="inlineStr">
        <is>
          <t>虚构演示数据</t>
        </is>
      </c>
    </row>
    <row r="1115" ht="21" customHeight="1">
      <c r="A1115" s="10" t="inlineStr">
        <is>
          <t>GYS-1111</t>
        </is>
      </c>
      <c r="B1115" s="10" t="inlineStr">
        <is>
          <t>东莞美容工具供应链1111有限公司（演示）</t>
        </is>
      </c>
      <c r="C1115" s="10" t="inlineStr">
        <is>
          <t>美容工具</t>
        </is>
      </c>
      <c r="D1115" s="10" t="inlineStr">
        <is>
          <t>便携化妆镜</t>
        </is>
      </c>
      <c r="E1115" s="10" t="inlineStr">
        <is>
          <t>广东东莞</t>
        </is>
      </c>
      <c r="F1115" s="10" t="inlineStr">
        <is>
          <t>企业官网</t>
        </is>
      </c>
      <c r="G1115" s="10" t="inlineStr">
        <is>
          <t>林经理</t>
        </is>
      </c>
      <c r="H1115" s="10" t="inlineStr">
        <is>
          <t>000-0000-1111</t>
        </is>
      </c>
      <c r="I1115" s="10" t="inlineStr">
        <is>
          <t>DEMO_GYS_1111</t>
        </is>
      </c>
      <c r="J1115" s="11" t="n">
        <v>5.5</v>
      </c>
      <c r="K1115" s="11" t="n">
        <v>25.6</v>
      </c>
      <c r="L1115" s="12" t="n">
        <v>500</v>
      </c>
      <c r="M1115" s="10" t="inlineStr">
        <is>
          <t>是</t>
        </is>
      </c>
      <c r="N1115" s="10" t="inlineStr">
        <is>
          <t>是</t>
        </is>
      </c>
      <c r="O1115" s="10" t="inlineStr">
        <is>
          <t>supplier1111@example.com</t>
        </is>
      </c>
      <c r="P1115" s="10" t="inlineStr">
        <is>
          <t>https://example.com/supplier/1111</t>
        </is>
      </c>
      <c r="Q1115" s="10">
        <f>IF(R1115&gt;=85,"A",IF(R1115&gt;=70,"B","C"))</f>
        <v/>
      </c>
      <c r="R1115" s="13">
        <f>MIN(100,50+IF(M1115="是",10,0)+IF(N1115="是",10,0)+IF(L1115&lt;=100,10,IF(L1115&lt;=300,5,0))+IF(J1115&lt;=20,10,IF(J1115&lt;=50,5,0))+IF(K1115-J1115&lt;=20,5,0)+IF(F1115="企业官网",5,0))</f>
        <v/>
      </c>
      <c r="S1115" s="10">
        <f>IF(Q1115="A","价格与起订量有优势，建议优先询盘",IF(Q1115="B","条件较均衡，可作为备选","起订量或价格需要进一步确认"))</f>
        <v/>
      </c>
      <c r="T1115" s="10" t="inlineStr">
        <is>
          <t>未联系</t>
        </is>
      </c>
      <c r="U1115" s="10" t="inlineStr">
        <is>
          <t>虚构演示数据</t>
        </is>
      </c>
    </row>
    <row r="1116" ht="21" customHeight="1">
      <c r="A1116" s="10" t="inlineStr">
        <is>
          <t>GYS-1112</t>
        </is>
      </c>
      <c r="B1116" s="10" t="inlineStr">
        <is>
          <t>厦门旅行用品供应链1112有限公司（演示）</t>
        </is>
      </c>
      <c r="C1116" s="10" t="inlineStr">
        <is>
          <t>旅行用品</t>
        </is>
      </c>
      <c r="D1116" s="10" t="inlineStr">
        <is>
          <t>压缩收纳袋</t>
        </is>
      </c>
      <c r="E1116" s="10" t="inlineStr">
        <is>
          <t>福建厦门</t>
        </is>
      </c>
      <c r="F1116" s="10" t="inlineStr">
        <is>
          <t>义乌购</t>
        </is>
      </c>
      <c r="G1116" s="10" t="inlineStr">
        <is>
          <t>王经理</t>
        </is>
      </c>
      <c r="H1116" s="10" t="inlineStr">
        <is>
          <t>000-0000-1112</t>
        </is>
      </c>
      <c r="I1116" s="10" t="inlineStr">
        <is>
          <t>DEMO_GYS_1112</t>
        </is>
      </c>
      <c r="J1116" s="11" t="n">
        <v>7.2</v>
      </c>
      <c r="K1116" s="11" t="n">
        <v>28.4</v>
      </c>
      <c r="L1116" s="12" t="n">
        <v>300</v>
      </c>
      <c r="M1116" s="10" t="inlineStr">
        <is>
          <t>否</t>
        </is>
      </c>
      <c r="N1116" s="10" t="inlineStr">
        <is>
          <t>是</t>
        </is>
      </c>
      <c r="O1116" s="10" t="inlineStr">
        <is>
          <t>supplier1112@example.com</t>
        </is>
      </c>
      <c r="P1116" s="10" t="inlineStr">
        <is>
          <t>https://example.com/supplier/1112</t>
        </is>
      </c>
      <c r="Q1116" s="10">
        <f>IF(R1116&gt;=85,"A",IF(R1116&gt;=70,"B","C"))</f>
        <v/>
      </c>
      <c r="R1116" s="13">
        <f>MIN(100,50+IF(M1116="是",10,0)+IF(N1116="是",10,0)+IF(L1116&lt;=100,10,IF(L1116&lt;=300,5,0))+IF(J1116&lt;=20,10,IF(J1116&lt;=50,5,0))+IF(K1116-J1116&lt;=20,5,0)+IF(F1116="企业官网",5,0))</f>
        <v/>
      </c>
      <c r="S1116" s="10">
        <f>IF(Q1116="A","价格与起订量有优势，建议优先询盘",IF(Q1116="B","条件较均衡，可作为备选","起订量或价格需要进一步确认"))</f>
        <v/>
      </c>
      <c r="T1116" s="10" t="inlineStr">
        <is>
          <t>未联系</t>
        </is>
      </c>
      <c r="U1116" s="10" t="inlineStr">
        <is>
          <t>虚构演示数据</t>
        </is>
      </c>
    </row>
    <row r="1117" ht="21" customHeight="1">
      <c r="A1117" s="10" t="inlineStr">
        <is>
          <t>GYS-1113</t>
        </is>
      </c>
      <c r="B1117" s="10" t="inlineStr">
        <is>
          <t>临沂清洁工具供应链1113有限公司（演示）</t>
        </is>
      </c>
      <c r="C1117" s="10" t="inlineStr">
        <is>
          <t>清洁工具</t>
        </is>
      </c>
      <c r="D1117" s="10" t="inlineStr">
        <is>
          <t>免手洗拖把</t>
        </is>
      </c>
      <c r="E1117" s="10" t="inlineStr">
        <is>
          <t>山东临沂</t>
        </is>
      </c>
      <c r="F1117" s="10" t="inlineStr">
        <is>
          <t>慧聪网</t>
        </is>
      </c>
      <c r="G1117" s="10" t="inlineStr">
        <is>
          <t>李经理</t>
        </is>
      </c>
      <c r="H1117" s="10" t="inlineStr">
        <is>
          <t>000-0000-1113</t>
        </is>
      </c>
      <c r="I1117" s="10" t="inlineStr">
        <is>
          <t>DEMO_GYS_1113</t>
        </is>
      </c>
      <c r="J1117" s="11" t="n">
        <v>8.9</v>
      </c>
      <c r="K1117" s="11" t="n">
        <v>13.2</v>
      </c>
      <c r="L1117" s="12" t="n">
        <v>200</v>
      </c>
      <c r="M1117" s="10" t="inlineStr">
        <is>
          <t>是</t>
        </is>
      </c>
      <c r="N1117" s="10" t="inlineStr">
        <is>
          <t>否</t>
        </is>
      </c>
      <c r="O1117" s="10" t="inlineStr">
        <is>
          <t>supplier1113@example.com</t>
        </is>
      </c>
      <c r="P1117" s="10" t="inlineStr">
        <is>
          <t>https://example.com/supplier/1113</t>
        </is>
      </c>
      <c r="Q1117" s="10">
        <f>IF(R1117&gt;=85,"A",IF(R1117&gt;=70,"B","C"))</f>
        <v/>
      </c>
      <c r="R1117" s="13">
        <f>MIN(100,50+IF(M1117="是",10,0)+IF(N1117="是",10,0)+IF(L1117&lt;=100,10,IF(L1117&lt;=300,5,0))+IF(J1117&lt;=20,10,IF(J1117&lt;=50,5,0))+IF(K1117-J1117&lt;=20,5,0)+IF(F1117="企业官网",5,0))</f>
        <v/>
      </c>
      <c r="S1117" s="10">
        <f>IF(Q1117="A","价格与起订量有优势，建议优先询盘",IF(Q1117="B","条件较均衡，可作为备选","起订量或价格需要进一步确认"))</f>
        <v/>
      </c>
      <c r="T1117" s="10" t="inlineStr">
        <is>
          <t>未联系</t>
        </is>
      </c>
      <c r="U1117" s="10" t="inlineStr">
        <is>
          <t>虚构演示数据</t>
        </is>
      </c>
    </row>
    <row r="1118" ht="21" customHeight="1">
      <c r="A1118" s="10" t="inlineStr">
        <is>
          <t>GYS-1114</t>
        </is>
      </c>
      <c r="B1118" s="10" t="inlineStr">
        <is>
          <t>南昌小家电供应链1114有限公司（演示）</t>
        </is>
      </c>
      <c r="C1118" s="10" t="inlineStr">
        <is>
          <t>小家电</t>
        </is>
      </c>
      <c r="D1118" s="10" t="inlineStr">
        <is>
          <t>迷你加湿器</t>
        </is>
      </c>
      <c r="E1118" s="10" t="inlineStr">
        <is>
          <t>江西南昌</t>
        </is>
      </c>
      <c r="F1118" s="10" t="inlineStr">
        <is>
          <t>1688</t>
        </is>
      </c>
      <c r="G1118" s="10" t="inlineStr">
        <is>
          <t>张经理</t>
        </is>
      </c>
      <c r="H1118" s="10" t="inlineStr">
        <is>
          <t>000-0000-1114</t>
        </is>
      </c>
      <c r="I1118" s="10" t="inlineStr">
        <is>
          <t>DEMO_GYS_1114</t>
        </is>
      </c>
      <c r="J1118" s="11" t="n">
        <v>10.6</v>
      </c>
      <c r="K1118" s="11" t="n">
        <v>16</v>
      </c>
      <c r="L1118" s="12" t="n">
        <v>100</v>
      </c>
      <c r="M1118" s="10" t="inlineStr">
        <is>
          <t>是</t>
        </is>
      </c>
      <c r="N1118" s="10" t="inlineStr">
        <is>
          <t>是</t>
        </is>
      </c>
      <c r="O1118" s="10" t="inlineStr">
        <is>
          <t>supplier1114@example.com</t>
        </is>
      </c>
      <c r="P1118" s="10" t="inlineStr">
        <is>
          <t>https://example.com/supplier/1114</t>
        </is>
      </c>
      <c r="Q1118" s="10">
        <f>IF(R1118&gt;=85,"A",IF(R1118&gt;=70,"B","C"))</f>
        <v/>
      </c>
      <c r="R1118" s="13">
        <f>MIN(100,50+IF(M1118="是",10,0)+IF(N1118="是",10,0)+IF(L1118&lt;=100,10,IF(L1118&lt;=300,5,0))+IF(J1118&lt;=20,10,IF(J1118&lt;=50,5,0))+IF(K1118-J1118&lt;=20,5,0)+IF(F1118="企业官网",5,0))</f>
        <v/>
      </c>
      <c r="S1118" s="10">
        <f>IF(Q1118="A","价格与起订量有优势，建议优先询盘",IF(Q1118="B","条件较均衡，可作为备选","起订量或价格需要进一步确认"))</f>
        <v/>
      </c>
      <c r="T1118" s="10" t="inlineStr">
        <is>
          <t>未联系</t>
        </is>
      </c>
      <c r="U1118" s="10" t="inlineStr">
        <is>
          <t>虚构演示数据</t>
        </is>
      </c>
    </row>
    <row r="1119" ht="21" customHeight="1">
      <c r="A1119" s="10" t="inlineStr">
        <is>
          <t>GYS-1115</t>
        </is>
      </c>
      <c r="B1119" s="10" t="inlineStr">
        <is>
          <t>温州礼品包装供应链1115有限公司（演示）</t>
        </is>
      </c>
      <c r="C1119" s="10" t="inlineStr">
        <is>
          <t>礼品包装</t>
        </is>
      </c>
      <c r="D1119" s="10" t="inlineStr">
        <is>
          <t>节日礼盒</t>
        </is>
      </c>
      <c r="E1119" s="10" t="inlineStr">
        <is>
          <t>浙江温州</t>
        </is>
      </c>
      <c r="F1119" s="10" t="inlineStr">
        <is>
          <t>中国制造网</t>
        </is>
      </c>
      <c r="G1119" s="10" t="inlineStr">
        <is>
          <t>刘经理</t>
        </is>
      </c>
      <c r="H1119" s="10" t="inlineStr">
        <is>
          <t>000-0000-1115</t>
        </is>
      </c>
      <c r="I1119" s="10" t="inlineStr">
        <is>
          <t>DEMO_GYS_1115</t>
        </is>
      </c>
      <c r="J1119" s="11" t="n">
        <v>12.3</v>
      </c>
      <c r="K1119" s="11" t="n">
        <v>18.8</v>
      </c>
      <c r="L1119" s="12" t="n">
        <v>50</v>
      </c>
      <c r="M1119" s="10" t="inlineStr">
        <is>
          <t>是</t>
        </is>
      </c>
      <c r="N1119" s="10" t="inlineStr">
        <is>
          <t>是</t>
        </is>
      </c>
      <c r="O1119" s="10" t="inlineStr">
        <is>
          <t>supplier1115@example.com</t>
        </is>
      </c>
      <c r="P1119" s="10" t="inlineStr">
        <is>
          <t>https://example.com/supplier/1115</t>
        </is>
      </c>
      <c r="Q1119" s="10">
        <f>IF(R1119&gt;=85,"A",IF(R1119&gt;=70,"B","C"))</f>
        <v/>
      </c>
      <c r="R1119" s="13">
        <f>MIN(100,50+IF(M1119="是",10,0)+IF(N1119="是",10,0)+IF(L1119&lt;=100,10,IF(L1119&lt;=300,5,0))+IF(J1119&lt;=20,10,IF(J1119&lt;=50,5,0))+IF(K1119-J1119&lt;=20,5,0)+IF(F1119="企业官网",5,0))</f>
        <v/>
      </c>
      <c r="S1119" s="10">
        <f>IF(Q1119="A","价格与起订量有优势，建议优先询盘",IF(Q1119="B","条件较均衡，可作为备选","起订量或价格需要进一步确认"))</f>
        <v/>
      </c>
      <c r="T1119" s="10" t="inlineStr">
        <is>
          <t>未联系</t>
        </is>
      </c>
      <c r="U1119" s="10" t="inlineStr">
        <is>
          <t>虚构演示数据</t>
        </is>
      </c>
    </row>
    <row r="1120" ht="21" customHeight="1">
      <c r="A1120" s="10" t="inlineStr">
        <is>
          <t>GYS-1116</t>
        </is>
      </c>
      <c r="B1120" s="10" t="inlineStr">
        <is>
          <t>广州五金工具供应链1116有限公司（演示）</t>
        </is>
      </c>
      <c r="C1120" s="10" t="inlineStr">
        <is>
          <t>五金工具</t>
        </is>
      </c>
      <c r="D1120" s="10" t="inlineStr">
        <is>
          <t>多功能螺丝刀</t>
        </is>
      </c>
      <c r="E1120" s="10" t="inlineStr">
        <is>
          <t>广东广州</t>
        </is>
      </c>
      <c r="F1120" s="10" t="inlineStr">
        <is>
          <t>企业官网</t>
        </is>
      </c>
      <c r="G1120" s="10" t="inlineStr">
        <is>
          <t>黄经理</t>
        </is>
      </c>
      <c r="H1120" s="10" t="inlineStr">
        <is>
          <t>000-0000-1116</t>
        </is>
      </c>
      <c r="I1120" s="10" t="inlineStr">
        <is>
          <t>DEMO_GYS_1116</t>
        </is>
      </c>
      <c r="J1120" s="11" t="n">
        <v>14</v>
      </c>
      <c r="K1120" s="11" t="n">
        <v>21.6</v>
      </c>
      <c r="L1120" s="12" t="n">
        <v>20</v>
      </c>
      <c r="M1120" s="10" t="inlineStr">
        <is>
          <t>否</t>
        </is>
      </c>
      <c r="N1120" s="10" t="inlineStr">
        <is>
          <t>否</t>
        </is>
      </c>
      <c r="O1120" s="10" t="inlineStr">
        <is>
          <t>supplier1116@example.com</t>
        </is>
      </c>
      <c r="P1120" s="10" t="inlineStr">
        <is>
          <t>https://example.com/supplier/1116</t>
        </is>
      </c>
      <c r="Q1120" s="10">
        <f>IF(R1120&gt;=85,"A",IF(R1120&gt;=70,"B","C"))</f>
        <v/>
      </c>
      <c r="R1120" s="13">
        <f>MIN(100,50+IF(M1120="是",10,0)+IF(N1120="是",10,0)+IF(L1120&lt;=100,10,IF(L1120&lt;=300,5,0))+IF(J1120&lt;=20,10,IF(J1120&lt;=50,5,0))+IF(K1120-J1120&lt;=20,5,0)+IF(F1120="企业官网",5,0))</f>
        <v/>
      </c>
      <c r="S1120" s="10">
        <f>IF(Q1120="A","价格与起订量有优势，建议优先询盘",IF(Q1120="B","条件较均衡，可作为备选","起订量或价格需要进一步确认"))</f>
        <v/>
      </c>
      <c r="T1120" s="10" t="inlineStr">
        <is>
          <t>未联系</t>
        </is>
      </c>
      <c r="U1120" s="10" t="inlineStr">
        <is>
          <t>虚构演示数据</t>
        </is>
      </c>
    </row>
    <row r="1121" ht="21" customHeight="1">
      <c r="A1121" s="10" t="inlineStr">
        <is>
          <t>GYS-1117</t>
        </is>
      </c>
      <c r="B1121" s="10" t="inlineStr">
        <is>
          <t>泉州鞋靴配件供应链1117有限公司（演示）</t>
        </is>
      </c>
      <c r="C1121" s="10" t="inlineStr">
        <is>
          <t>鞋靴配件</t>
        </is>
      </c>
      <c r="D1121" s="10" t="inlineStr">
        <is>
          <t>防磨脚贴</t>
        </is>
      </c>
      <c r="E1121" s="10" t="inlineStr">
        <is>
          <t>福建泉州</t>
        </is>
      </c>
      <c r="F1121" s="10" t="inlineStr">
        <is>
          <t>义乌购</t>
        </is>
      </c>
      <c r="G1121" s="10" t="inlineStr">
        <is>
          <t>赵经理</t>
        </is>
      </c>
      <c r="H1121" s="10" t="inlineStr">
        <is>
          <t>000-0000-1117</t>
        </is>
      </c>
      <c r="I1121" s="10" t="inlineStr">
        <is>
          <t>DEMO_GYS_1117</t>
        </is>
      </c>
      <c r="J1121" s="11" t="n">
        <v>15.7</v>
      </c>
      <c r="K1121" s="11" t="n">
        <v>24.4</v>
      </c>
      <c r="L1121" s="12" t="n">
        <v>500</v>
      </c>
      <c r="M1121" s="10" t="inlineStr">
        <is>
          <t>是</t>
        </is>
      </c>
      <c r="N1121" s="10" t="inlineStr">
        <is>
          <t>是</t>
        </is>
      </c>
      <c r="O1121" s="10" t="inlineStr">
        <is>
          <t>supplier1117@example.com</t>
        </is>
      </c>
      <c r="P1121" s="10" t="inlineStr">
        <is>
          <t>https://example.com/supplier/1117</t>
        </is>
      </c>
      <c r="Q1121" s="10">
        <f>IF(R1121&gt;=85,"A",IF(R1121&gt;=70,"B","C"))</f>
        <v/>
      </c>
      <c r="R1121" s="13">
        <f>MIN(100,50+IF(M1121="是",10,0)+IF(N1121="是",10,0)+IF(L1121&lt;=100,10,IF(L1121&lt;=300,5,0))+IF(J1121&lt;=20,10,IF(J1121&lt;=50,5,0))+IF(K1121-J1121&lt;=20,5,0)+IF(F1121="企业官网",5,0))</f>
        <v/>
      </c>
      <c r="S1121" s="10">
        <f>IF(Q1121="A","价格与起订量有优势，建议优先询盘",IF(Q1121="B","条件较均衡，可作为备选","起订量或价格需要进一步确认"))</f>
        <v/>
      </c>
      <c r="T1121" s="10" t="inlineStr">
        <is>
          <t>未联系</t>
        </is>
      </c>
      <c r="U1121" s="10" t="inlineStr">
        <is>
          <t>虚构演示数据</t>
        </is>
      </c>
    </row>
    <row r="1122" ht="21" customHeight="1">
      <c r="A1122" s="10" t="inlineStr">
        <is>
          <t>GYS-1118</t>
        </is>
      </c>
      <c r="B1122" s="10" t="inlineStr">
        <is>
          <t>南通食品包装供应链1118有限公司（演示）</t>
        </is>
      </c>
      <c r="C1122" s="10" t="inlineStr">
        <is>
          <t>食品包装</t>
        </is>
      </c>
      <c r="D1122" s="10" t="inlineStr">
        <is>
          <t>密封包装袋</t>
        </is>
      </c>
      <c r="E1122" s="10" t="inlineStr">
        <is>
          <t>江苏南通</t>
        </is>
      </c>
      <c r="F1122" s="10" t="inlineStr">
        <is>
          <t>慧聪网</t>
        </is>
      </c>
      <c r="G1122" s="10" t="inlineStr">
        <is>
          <t>周经理</t>
        </is>
      </c>
      <c r="H1122" s="10" t="inlineStr">
        <is>
          <t>000-0000-1118</t>
        </is>
      </c>
      <c r="I1122" s="10" t="inlineStr">
        <is>
          <t>DEMO_GYS_1118</t>
        </is>
      </c>
      <c r="J1122" s="11" t="n">
        <v>17.4</v>
      </c>
      <c r="K1122" s="11" t="n">
        <v>27.2</v>
      </c>
      <c r="L1122" s="12" t="n">
        <v>300</v>
      </c>
      <c r="M1122" s="10" t="inlineStr">
        <is>
          <t>是</t>
        </is>
      </c>
      <c r="N1122" s="10" t="inlineStr">
        <is>
          <t>是</t>
        </is>
      </c>
      <c r="O1122" s="10" t="inlineStr">
        <is>
          <t>supplier1118@example.com</t>
        </is>
      </c>
      <c r="P1122" s="10" t="inlineStr">
        <is>
          <t>https://example.com/supplier/1118</t>
        </is>
      </c>
      <c r="Q1122" s="10">
        <f>IF(R1122&gt;=85,"A",IF(R1122&gt;=70,"B","C"))</f>
        <v/>
      </c>
      <c r="R1122" s="13">
        <f>MIN(100,50+IF(M1122="是",10,0)+IF(N1122="是",10,0)+IF(L1122&lt;=100,10,IF(L1122&lt;=300,5,0))+IF(J1122&lt;=20,10,IF(J1122&lt;=50,5,0))+IF(K1122-J1122&lt;=20,5,0)+IF(F1122="企业官网",5,0))</f>
        <v/>
      </c>
      <c r="S1122" s="10">
        <f>IF(Q1122="A","价格与起订量有优势，建议优先询盘",IF(Q1122="B","条件较均衡，可作为备选","起订量或价格需要进一步确认"))</f>
        <v/>
      </c>
      <c r="T1122" s="10" t="inlineStr">
        <is>
          <t>未联系</t>
        </is>
      </c>
      <c r="U1122" s="10" t="inlineStr">
        <is>
          <t>虚构演示数据</t>
        </is>
      </c>
    </row>
    <row r="1123" ht="21" customHeight="1">
      <c r="A1123" s="10" t="inlineStr">
        <is>
          <t>GYS-1119</t>
        </is>
      </c>
      <c r="B1123" s="10" t="inlineStr">
        <is>
          <t>郑州户外照明供应链1119有限公司（演示）</t>
        </is>
      </c>
      <c r="C1123" s="10" t="inlineStr">
        <is>
          <t>户外照明</t>
        </is>
      </c>
      <c r="D1123" s="10" t="inlineStr">
        <is>
          <t>便携露营灯</t>
        </is>
      </c>
      <c r="E1123" s="10" t="inlineStr">
        <is>
          <t>河南郑州</t>
        </is>
      </c>
      <c r="F1123" s="10" t="inlineStr">
        <is>
          <t>1688</t>
        </is>
      </c>
      <c r="G1123" s="10" t="inlineStr">
        <is>
          <t>吴经理</t>
        </is>
      </c>
      <c r="H1123" s="10" t="inlineStr">
        <is>
          <t>000-0000-1119</t>
        </is>
      </c>
      <c r="I1123" s="10" t="inlineStr">
        <is>
          <t>DEMO_GYS_1119</t>
        </is>
      </c>
      <c r="J1123" s="11" t="n">
        <v>19.1</v>
      </c>
      <c r="K1123" s="11" t="n">
        <v>30</v>
      </c>
      <c r="L1123" s="12" t="n">
        <v>200</v>
      </c>
      <c r="M1123" s="10" t="inlineStr">
        <is>
          <t>是</t>
        </is>
      </c>
      <c r="N1123" s="10" t="inlineStr">
        <is>
          <t>否</t>
        </is>
      </c>
      <c r="O1123" s="10" t="inlineStr">
        <is>
          <t>supplier1119@example.com</t>
        </is>
      </c>
      <c r="P1123" s="10" t="inlineStr">
        <is>
          <t>https://example.com/supplier/1119</t>
        </is>
      </c>
      <c r="Q1123" s="10">
        <f>IF(R1123&gt;=85,"A",IF(R1123&gt;=70,"B","C"))</f>
        <v/>
      </c>
      <c r="R1123" s="13">
        <f>MIN(100,50+IF(M1123="是",10,0)+IF(N1123="是",10,0)+IF(L1123&lt;=100,10,IF(L1123&lt;=300,5,0))+IF(J1123&lt;=20,10,IF(J1123&lt;=50,5,0))+IF(K1123-J1123&lt;=20,5,0)+IF(F1123="企业官网",5,0))</f>
        <v/>
      </c>
      <c r="S1123" s="10">
        <f>IF(Q1123="A","价格与起订量有优势，建议优先询盘",IF(Q1123="B","条件较均衡，可作为备选","起订量或价格需要进一步确认"))</f>
        <v/>
      </c>
      <c r="T1123" s="10" t="inlineStr">
        <is>
          <t>未联系</t>
        </is>
      </c>
      <c r="U1123" s="10" t="inlineStr">
        <is>
          <t>虚构演示数据</t>
        </is>
      </c>
    </row>
    <row r="1124" ht="21" customHeight="1">
      <c r="A1124" s="10" t="inlineStr">
        <is>
          <t>GYS-1120</t>
        </is>
      </c>
      <c r="B1124" s="10" t="inlineStr">
        <is>
          <t>宁波健康用品供应链1120有限公司（演示）</t>
        </is>
      </c>
      <c r="C1124" s="10" t="inlineStr">
        <is>
          <t>健康用品</t>
        </is>
      </c>
      <c r="D1124" s="10" t="inlineStr">
        <is>
          <t>热敷眼罩</t>
        </is>
      </c>
      <c r="E1124" s="10" t="inlineStr">
        <is>
          <t>浙江宁波</t>
        </is>
      </c>
      <c r="F1124" s="10" t="inlineStr">
        <is>
          <t>中国制造网</t>
        </is>
      </c>
      <c r="G1124" s="10" t="inlineStr">
        <is>
          <t>陈经理</t>
        </is>
      </c>
      <c r="H1124" s="10" t="inlineStr">
        <is>
          <t>000-0000-1120</t>
        </is>
      </c>
      <c r="I1124" s="10" t="inlineStr">
        <is>
          <t>DEMO_GYS_1120</t>
        </is>
      </c>
      <c r="J1124" s="11" t="n">
        <v>20.8</v>
      </c>
      <c r="K1124" s="11" t="n">
        <v>32.8</v>
      </c>
      <c r="L1124" s="12" t="n">
        <v>100</v>
      </c>
      <c r="M1124" s="10" t="inlineStr">
        <is>
          <t>否</t>
        </is>
      </c>
      <c r="N1124" s="10" t="inlineStr">
        <is>
          <t>是</t>
        </is>
      </c>
      <c r="O1124" s="10" t="inlineStr">
        <is>
          <t>supplier1120@example.com</t>
        </is>
      </c>
      <c r="P1124" s="10" t="inlineStr">
        <is>
          <t>https://example.com/supplier/1120</t>
        </is>
      </c>
      <c r="Q1124" s="10">
        <f>IF(R1124&gt;=85,"A",IF(R1124&gt;=70,"B","C"))</f>
        <v/>
      </c>
      <c r="R1124" s="13">
        <f>MIN(100,50+IF(M1124="是",10,0)+IF(N1124="是",10,0)+IF(L1124&lt;=100,10,IF(L1124&lt;=300,5,0))+IF(J1124&lt;=20,10,IF(J1124&lt;=50,5,0))+IF(K1124-J1124&lt;=20,5,0)+IF(F1124="企业官网",5,0))</f>
        <v/>
      </c>
      <c r="S1124" s="10">
        <f>IF(Q1124="A","价格与起订量有优势，建议优先询盘",IF(Q1124="B","条件较均衡，可作为备选","起订量或价格需要进一步确认"))</f>
        <v/>
      </c>
      <c r="T1124" s="10" t="inlineStr">
        <is>
          <t>未联系</t>
        </is>
      </c>
      <c r="U1124" s="10" t="inlineStr">
        <is>
          <t>虚构演示数据</t>
        </is>
      </c>
    </row>
    <row r="1125" ht="21" customHeight="1">
      <c r="A1125" s="10" t="inlineStr">
        <is>
          <t>GYS-1121</t>
        </is>
      </c>
      <c r="B1125" s="10" t="inlineStr">
        <is>
          <t>深圳服饰内衣供应链1121有限公司（演示）</t>
        </is>
      </c>
      <c r="C1125" s="10" t="inlineStr">
        <is>
          <t>服饰内衣</t>
        </is>
      </c>
      <c r="D1125" s="10" t="inlineStr">
        <is>
          <t>防滑袜</t>
        </is>
      </c>
      <c r="E1125" s="10" t="inlineStr">
        <is>
          <t>广东深圳</t>
        </is>
      </c>
      <c r="F1125" s="10" t="inlineStr">
        <is>
          <t>企业官网</t>
        </is>
      </c>
      <c r="G1125" s="10" t="inlineStr">
        <is>
          <t>林经理</t>
        </is>
      </c>
      <c r="H1125" s="10" t="inlineStr">
        <is>
          <t>000-0000-1121</t>
        </is>
      </c>
      <c r="I1125" s="10" t="inlineStr">
        <is>
          <t>DEMO_GYS_1121</t>
        </is>
      </c>
      <c r="J1125" s="11" t="n">
        <v>22.5</v>
      </c>
      <c r="K1125" s="11" t="n">
        <v>35.6</v>
      </c>
      <c r="L1125" s="12" t="n">
        <v>50</v>
      </c>
      <c r="M1125" s="10" t="inlineStr">
        <is>
          <t>是</t>
        </is>
      </c>
      <c r="N1125" s="10" t="inlineStr">
        <is>
          <t>是</t>
        </is>
      </c>
      <c r="O1125" s="10" t="inlineStr">
        <is>
          <t>supplier1121@example.com</t>
        </is>
      </c>
      <c r="P1125" s="10" t="inlineStr">
        <is>
          <t>https://example.com/supplier/1121</t>
        </is>
      </c>
      <c r="Q1125" s="10">
        <f>IF(R1125&gt;=85,"A",IF(R1125&gt;=70,"B","C"))</f>
        <v/>
      </c>
      <c r="R1125" s="13">
        <f>MIN(100,50+IF(M1125="是",10,0)+IF(N1125="是",10,0)+IF(L1125&lt;=100,10,IF(L1125&lt;=300,5,0))+IF(J1125&lt;=20,10,IF(J1125&lt;=50,5,0))+IF(K1125-J1125&lt;=20,5,0)+IF(F1125="企业官网",5,0))</f>
        <v/>
      </c>
      <c r="S1125" s="10">
        <f>IF(Q1125="A","价格与起订量有优势，建议优先询盘",IF(Q1125="B","条件较均衡，可作为备选","起订量或价格需要进一步确认"))</f>
        <v/>
      </c>
      <c r="T1125" s="10" t="inlineStr">
        <is>
          <t>未联系</t>
        </is>
      </c>
      <c r="U1125" s="10" t="inlineStr">
        <is>
          <t>虚构演示数据</t>
        </is>
      </c>
    </row>
    <row r="1126" ht="21" customHeight="1">
      <c r="A1126" s="10" t="inlineStr">
        <is>
          <t>GYS-1122</t>
        </is>
      </c>
      <c r="B1126" s="10" t="inlineStr">
        <is>
          <t>佛山家居日用供应链1122有限公司（演示）</t>
        </is>
      </c>
      <c r="C1126" s="10" t="inlineStr">
        <is>
          <t>家居日用</t>
        </is>
      </c>
      <c r="D1126" s="10" t="inlineStr">
        <is>
          <t>折叠收纳箱</t>
        </is>
      </c>
      <c r="E1126" s="10" t="inlineStr">
        <is>
          <t>广东佛山</t>
        </is>
      </c>
      <c r="F1126" s="10" t="inlineStr">
        <is>
          <t>义乌购</t>
        </is>
      </c>
      <c r="G1126" s="10" t="inlineStr">
        <is>
          <t>王经理</t>
        </is>
      </c>
      <c r="H1126" s="10" t="inlineStr">
        <is>
          <t>000-0000-1122</t>
        </is>
      </c>
      <c r="I1126" s="10" t="inlineStr">
        <is>
          <t>DEMO_GYS_1122</t>
        </is>
      </c>
      <c r="J1126" s="11" t="n">
        <v>24.2</v>
      </c>
      <c r="K1126" s="11" t="n">
        <v>38.4</v>
      </c>
      <c r="L1126" s="12" t="n">
        <v>20</v>
      </c>
      <c r="M1126" s="10" t="inlineStr">
        <is>
          <t>是</t>
        </is>
      </c>
      <c r="N1126" s="10" t="inlineStr">
        <is>
          <t>否</t>
        </is>
      </c>
      <c r="O1126" s="10" t="inlineStr">
        <is>
          <t>supplier1122@example.com</t>
        </is>
      </c>
      <c r="P1126" s="10" t="inlineStr">
        <is>
          <t>https://example.com/supplier/1122</t>
        </is>
      </c>
      <c r="Q1126" s="10">
        <f>IF(R1126&gt;=85,"A",IF(R1126&gt;=70,"B","C"))</f>
        <v/>
      </c>
      <c r="R1126" s="13">
        <f>MIN(100,50+IF(M1126="是",10,0)+IF(N1126="是",10,0)+IF(L1126&lt;=100,10,IF(L1126&lt;=300,5,0))+IF(J1126&lt;=20,10,IF(J1126&lt;=50,5,0))+IF(K1126-J1126&lt;=20,5,0)+IF(F1126="企业官网",5,0))</f>
        <v/>
      </c>
      <c r="S1126" s="10">
        <f>IF(Q1126="A","价格与起订量有优势，建议优先询盘",IF(Q1126="B","条件较均衡，可作为备选","起订量或价格需要进一步确认"))</f>
        <v/>
      </c>
      <c r="T1126" s="10" t="inlineStr">
        <is>
          <t>未联系</t>
        </is>
      </c>
      <c r="U1126" s="10" t="inlineStr">
        <is>
          <t>虚构演示数据</t>
        </is>
      </c>
    </row>
    <row r="1127" ht="21" customHeight="1">
      <c r="A1127" s="10" t="inlineStr">
        <is>
          <t>GYS-1123</t>
        </is>
      </c>
      <c r="B1127" s="10" t="inlineStr">
        <is>
          <t>苏州个护清洁供应链1123有限公司（演示）</t>
        </is>
      </c>
      <c r="C1127" s="10" t="inlineStr">
        <is>
          <t>个护清洁</t>
        </is>
      </c>
      <c r="D1127" s="10" t="inlineStr">
        <is>
          <t>便携洗脸巾</t>
        </is>
      </c>
      <c r="E1127" s="10" t="inlineStr">
        <is>
          <t>江苏苏州</t>
        </is>
      </c>
      <c r="F1127" s="10" t="inlineStr">
        <is>
          <t>慧聪网</t>
        </is>
      </c>
      <c r="G1127" s="10" t="inlineStr">
        <is>
          <t>李经理</t>
        </is>
      </c>
      <c r="H1127" s="10" t="inlineStr">
        <is>
          <t>000-0000-1123</t>
        </is>
      </c>
      <c r="I1127" s="10" t="inlineStr">
        <is>
          <t>DEMO_GYS_1123</t>
        </is>
      </c>
      <c r="J1127" s="11" t="n">
        <v>25.9</v>
      </c>
      <c r="K1127" s="11" t="n">
        <v>41.2</v>
      </c>
      <c r="L1127" s="12" t="n">
        <v>500</v>
      </c>
      <c r="M1127" s="10" t="inlineStr">
        <is>
          <t>是</t>
        </is>
      </c>
      <c r="N1127" s="10" t="inlineStr">
        <is>
          <t>是</t>
        </is>
      </c>
      <c r="O1127" s="10" t="inlineStr">
        <is>
          <t>supplier1123@example.com</t>
        </is>
      </c>
      <c r="P1127" s="10" t="inlineStr">
        <is>
          <t>https://example.com/supplier/1123</t>
        </is>
      </c>
      <c r="Q1127" s="10">
        <f>IF(R1127&gt;=85,"A",IF(R1127&gt;=70,"B","C"))</f>
        <v/>
      </c>
      <c r="R1127" s="13">
        <f>MIN(100,50+IF(M1127="是",10,0)+IF(N1127="是",10,0)+IF(L1127&lt;=100,10,IF(L1127&lt;=300,5,0))+IF(J1127&lt;=20,10,IF(J1127&lt;=50,5,0))+IF(K1127-J1127&lt;=20,5,0)+IF(F1127="企业官网",5,0))</f>
        <v/>
      </c>
      <c r="S1127" s="10">
        <f>IF(Q1127="A","价格与起订量有优势，建议优先询盘",IF(Q1127="B","条件较均衡，可作为备选","起订量或价格需要进一步确认"))</f>
        <v/>
      </c>
      <c r="T1127" s="10" t="inlineStr">
        <is>
          <t>未联系</t>
        </is>
      </c>
      <c r="U1127" s="10" t="inlineStr">
        <is>
          <t>虚构演示数据</t>
        </is>
      </c>
    </row>
    <row r="1128" ht="21" customHeight="1">
      <c r="A1128" s="10" t="inlineStr">
        <is>
          <t>GYS-1124</t>
        </is>
      </c>
      <c r="B1128" s="10" t="inlineStr">
        <is>
          <t>白沟厨房用品供应链1124有限公司（演示）</t>
        </is>
      </c>
      <c r="C1128" s="10" t="inlineStr">
        <is>
          <t>厨房用品</t>
        </is>
      </c>
      <c r="D1128" s="10" t="inlineStr">
        <is>
          <t>硅胶保鲜盒</t>
        </is>
      </c>
      <c r="E1128" s="10" t="inlineStr">
        <is>
          <t>河北白沟</t>
        </is>
      </c>
      <c r="F1128" s="10" t="inlineStr">
        <is>
          <t>1688</t>
        </is>
      </c>
      <c r="G1128" s="10" t="inlineStr">
        <is>
          <t>张经理</t>
        </is>
      </c>
      <c r="H1128" s="10" t="inlineStr">
        <is>
          <t>000-0000-1124</t>
        </is>
      </c>
      <c r="I1128" s="10" t="inlineStr">
        <is>
          <t>DEMO_GYS_1124</t>
        </is>
      </c>
      <c r="J1128" s="11" t="n">
        <v>27.6</v>
      </c>
      <c r="K1128" s="11" t="n">
        <v>44</v>
      </c>
      <c r="L1128" s="12" t="n">
        <v>300</v>
      </c>
      <c r="M1128" s="10" t="inlineStr">
        <is>
          <t>否</t>
        </is>
      </c>
      <c r="N1128" s="10" t="inlineStr">
        <is>
          <t>是</t>
        </is>
      </c>
      <c r="O1128" s="10" t="inlineStr">
        <is>
          <t>supplier1124@example.com</t>
        </is>
      </c>
      <c r="P1128" s="10" t="inlineStr">
        <is>
          <t>https://example.com/supplier/1124</t>
        </is>
      </c>
      <c r="Q1128" s="10">
        <f>IF(R1128&gt;=85,"A",IF(R1128&gt;=70,"B","C"))</f>
        <v/>
      </c>
      <c r="R1128" s="13">
        <f>MIN(100,50+IF(M1128="是",10,0)+IF(N1128="是",10,0)+IF(L1128&lt;=100,10,IF(L1128&lt;=300,5,0))+IF(J1128&lt;=20,10,IF(J1128&lt;=50,5,0))+IF(K1128-J1128&lt;=20,5,0)+IF(F1128="企业官网",5,0))</f>
        <v/>
      </c>
      <c r="S1128" s="10">
        <f>IF(Q1128="A","价格与起订量有优势，建议优先询盘",IF(Q1128="B","条件较均衡，可作为备选","起订量或价格需要进一步确认"))</f>
        <v/>
      </c>
      <c r="T1128" s="10" t="inlineStr">
        <is>
          <t>未联系</t>
        </is>
      </c>
      <c r="U1128" s="10" t="inlineStr">
        <is>
          <t>虚构演示数据</t>
        </is>
      </c>
    </row>
    <row r="1129" ht="21" customHeight="1">
      <c r="A1129" s="10" t="inlineStr">
        <is>
          <t>GYS-1125</t>
        </is>
      </c>
      <c r="B1129" s="10" t="inlineStr">
        <is>
          <t>义乌数码配件供应链1125有限公司（演示）</t>
        </is>
      </c>
      <c r="C1129" s="10" t="inlineStr">
        <is>
          <t>数码配件</t>
        </is>
      </c>
      <c r="D1129" s="10" t="inlineStr">
        <is>
          <t>磁吸手机支架</t>
        </is>
      </c>
      <c r="E1129" s="10" t="inlineStr">
        <is>
          <t>浙江义乌</t>
        </is>
      </c>
      <c r="F1129" s="10" t="inlineStr">
        <is>
          <t>中国制造网</t>
        </is>
      </c>
      <c r="G1129" s="10" t="inlineStr">
        <is>
          <t>刘经理</t>
        </is>
      </c>
      <c r="H1129" s="10" t="inlineStr">
        <is>
          <t>000-0000-1125</t>
        </is>
      </c>
      <c r="I1129" s="10" t="inlineStr">
        <is>
          <t>DEMO_GYS_1125</t>
        </is>
      </c>
      <c r="J1129" s="11" t="n">
        <v>29.3</v>
      </c>
      <c r="K1129" s="11" t="n">
        <v>46.8</v>
      </c>
      <c r="L1129" s="12" t="n">
        <v>200</v>
      </c>
      <c r="M1129" s="10" t="inlineStr">
        <is>
          <t>是</t>
        </is>
      </c>
      <c r="N1129" s="10" t="inlineStr">
        <is>
          <t>否</t>
        </is>
      </c>
      <c r="O1129" s="10" t="inlineStr">
        <is>
          <t>supplier1125@example.com</t>
        </is>
      </c>
      <c r="P1129" s="10" t="inlineStr">
        <is>
          <t>https://example.com/supplier/1125</t>
        </is>
      </c>
      <c r="Q1129" s="10">
        <f>IF(R1129&gt;=85,"A",IF(R1129&gt;=70,"B","C"))</f>
        <v/>
      </c>
      <c r="R1129" s="13">
        <f>MIN(100,50+IF(M1129="是",10,0)+IF(N1129="是",10,0)+IF(L1129&lt;=100,10,IF(L1129&lt;=300,5,0))+IF(J1129&lt;=20,10,IF(J1129&lt;=50,5,0))+IF(K1129-J1129&lt;=20,5,0)+IF(F1129="企业官网",5,0))</f>
        <v/>
      </c>
      <c r="S1129" s="10">
        <f>IF(Q1129="A","价格与起订量有优势，建议优先询盘",IF(Q1129="B","条件较均衡，可作为备选","起订量或价格需要进一步确认"))</f>
        <v/>
      </c>
      <c r="T1129" s="10" t="inlineStr">
        <is>
          <t>未联系</t>
        </is>
      </c>
      <c r="U1129" s="10" t="inlineStr">
        <is>
          <t>虚构演示数据</t>
        </is>
      </c>
    </row>
    <row r="1130" ht="21" customHeight="1">
      <c r="A1130" s="10" t="inlineStr">
        <is>
          <t>GYS-1126</t>
        </is>
      </c>
      <c r="B1130" s="10" t="inlineStr">
        <is>
          <t>台州宠物用品供应链1126有限公司（演示）</t>
        </is>
      </c>
      <c r="C1130" s="10" t="inlineStr">
        <is>
          <t>宠物用品</t>
        </is>
      </c>
      <c r="D1130" s="10" t="inlineStr">
        <is>
          <t>宠物清洁手套</t>
        </is>
      </c>
      <c r="E1130" s="10" t="inlineStr">
        <is>
          <t>浙江台州</t>
        </is>
      </c>
      <c r="F1130" s="10" t="inlineStr">
        <is>
          <t>企业官网</t>
        </is>
      </c>
      <c r="G1130" s="10" t="inlineStr">
        <is>
          <t>黄经理</t>
        </is>
      </c>
      <c r="H1130" s="10" t="inlineStr">
        <is>
          <t>000-0000-1126</t>
        </is>
      </c>
      <c r="I1130" s="10" t="inlineStr">
        <is>
          <t>DEMO_GYS_1126</t>
        </is>
      </c>
      <c r="J1130" s="11" t="n">
        <v>31</v>
      </c>
      <c r="K1130" s="11" t="n">
        <v>49.6</v>
      </c>
      <c r="L1130" s="12" t="n">
        <v>100</v>
      </c>
      <c r="M1130" s="10" t="inlineStr">
        <is>
          <t>是</t>
        </is>
      </c>
      <c r="N1130" s="10" t="inlineStr">
        <is>
          <t>是</t>
        </is>
      </c>
      <c r="O1130" s="10" t="inlineStr">
        <is>
          <t>supplier1126@example.com</t>
        </is>
      </c>
      <c r="P1130" s="10" t="inlineStr">
        <is>
          <t>https://example.com/supplier/1126</t>
        </is>
      </c>
      <c r="Q1130" s="10">
        <f>IF(R1130&gt;=85,"A",IF(R1130&gt;=70,"B","C"))</f>
        <v/>
      </c>
      <c r="R1130" s="13">
        <f>MIN(100,50+IF(M1130="是",10,0)+IF(N1130="是",10,0)+IF(L1130&lt;=100,10,IF(L1130&lt;=300,5,0))+IF(J1130&lt;=20,10,IF(J1130&lt;=50,5,0))+IF(K1130-J1130&lt;=20,5,0)+IF(F1130="企业官网",5,0))</f>
        <v/>
      </c>
      <c r="S1130" s="10">
        <f>IF(Q1130="A","价格与起订量有优势，建议优先询盘",IF(Q1130="B","条件较均衡，可作为备选","起订量或价格需要进一步确认"))</f>
        <v/>
      </c>
      <c r="T1130" s="10" t="inlineStr">
        <is>
          <t>未联系</t>
        </is>
      </c>
      <c r="U1130" s="10" t="inlineStr">
        <is>
          <t>虚构演示数据</t>
        </is>
      </c>
    </row>
    <row r="1131" ht="21" customHeight="1">
      <c r="A1131" s="10" t="inlineStr">
        <is>
          <t>GYS-1127</t>
        </is>
      </c>
      <c r="B1131" s="10" t="inlineStr">
        <is>
          <t>东莞母婴用品供应链1127有限公司（演示）</t>
        </is>
      </c>
      <c r="C1131" s="10" t="inlineStr">
        <is>
          <t>母婴用品</t>
        </is>
      </c>
      <c r="D1131" s="10" t="inlineStr">
        <is>
          <t>婴儿防撞条</t>
        </is>
      </c>
      <c r="E1131" s="10" t="inlineStr">
        <is>
          <t>广东东莞</t>
        </is>
      </c>
      <c r="F1131" s="10" t="inlineStr">
        <is>
          <t>义乌购</t>
        </is>
      </c>
      <c r="G1131" s="10" t="inlineStr">
        <is>
          <t>赵经理</t>
        </is>
      </c>
      <c r="H1131" s="10" t="inlineStr">
        <is>
          <t>000-0000-1127</t>
        </is>
      </c>
      <c r="I1131" s="10" t="inlineStr">
        <is>
          <t>DEMO_GYS_1127</t>
        </is>
      </c>
      <c r="J1131" s="11" t="n">
        <v>32.7</v>
      </c>
      <c r="K1131" s="11" t="n">
        <v>52.4</v>
      </c>
      <c r="L1131" s="12" t="n">
        <v>50</v>
      </c>
      <c r="M1131" s="10" t="inlineStr">
        <is>
          <t>是</t>
        </is>
      </c>
      <c r="N1131" s="10" t="inlineStr">
        <is>
          <t>是</t>
        </is>
      </c>
      <c r="O1131" s="10" t="inlineStr">
        <is>
          <t>supplier1127@example.com</t>
        </is>
      </c>
      <c r="P1131" s="10" t="inlineStr">
        <is>
          <t>https://example.com/supplier/1127</t>
        </is>
      </c>
      <c r="Q1131" s="10">
        <f>IF(R1131&gt;=85,"A",IF(R1131&gt;=70,"B","C"))</f>
        <v/>
      </c>
      <c r="R1131" s="13">
        <f>MIN(100,50+IF(M1131="是",10,0)+IF(N1131="是",10,0)+IF(L1131&lt;=100,10,IF(L1131&lt;=300,5,0))+IF(J1131&lt;=20,10,IF(J1131&lt;=50,5,0))+IF(K1131-J1131&lt;=20,5,0)+IF(F1131="企业官网",5,0))</f>
        <v/>
      </c>
      <c r="S1131" s="10">
        <f>IF(Q1131="A","价格与起订量有优势，建议优先询盘",IF(Q1131="B","条件较均衡，可作为备选","起订量或价格需要进一步确认"))</f>
        <v/>
      </c>
      <c r="T1131" s="10" t="inlineStr">
        <is>
          <t>未联系</t>
        </is>
      </c>
      <c r="U1131" s="10" t="inlineStr">
        <is>
          <t>虚构演示数据</t>
        </is>
      </c>
    </row>
    <row r="1132" ht="21" customHeight="1">
      <c r="A1132" s="10" t="inlineStr">
        <is>
          <t>GYS-1128</t>
        </is>
      </c>
      <c r="B1132" s="10" t="inlineStr">
        <is>
          <t>厦门运动户外供应链1128有限公司（演示）</t>
        </is>
      </c>
      <c r="C1132" s="10" t="inlineStr">
        <is>
          <t>运动户外</t>
        </is>
      </c>
      <c r="D1132" s="10" t="inlineStr">
        <is>
          <t>弹力训练带</t>
        </is>
      </c>
      <c r="E1132" s="10" t="inlineStr">
        <is>
          <t>福建厦门</t>
        </is>
      </c>
      <c r="F1132" s="10" t="inlineStr">
        <is>
          <t>慧聪网</t>
        </is>
      </c>
      <c r="G1132" s="10" t="inlineStr">
        <is>
          <t>周经理</t>
        </is>
      </c>
      <c r="H1132" s="10" t="inlineStr">
        <is>
          <t>000-0000-1128</t>
        </is>
      </c>
      <c r="I1132" s="10" t="inlineStr">
        <is>
          <t>DEMO_GYS_1128</t>
        </is>
      </c>
      <c r="J1132" s="11" t="n">
        <v>34.4</v>
      </c>
      <c r="K1132" s="11" t="n">
        <v>55.2</v>
      </c>
      <c r="L1132" s="12" t="n">
        <v>20</v>
      </c>
      <c r="M1132" s="10" t="inlineStr">
        <is>
          <t>否</t>
        </is>
      </c>
      <c r="N1132" s="10" t="inlineStr">
        <is>
          <t>否</t>
        </is>
      </c>
      <c r="O1132" s="10" t="inlineStr">
        <is>
          <t>supplier1128@example.com</t>
        </is>
      </c>
      <c r="P1132" s="10" t="inlineStr">
        <is>
          <t>https://example.com/supplier/1128</t>
        </is>
      </c>
      <c r="Q1132" s="10">
        <f>IF(R1132&gt;=85,"A",IF(R1132&gt;=70,"B","C"))</f>
        <v/>
      </c>
      <c r="R1132" s="13">
        <f>MIN(100,50+IF(M1132="是",10,0)+IF(N1132="是",10,0)+IF(L1132&lt;=100,10,IF(L1132&lt;=300,5,0))+IF(J1132&lt;=20,10,IF(J1132&lt;=50,5,0))+IF(K1132-J1132&lt;=20,5,0)+IF(F1132="企业官网",5,0))</f>
        <v/>
      </c>
      <c r="S1132" s="10">
        <f>IF(Q1132="A","价格与起订量有优势，建议优先询盘",IF(Q1132="B","条件较均衡，可作为备选","起订量或价格需要进一步确认"))</f>
        <v/>
      </c>
      <c r="T1132" s="10" t="inlineStr">
        <is>
          <t>未联系</t>
        </is>
      </c>
      <c r="U1132" s="10" t="inlineStr">
        <is>
          <t>虚构演示数据</t>
        </is>
      </c>
    </row>
    <row r="1133" ht="21" customHeight="1">
      <c r="A1133" s="10" t="inlineStr">
        <is>
          <t>GYS-1129</t>
        </is>
      </c>
      <c r="B1133" s="10" t="inlineStr">
        <is>
          <t>临沂办公文具供应链1129有限公司（演示）</t>
        </is>
      </c>
      <c r="C1133" s="10" t="inlineStr">
        <is>
          <t>办公文具</t>
        </is>
      </c>
      <c r="D1133" s="10" t="inlineStr">
        <is>
          <t>桌面收纳架</t>
        </is>
      </c>
      <c r="E1133" s="10" t="inlineStr">
        <is>
          <t>山东临沂</t>
        </is>
      </c>
      <c r="F1133" s="10" t="inlineStr">
        <is>
          <t>1688</t>
        </is>
      </c>
      <c r="G1133" s="10" t="inlineStr">
        <is>
          <t>吴经理</t>
        </is>
      </c>
      <c r="H1133" s="10" t="inlineStr">
        <is>
          <t>000-0000-1129</t>
        </is>
      </c>
      <c r="I1133" s="10" t="inlineStr">
        <is>
          <t>DEMO_GYS_1129</t>
        </is>
      </c>
      <c r="J1133" s="11" t="n">
        <v>36.1</v>
      </c>
      <c r="K1133" s="11" t="n">
        <v>58</v>
      </c>
      <c r="L1133" s="12" t="n">
        <v>500</v>
      </c>
      <c r="M1133" s="10" t="inlineStr">
        <is>
          <t>是</t>
        </is>
      </c>
      <c r="N1133" s="10" t="inlineStr">
        <is>
          <t>是</t>
        </is>
      </c>
      <c r="O1133" s="10" t="inlineStr">
        <is>
          <t>supplier1129@example.com</t>
        </is>
      </c>
      <c r="P1133" s="10" t="inlineStr">
        <is>
          <t>https://example.com/supplier/1129</t>
        </is>
      </c>
      <c r="Q1133" s="10">
        <f>IF(R1133&gt;=85,"A",IF(R1133&gt;=70,"B","C"))</f>
        <v/>
      </c>
      <c r="R1133" s="13">
        <f>MIN(100,50+IF(M1133="是",10,0)+IF(N1133="是",10,0)+IF(L1133&lt;=100,10,IF(L1133&lt;=300,5,0))+IF(J1133&lt;=20,10,IF(J1133&lt;=50,5,0))+IF(K1133-J1133&lt;=20,5,0)+IF(F1133="企业官网",5,0))</f>
        <v/>
      </c>
      <c r="S1133" s="10">
        <f>IF(Q1133="A","价格与起订量有优势，建议优先询盘",IF(Q1133="B","条件较均衡，可作为备选","起订量或价格需要进一步确认"))</f>
        <v/>
      </c>
      <c r="T1133" s="10" t="inlineStr">
        <is>
          <t>未联系</t>
        </is>
      </c>
      <c r="U1133" s="10" t="inlineStr">
        <is>
          <t>虚构演示数据</t>
        </is>
      </c>
    </row>
    <row r="1134" ht="21" customHeight="1">
      <c r="A1134" s="10" t="inlineStr">
        <is>
          <t>GYS-1130</t>
        </is>
      </c>
      <c r="B1134" s="10" t="inlineStr">
        <is>
          <t>南昌汽车用品供应链1130有限公司（演示）</t>
        </is>
      </c>
      <c r="C1134" s="10" t="inlineStr">
        <is>
          <t>汽车用品</t>
        </is>
      </c>
      <c r="D1134" s="10" t="inlineStr">
        <is>
          <t>车载香薰</t>
        </is>
      </c>
      <c r="E1134" s="10" t="inlineStr">
        <is>
          <t>江西南昌</t>
        </is>
      </c>
      <c r="F1134" s="10" t="inlineStr">
        <is>
          <t>中国制造网</t>
        </is>
      </c>
      <c r="G1134" s="10" t="inlineStr">
        <is>
          <t>陈经理</t>
        </is>
      </c>
      <c r="H1134" s="10" t="inlineStr">
        <is>
          <t>000-0000-1130</t>
        </is>
      </c>
      <c r="I1134" s="10" t="inlineStr">
        <is>
          <t>DEMO_GYS_1130</t>
        </is>
      </c>
      <c r="J1134" s="11" t="n">
        <v>37.8</v>
      </c>
      <c r="K1134" s="11" t="n">
        <v>42.8</v>
      </c>
      <c r="L1134" s="12" t="n">
        <v>300</v>
      </c>
      <c r="M1134" s="10" t="inlineStr">
        <is>
          <t>是</t>
        </is>
      </c>
      <c r="N1134" s="10" t="inlineStr">
        <is>
          <t>是</t>
        </is>
      </c>
      <c r="O1134" s="10" t="inlineStr">
        <is>
          <t>supplier1130@example.com</t>
        </is>
      </c>
      <c r="P1134" s="10" t="inlineStr">
        <is>
          <t>https://example.com/supplier/1130</t>
        </is>
      </c>
      <c r="Q1134" s="10">
        <f>IF(R1134&gt;=85,"A",IF(R1134&gt;=70,"B","C"))</f>
        <v/>
      </c>
      <c r="R1134" s="13">
        <f>MIN(100,50+IF(M1134="是",10,0)+IF(N1134="是",10,0)+IF(L1134&lt;=100,10,IF(L1134&lt;=300,5,0))+IF(J1134&lt;=20,10,IF(J1134&lt;=50,5,0))+IF(K1134-J1134&lt;=20,5,0)+IF(F1134="企业官网",5,0))</f>
        <v/>
      </c>
      <c r="S1134" s="10">
        <f>IF(Q1134="A","价格与起订量有优势，建议优先询盘",IF(Q1134="B","条件较均衡，可作为备选","起订量或价格需要进一步确认"))</f>
        <v/>
      </c>
      <c r="T1134" s="10" t="inlineStr">
        <is>
          <t>未联系</t>
        </is>
      </c>
      <c r="U1134" s="10" t="inlineStr">
        <is>
          <t>虚构演示数据</t>
        </is>
      </c>
    </row>
    <row r="1135" ht="21" customHeight="1">
      <c r="A1135" s="10" t="inlineStr">
        <is>
          <t>GYS-1131</t>
        </is>
      </c>
      <c r="B1135" s="10" t="inlineStr">
        <is>
          <t>温州美容工具供应链1131有限公司（演示）</t>
        </is>
      </c>
      <c r="C1135" s="10" t="inlineStr">
        <is>
          <t>美容工具</t>
        </is>
      </c>
      <c r="D1135" s="10" t="inlineStr">
        <is>
          <t>便携化妆镜</t>
        </is>
      </c>
      <c r="E1135" s="10" t="inlineStr">
        <is>
          <t>浙江温州</t>
        </is>
      </c>
      <c r="F1135" s="10" t="inlineStr">
        <is>
          <t>企业官网</t>
        </is>
      </c>
      <c r="G1135" s="10" t="inlineStr">
        <is>
          <t>林经理</t>
        </is>
      </c>
      <c r="H1135" s="10" t="inlineStr">
        <is>
          <t>000-0000-1131</t>
        </is>
      </c>
      <c r="I1135" s="10" t="inlineStr">
        <is>
          <t>DEMO_GYS_1131</t>
        </is>
      </c>
      <c r="J1135" s="11" t="n">
        <v>39.5</v>
      </c>
      <c r="K1135" s="11" t="n">
        <v>45.6</v>
      </c>
      <c r="L1135" s="12" t="n">
        <v>200</v>
      </c>
      <c r="M1135" s="10" t="inlineStr">
        <is>
          <t>是</t>
        </is>
      </c>
      <c r="N1135" s="10" t="inlineStr">
        <is>
          <t>否</t>
        </is>
      </c>
      <c r="O1135" s="10" t="inlineStr">
        <is>
          <t>supplier1131@example.com</t>
        </is>
      </c>
      <c r="P1135" s="10" t="inlineStr">
        <is>
          <t>https://example.com/supplier/1131</t>
        </is>
      </c>
      <c r="Q1135" s="10">
        <f>IF(R1135&gt;=85,"A",IF(R1135&gt;=70,"B","C"))</f>
        <v/>
      </c>
      <c r="R1135" s="13">
        <f>MIN(100,50+IF(M1135="是",10,0)+IF(N1135="是",10,0)+IF(L1135&lt;=100,10,IF(L1135&lt;=300,5,0))+IF(J1135&lt;=20,10,IF(J1135&lt;=50,5,0))+IF(K1135-J1135&lt;=20,5,0)+IF(F1135="企业官网",5,0))</f>
        <v/>
      </c>
      <c r="S1135" s="10">
        <f>IF(Q1135="A","价格与起订量有优势，建议优先询盘",IF(Q1135="B","条件较均衡，可作为备选","起订量或价格需要进一步确认"))</f>
        <v/>
      </c>
      <c r="T1135" s="10" t="inlineStr">
        <is>
          <t>未联系</t>
        </is>
      </c>
      <c r="U1135" s="10" t="inlineStr">
        <is>
          <t>虚构演示数据</t>
        </is>
      </c>
    </row>
    <row r="1136" ht="21" customHeight="1">
      <c r="A1136" s="10" t="inlineStr">
        <is>
          <t>GYS-1132</t>
        </is>
      </c>
      <c r="B1136" s="10" t="inlineStr">
        <is>
          <t>广州旅行用品供应链1132有限公司（演示）</t>
        </is>
      </c>
      <c r="C1136" s="10" t="inlineStr">
        <is>
          <t>旅行用品</t>
        </is>
      </c>
      <c r="D1136" s="10" t="inlineStr">
        <is>
          <t>压缩收纳袋</t>
        </is>
      </c>
      <c r="E1136" s="10" t="inlineStr">
        <is>
          <t>广东广州</t>
        </is>
      </c>
      <c r="F1136" s="10" t="inlineStr">
        <is>
          <t>义乌购</t>
        </is>
      </c>
      <c r="G1136" s="10" t="inlineStr">
        <is>
          <t>王经理</t>
        </is>
      </c>
      <c r="H1136" s="10" t="inlineStr">
        <is>
          <t>000-0000-1132</t>
        </is>
      </c>
      <c r="I1136" s="10" t="inlineStr">
        <is>
          <t>DEMO_GYS_1132</t>
        </is>
      </c>
      <c r="J1136" s="11" t="n">
        <v>41.2</v>
      </c>
      <c r="K1136" s="11" t="n">
        <v>48.4</v>
      </c>
      <c r="L1136" s="12" t="n">
        <v>100</v>
      </c>
      <c r="M1136" s="10" t="inlineStr">
        <is>
          <t>否</t>
        </is>
      </c>
      <c r="N1136" s="10" t="inlineStr">
        <is>
          <t>是</t>
        </is>
      </c>
      <c r="O1136" s="10" t="inlineStr">
        <is>
          <t>supplier1132@example.com</t>
        </is>
      </c>
      <c r="P1136" s="10" t="inlineStr">
        <is>
          <t>https://example.com/supplier/1132</t>
        </is>
      </c>
      <c r="Q1136" s="10">
        <f>IF(R1136&gt;=85,"A",IF(R1136&gt;=70,"B","C"))</f>
        <v/>
      </c>
      <c r="R1136" s="13">
        <f>MIN(100,50+IF(M1136="是",10,0)+IF(N1136="是",10,0)+IF(L1136&lt;=100,10,IF(L1136&lt;=300,5,0))+IF(J1136&lt;=20,10,IF(J1136&lt;=50,5,0))+IF(K1136-J1136&lt;=20,5,0)+IF(F1136="企业官网",5,0))</f>
        <v/>
      </c>
      <c r="S1136" s="10">
        <f>IF(Q1136="A","价格与起订量有优势，建议优先询盘",IF(Q1136="B","条件较均衡，可作为备选","起订量或价格需要进一步确认"))</f>
        <v/>
      </c>
      <c r="T1136" s="10" t="inlineStr">
        <is>
          <t>未联系</t>
        </is>
      </c>
      <c r="U1136" s="10" t="inlineStr">
        <is>
          <t>虚构演示数据</t>
        </is>
      </c>
    </row>
    <row r="1137" ht="21" customHeight="1">
      <c r="A1137" s="10" t="inlineStr">
        <is>
          <t>GYS-1133</t>
        </is>
      </c>
      <c r="B1137" s="10" t="inlineStr">
        <is>
          <t>泉州清洁工具供应链1133有限公司（演示）</t>
        </is>
      </c>
      <c r="C1137" s="10" t="inlineStr">
        <is>
          <t>清洁工具</t>
        </is>
      </c>
      <c r="D1137" s="10" t="inlineStr">
        <is>
          <t>免手洗拖把</t>
        </is>
      </c>
      <c r="E1137" s="10" t="inlineStr">
        <is>
          <t>福建泉州</t>
        </is>
      </c>
      <c r="F1137" s="10" t="inlineStr">
        <is>
          <t>慧聪网</t>
        </is>
      </c>
      <c r="G1137" s="10" t="inlineStr">
        <is>
          <t>李经理</t>
        </is>
      </c>
      <c r="H1137" s="10" t="inlineStr">
        <is>
          <t>000-0000-1133</t>
        </is>
      </c>
      <c r="I1137" s="10" t="inlineStr">
        <is>
          <t>DEMO_GYS_1133</t>
        </is>
      </c>
      <c r="J1137" s="11" t="n">
        <v>42.9</v>
      </c>
      <c r="K1137" s="11" t="n">
        <v>51.2</v>
      </c>
      <c r="L1137" s="12" t="n">
        <v>50</v>
      </c>
      <c r="M1137" s="10" t="inlineStr">
        <is>
          <t>是</t>
        </is>
      </c>
      <c r="N1137" s="10" t="inlineStr">
        <is>
          <t>是</t>
        </is>
      </c>
      <c r="O1137" s="10" t="inlineStr">
        <is>
          <t>supplier1133@example.com</t>
        </is>
      </c>
      <c r="P1137" s="10" t="inlineStr">
        <is>
          <t>https://example.com/supplier/1133</t>
        </is>
      </c>
      <c r="Q1137" s="10">
        <f>IF(R1137&gt;=85,"A",IF(R1137&gt;=70,"B","C"))</f>
        <v/>
      </c>
      <c r="R1137" s="13">
        <f>MIN(100,50+IF(M1137="是",10,0)+IF(N1137="是",10,0)+IF(L1137&lt;=100,10,IF(L1137&lt;=300,5,0))+IF(J1137&lt;=20,10,IF(J1137&lt;=50,5,0))+IF(K1137-J1137&lt;=20,5,0)+IF(F1137="企业官网",5,0))</f>
        <v/>
      </c>
      <c r="S1137" s="10">
        <f>IF(Q1137="A","价格与起订量有优势，建议优先询盘",IF(Q1137="B","条件较均衡，可作为备选","起订量或价格需要进一步确认"))</f>
        <v/>
      </c>
      <c r="T1137" s="10" t="inlineStr">
        <is>
          <t>未联系</t>
        </is>
      </c>
      <c r="U1137" s="10" t="inlineStr">
        <is>
          <t>虚构演示数据</t>
        </is>
      </c>
    </row>
    <row r="1138" ht="21" customHeight="1">
      <c r="A1138" s="10" t="inlineStr">
        <is>
          <t>GYS-1134</t>
        </is>
      </c>
      <c r="B1138" s="10" t="inlineStr">
        <is>
          <t>南通小家电供应链1134有限公司（演示）</t>
        </is>
      </c>
      <c r="C1138" s="10" t="inlineStr">
        <is>
          <t>小家电</t>
        </is>
      </c>
      <c r="D1138" s="10" t="inlineStr">
        <is>
          <t>迷你加湿器</t>
        </is>
      </c>
      <c r="E1138" s="10" t="inlineStr">
        <is>
          <t>江苏南通</t>
        </is>
      </c>
      <c r="F1138" s="10" t="inlineStr">
        <is>
          <t>1688</t>
        </is>
      </c>
      <c r="G1138" s="10" t="inlineStr">
        <is>
          <t>张经理</t>
        </is>
      </c>
      <c r="H1138" s="10" t="inlineStr">
        <is>
          <t>000-0000-1134</t>
        </is>
      </c>
      <c r="I1138" s="10" t="inlineStr">
        <is>
          <t>DEMO_GYS_1134</t>
        </is>
      </c>
      <c r="J1138" s="11" t="n">
        <v>44.6</v>
      </c>
      <c r="K1138" s="11" t="n">
        <v>54</v>
      </c>
      <c r="L1138" s="12" t="n">
        <v>20</v>
      </c>
      <c r="M1138" s="10" t="inlineStr">
        <is>
          <t>是</t>
        </is>
      </c>
      <c r="N1138" s="10" t="inlineStr">
        <is>
          <t>否</t>
        </is>
      </c>
      <c r="O1138" s="10" t="inlineStr">
        <is>
          <t>supplier1134@example.com</t>
        </is>
      </c>
      <c r="P1138" s="10" t="inlineStr">
        <is>
          <t>https://example.com/supplier/1134</t>
        </is>
      </c>
      <c r="Q1138" s="10">
        <f>IF(R1138&gt;=85,"A",IF(R1138&gt;=70,"B","C"))</f>
        <v/>
      </c>
      <c r="R1138" s="13">
        <f>MIN(100,50+IF(M1138="是",10,0)+IF(N1138="是",10,0)+IF(L1138&lt;=100,10,IF(L1138&lt;=300,5,0))+IF(J1138&lt;=20,10,IF(J1138&lt;=50,5,0))+IF(K1138-J1138&lt;=20,5,0)+IF(F1138="企业官网",5,0))</f>
        <v/>
      </c>
      <c r="S1138" s="10">
        <f>IF(Q1138="A","价格与起订量有优势，建议优先询盘",IF(Q1138="B","条件较均衡，可作为备选","起订量或价格需要进一步确认"))</f>
        <v/>
      </c>
      <c r="T1138" s="10" t="inlineStr">
        <is>
          <t>未联系</t>
        </is>
      </c>
      <c r="U1138" s="10" t="inlineStr">
        <is>
          <t>虚构演示数据</t>
        </is>
      </c>
    </row>
    <row r="1139" ht="21" customHeight="1">
      <c r="A1139" s="10" t="inlineStr">
        <is>
          <t>GYS-1135</t>
        </is>
      </c>
      <c r="B1139" s="10" t="inlineStr">
        <is>
          <t>郑州礼品包装供应链1135有限公司（演示）</t>
        </is>
      </c>
      <c r="C1139" s="10" t="inlineStr">
        <is>
          <t>礼品包装</t>
        </is>
      </c>
      <c r="D1139" s="10" t="inlineStr">
        <is>
          <t>节日礼盒</t>
        </is>
      </c>
      <c r="E1139" s="10" t="inlineStr">
        <is>
          <t>河南郑州</t>
        </is>
      </c>
      <c r="F1139" s="10" t="inlineStr">
        <is>
          <t>中国制造网</t>
        </is>
      </c>
      <c r="G1139" s="10" t="inlineStr">
        <is>
          <t>刘经理</t>
        </is>
      </c>
      <c r="H1139" s="10" t="inlineStr">
        <is>
          <t>000-0000-1135</t>
        </is>
      </c>
      <c r="I1139" s="10" t="inlineStr">
        <is>
          <t>DEMO_GYS_1135</t>
        </is>
      </c>
      <c r="J1139" s="11" t="n">
        <v>46.3</v>
      </c>
      <c r="K1139" s="11" t="n">
        <v>56.8</v>
      </c>
      <c r="L1139" s="12" t="n">
        <v>500</v>
      </c>
      <c r="M1139" s="10" t="inlineStr">
        <is>
          <t>是</t>
        </is>
      </c>
      <c r="N1139" s="10" t="inlineStr">
        <is>
          <t>是</t>
        </is>
      </c>
      <c r="O1139" s="10" t="inlineStr">
        <is>
          <t>supplier1135@example.com</t>
        </is>
      </c>
      <c r="P1139" s="10" t="inlineStr">
        <is>
          <t>https://example.com/supplier/1135</t>
        </is>
      </c>
      <c r="Q1139" s="10">
        <f>IF(R1139&gt;=85,"A",IF(R1139&gt;=70,"B","C"))</f>
        <v/>
      </c>
      <c r="R1139" s="13">
        <f>MIN(100,50+IF(M1139="是",10,0)+IF(N1139="是",10,0)+IF(L1139&lt;=100,10,IF(L1139&lt;=300,5,0))+IF(J1139&lt;=20,10,IF(J1139&lt;=50,5,0))+IF(K1139-J1139&lt;=20,5,0)+IF(F1139="企业官网",5,0))</f>
        <v/>
      </c>
      <c r="S1139" s="10">
        <f>IF(Q1139="A","价格与起订量有优势，建议优先询盘",IF(Q1139="B","条件较均衡，可作为备选","起订量或价格需要进一步确认"))</f>
        <v/>
      </c>
      <c r="T1139" s="10" t="inlineStr">
        <is>
          <t>未联系</t>
        </is>
      </c>
      <c r="U1139" s="10" t="inlineStr">
        <is>
          <t>虚构演示数据</t>
        </is>
      </c>
    </row>
    <row r="1140" ht="21" customHeight="1">
      <c r="A1140" s="10" t="inlineStr">
        <is>
          <t>GYS-1136</t>
        </is>
      </c>
      <c r="B1140" s="10" t="inlineStr">
        <is>
          <t>宁波五金工具供应链1136有限公司（演示）</t>
        </is>
      </c>
      <c r="C1140" s="10" t="inlineStr">
        <is>
          <t>五金工具</t>
        </is>
      </c>
      <c r="D1140" s="10" t="inlineStr">
        <is>
          <t>多功能螺丝刀</t>
        </is>
      </c>
      <c r="E1140" s="10" t="inlineStr">
        <is>
          <t>浙江宁波</t>
        </is>
      </c>
      <c r="F1140" s="10" t="inlineStr">
        <is>
          <t>企业官网</t>
        </is>
      </c>
      <c r="G1140" s="10" t="inlineStr">
        <is>
          <t>黄经理</t>
        </is>
      </c>
      <c r="H1140" s="10" t="inlineStr">
        <is>
          <t>000-0000-1136</t>
        </is>
      </c>
      <c r="I1140" s="10" t="inlineStr">
        <is>
          <t>DEMO_GYS_1136</t>
        </is>
      </c>
      <c r="J1140" s="11" t="n">
        <v>48</v>
      </c>
      <c r="K1140" s="11" t="n">
        <v>59.6</v>
      </c>
      <c r="L1140" s="12" t="n">
        <v>300</v>
      </c>
      <c r="M1140" s="10" t="inlineStr">
        <is>
          <t>否</t>
        </is>
      </c>
      <c r="N1140" s="10" t="inlineStr">
        <is>
          <t>是</t>
        </is>
      </c>
      <c r="O1140" s="10" t="inlineStr">
        <is>
          <t>supplier1136@example.com</t>
        </is>
      </c>
      <c r="P1140" s="10" t="inlineStr">
        <is>
          <t>https://example.com/supplier/1136</t>
        </is>
      </c>
      <c r="Q1140" s="10">
        <f>IF(R1140&gt;=85,"A",IF(R1140&gt;=70,"B","C"))</f>
        <v/>
      </c>
      <c r="R1140" s="13">
        <f>MIN(100,50+IF(M1140="是",10,0)+IF(N1140="是",10,0)+IF(L1140&lt;=100,10,IF(L1140&lt;=300,5,0))+IF(J1140&lt;=20,10,IF(J1140&lt;=50,5,0))+IF(K1140-J1140&lt;=20,5,0)+IF(F1140="企业官网",5,0))</f>
        <v/>
      </c>
      <c r="S1140" s="10">
        <f>IF(Q1140="A","价格与起订量有优势，建议优先询盘",IF(Q1140="B","条件较均衡，可作为备选","起订量或价格需要进一步确认"))</f>
        <v/>
      </c>
      <c r="T1140" s="10" t="inlineStr">
        <is>
          <t>未联系</t>
        </is>
      </c>
      <c r="U1140" s="10" t="inlineStr">
        <is>
          <t>虚构演示数据</t>
        </is>
      </c>
    </row>
    <row r="1141" ht="21" customHeight="1">
      <c r="A1141" s="10" t="inlineStr">
        <is>
          <t>GYS-1137</t>
        </is>
      </c>
      <c r="B1141" s="10" t="inlineStr">
        <is>
          <t>深圳鞋靴配件供应链1137有限公司（演示）</t>
        </is>
      </c>
      <c r="C1141" s="10" t="inlineStr">
        <is>
          <t>鞋靴配件</t>
        </is>
      </c>
      <c r="D1141" s="10" t="inlineStr">
        <is>
          <t>防磨脚贴</t>
        </is>
      </c>
      <c r="E1141" s="10" t="inlineStr">
        <is>
          <t>广东深圳</t>
        </is>
      </c>
      <c r="F1141" s="10" t="inlineStr">
        <is>
          <t>义乌购</t>
        </is>
      </c>
      <c r="G1141" s="10" t="inlineStr">
        <is>
          <t>赵经理</t>
        </is>
      </c>
      <c r="H1141" s="10" t="inlineStr">
        <is>
          <t>000-0000-1137</t>
        </is>
      </c>
      <c r="I1141" s="10" t="inlineStr">
        <is>
          <t>DEMO_GYS_1137</t>
        </is>
      </c>
      <c r="J1141" s="11" t="n">
        <v>3.7</v>
      </c>
      <c r="K1141" s="11" t="n">
        <v>16.4</v>
      </c>
      <c r="L1141" s="12" t="n">
        <v>200</v>
      </c>
      <c r="M1141" s="10" t="inlineStr">
        <is>
          <t>是</t>
        </is>
      </c>
      <c r="N1141" s="10" t="inlineStr">
        <is>
          <t>否</t>
        </is>
      </c>
      <c r="O1141" s="10" t="inlineStr">
        <is>
          <t>supplier1137@example.com</t>
        </is>
      </c>
      <c r="P1141" s="10" t="inlineStr">
        <is>
          <t>https://example.com/supplier/1137</t>
        </is>
      </c>
      <c r="Q1141" s="10">
        <f>IF(R1141&gt;=85,"A",IF(R1141&gt;=70,"B","C"))</f>
        <v/>
      </c>
      <c r="R1141" s="13">
        <f>MIN(100,50+IF(M1141="是",10,0)+IF(N1141="是",10,0)+IF(L1141&lt;=100,10,IF(L1141&lt;=300,5,0))+IF(J1141&lt;=20,10,IF(J1141&lt;=50,5,0))+IF(K1141-J1141&lt;=20,5,0)+IF(F1141="企业官网",5,0))</f>
        <v/>
      </c>
      <c r="S1141" s="10">
        <f>IF(Q1141="A","价格与起订量有优势，建议优先询盘",IF(Q1141="B","条件较均衡，可作为备选","起订量或价格需要进一步确认"))</f>
        <v/>
      </c>
      <c r="T1141" s="10" t="inlineStr">
        <is>
          <t>未联系</t>
        </is>
      </c>
      <c r="U1141" s="10" t="inlineStr">
        <is>
          <t>虚构演示数据</t>
        </is>
      </c>
    </row>
    <row r="1142" ht="21" customHeight="1">
      <c r="A1142" s="10" t="inlineStr">
        <is>
          <t>GYS-1138</t>
        </is>
      </c>
      <c r="B1142" s="10" t="inlineStr">
        <is>
          <t>佛山食品包装供应链1138有限公司（演示）</t>
        </is>
      </c>
      <c r="C1142" s="10" t="inlineStr">
        <is>
          <t>食品包装</t>
        </is>
      </c>
      <c r="D1142" s="10" t="inlineStr">
        <is>
          <t>密封包装袋</t>
        </is>
      </c>
      <c r="E1142" s="10" t="inlineStr">
        <is>
          <t>广东佛山</t>
        </is>
      </c>
      <c r="F1142" s="10" t="inlineStr">
        <is>
          <t>慧聪网</t>
        </is>
      </c>
      <c r="G1142" s="10" t="inlineStr">
        <is>
          <t>周经理</t>
        </is>
      </c>
      <c r="H1142" s="10" t="inlineStr">
        <is>
          <t>000-0000-1138</t>
        </is>
      </c>
      <c r="I1142" s="10" t="inlineStr">
        <is>
          <t>DEMO_GYS_1138</t>
        </is>
      </c>
      <c r="J1142" s="11" t="n">
        <v>5.4</v>
      </c>
      <c r="K1142" s="11" t="n">
        <v>19.2</v>
      </c>
      <c r="L1142" s="12" t="n">
        <v>100</v>
      </c>
      <c r="M1142" s="10" t="inlineStr">
        <is>
          <t>是</t>
        </is>
      </c>
      <c r="N1142" s="10" t="inlineStr">
        <is>
          <t>是</t>
        </is>
      </c>
      <c r="O1142" s="10" t="inlineStr">
        <is>
          <t>supplier1138@example.com</t>
        </is>
      </c>
      <c r="P1142" s="10" t="inlineStr">
        <is>
          <t>https://example.com/supplier/1138</t>
        </is>
      </c>
      <c r="Q1142" s="10">
        <f>IF(R1142&gt;=85,"A",IF(R1142&gt;=70,"B","C"))</f>
        <v/>
      </c>
      <c r="R1142" s="13">
        <f>MIN(100,50+IF(M1142="是",10,0)+IF(N1142="是",10,0)+IF(L1142&lt;=100,10,IF(L1142&lt;=300,5,0))+IF(J1142&lt;=20,10,IF(J1142&lt;=50,5,0))+IF(K1142-J1142&lt;=20,5,0)+IF(F1142="企业官网",5,0))</f>
        <v/>
      </c>
      <c r="S1142" s="10">
        <f>IF(Q1142="A","价格与起订量有优势，建议优先询盘",IF(Q1142="B","条件较均衡，可作为备选","起订量或价格需要进一步确认"))</f>
        <v/>
      </c>
      <c r="T1142" s="10" t="inlineStr">
        <is>
          <t>未联系</t>
        </is>
      </c>
      <c r="U1142" s="10" t="inlineStr">
        <is>
          <t>虚构演示数据</t>
        </is>
      </c>
    </row>
    <row r="1143" ht="21" customHeight="1">
      <c r="A1143" s="10" t="inlineStr">
        <is>
          <t>GYS-1139</t>
        </is>
      </c>
      <c r="B1143" s="10" t="inlineStr">
        <is>
          <t>苏州户外照明供应链1139有限公司（演示）</t>
        </is>
      </c>
      <c r="C1143" s="10" t="inlineStr">
        <is>
          <t>户外照明</t>
        </is>
      </c>
      <c r="D1143" s="10" t="inlineStr">
        <is>
          <t>便携露营灯</t>
        </is>
      </c>
      <c r="E1143" s="10" t="inlineStr">
        <is>
          <t>江苏苏州</t>
        </is>
      </c>
      <c r="F1143" s="10" t="inlineStr">
        <is>
          <t>1688</t>
        </is>
      </c>
      <c r="G1143" s="10" t="inlineStr">
        <is>
          <t>吴经理</t>
        </is>
      </c>
      <c r="H1143" s="10" t="inlineStr">
        <is>
          <t>000-0000-1139</t>
        </is>
      </c>
      <c r="I1143" s="10" t="inlineStr">
        <is>
          <t>DEMO_GYS_1139</t>
        </is>
      </c>
      <c r="J1143" s="11" t="n">
        <v>7.1</v>
      </c>
      <c r="K1143" s="11" t="n">
        <v>22</v>
      </c>
      <c r="L1143" s="12" t="n">
        <v>50</v>
      </c>
      <c r="M1143" s="10" t="inlineStr">
        <is>
          <t>是</t>
        </is>
      </c>
      <c r="N1143" s="10" t="inlineStr">
        <is>
          <t>是</t>
        </is>
      </c>
      <c r="O1143" s="10" t="inlineStr">
        <is>
          <t>supplier1139@example.com</t>
        </is>
      </c>
      <c r="P1143" s="10" t="inlineStr">
        <is>
          <t>https://example.com/supplier/1139</t>
        </is>
      </c>
      <c r="Q1143" s="10">
        <f>IF(R1143&gt;=85,"A",IF(R1143&gt;=70,"B","C"))</f>
        <v/>
      </c>
      <c r="R1143" s="13">
        <f>MIN(100,50+IF(M1143="是",10,0)+IF(N1143="是",10,0)+IF(L1143&lt;=100,10,IF(L1143&lt;=300,5,0))+IF(J1143&lt;=20,10,IF(J1143&lt;=50,5,0))+IF(K1143-J1143&lt;=20,5,0)+IF(F1143="企业官网",5,0))</f>
        <v/>
      </c>
      <c r="S1143" s="10">
        <f>IF(Q1143="A","价格与起订量有优势，建议优先询盘",IF(Q1143="B","条件较均衡，可作为备选","起订量或价格需要进一步确认"))</f>
        <v/>
      </c>
      <c r="T1143" s="10" t="inlineStr">
        <is>
          <t>未联系</t>
        </is>
      </c>
      <c r="U1143" s="10" t="inlineStr">
        <is>
          <t>虚构演示数据</t>
        </is>
      </c>
    </row>
    <row r="1144" ht="21" customHeight="1">
      <c r="A1144" s="10" t="inlineStr">
        <is>
          <t>GYS-1140</t>
        </is>
      </c>
      <c r="B1144" s="10" t="inlineStr">
        <is>
          <t>白沟健康用品供应链1140有限公司（演示）</t>
        </is>
      </c>
      <c r="C1144" s="10" t="inlineStr">
        <is>
          <t>健康用品</t>
        </is>
      </c>
      <c r="D1144" s="10" t="inlineStr">
        <is>
          <t>热敷眼罩</t>
        </is>
      </c>
      <c r="E1144" s="10" t="inlineStr">
        <is>
          <t>河北白沟</t>
        </is>
      </c>
      <c r="F1144" s="10" t="inlineStr">
        <is>
          <t>中国制造网</t>
        </is>
      </c>
      <c r="G1144" s="10" t="inlineStr">
        <is>
          <t>陈经理</t>
        </is>
      </c>
      <c r="H1144" s="10" t="inlineStr">
        <is>
          <t>000-0000-1140</t>
        </is>
      </c>
      <c r="I1144" s="10" t="inlineStr">
        <is>
          <t>DEMO_GYS_1140</t>
        </is>
      </c>
      <c r="J1144" s="11" t="n">
        <v>8.800000000000001</v>
      </c>
      <c r="K1144" s="11" t="n">
        <v>24.8</v>
      </c>
      <c r="L1144" s="12" t="n">
        <v>20</v>
      </c>
      <c r="M1144" s="10" t="inlineStr">
        <is>
          <t>否</t>
        </is>
      </c>
      <c r="N1144" s="10" t="inlineStr">
        <is>
          <t>否</t>
        </is>
      </c>
      <c r="O1144" s="10" t="inlineStr">
        <is>
          <t>supplier1140@example.com</t>
        </is>
      </c>
      <c r="P1144" s="10" t="inlineStr">
        <is>
          <t>https://example.com/supplier/1140</t>
        </is>
      </c>
      <c r="Q1144" s="10">
        <f>IF(R1144&gt;=85,"A",IF(R1144&gt;=70,"B","C"))</f>
        <v/>
      </c>
      <c r="R1144" s="13">
        <f>MIN(100,50+IF(M1144="是",10,0)+IF(N1144="是",10,0)+IF(L1144&lt;=100,10,IF(L1144&lt;=300,5,0))+IF(J1144&lt;=20,10,IF(J1144&lt;=50,5,0))+IF(K1144-J1144&lt;=20,5,0)+IF(F1144="企业官网",5,0))</f>
        <v/>
      </c>
      <c r="S1144" s="10">
        <f>IF(Q1144="A","价格与起订量有优势，建议优先询盘",IF(Q1144="B","条件较均衡，可作为备选","起订量或价格需要进一步确认"))</f>
        <v/>
      </c>
      <c r="T1144" s="10" t="inlineStr">
        <is>
          <t>未联系</t>
        </is>
      </c>
      <c r="U1144" s="10" t="inlineStr">
        <is>
          <t>虚构演示数据</t>
        </is>
      </c>
    </row>
    <row r="1145" ht="21" customHeight="1">
      <c r="A1145" s="10" t="inlineStr">
        <is>
          <t>GYS-1141</t>
        </is>
      </c>
      <c r="B1145" s="10" t="inlineStr">
        <is>
          <t>义乌服饰内衣供应链1141有限公司（演示）</t>
        </is>
      </c>
      <c r="C1145" s="10" t="inlineStr">
        <is>
          <t>服饰内衣</t>
        </is>
      </c>
      <c r="D1145" s="10" t="inlineStr">
        <is>
          <t>防滑袜</t>
        </is>
      </c>
      <c r="E1145" s="10" t="inlineStr">
        <is>
          <t>浙江义乌</t>
        </is>
      </c>
      <c r="F1145" s="10" t="inlineStr">
        <is>
          <t>企业官网</t>
        </is>
      </c>
      <c r="G1145" s="10" t="inlineStr">
        <is>
          <t>林经理</t>
        </is>
      </c>
      <c r="H1145" s="10" t="inlineStr">
        <is>
          <t>000-0000-1141</t>
        </is>
      </c>
      <c r="I1145" s="10" t="inlineStr">
        <is>
          <t>DEMO_GYS_1141</t>
        </is>
      </c>
      <c r="J1145" s="11" t="n">
        <v>10.5</v>
      </c>
      <c r="K1145" s="11" t="n">
        <v>27.6</v>
      </c>
      <c r="L1145" s="12" t="n">
        <v>500</v>
      </c>
      <c r="M1145" s="10" t="inlineStr">
        <is>
          <t>是</t>
        </is>
      </c>
      <c r="N1145" s="10" t="inlineStr">
        <is>
          <t>是</t>
        </is>
      </c>
      <c r="O1145" s="10" t="inlineStr">
        <is>
          <t>supplier1141@example.com</t>
        </is>
      </c>
      <c r="P1145" s="10" t="inlineStr">
        <is>
          <t>https://example.com/supplier/1141</t>
        </is>
      </c>
      <c r="Q1145" s="10">
        <f>IF(R1145&gt;=85,"A",IF(R1145&gt;=70,"B","C"))</f>
        <v/>
      </c>
      <c r="R1145" s="13">
        <f>MIN(100,50+IF(M1145="是",10,0)+IF(N1145="是",10,0)+IF(L1145&lt;=100,10,IF(L1145&lt;=300,5,0))+IF(J1145&lt;=20,10,IF(J1145&lt;=50,5,0))+IF(K1145-J1145&lt;=20,5,0)+IF(F1145="企业官网",5,0))</f>
        <v/>
      </c>
      <c r="S1145" s="10">
        <f>IF(Q1145="A","价格与起订量有优势，建议优先询盘",IF(Q1145="B","条件较均衡，可作为备选","起订量或价格需要进一步确认"))</f>
        <v/>
      </c>
      <c r="T1145" s="10" t="inlineStr">
        <is>
          <t>未联系</t>
        </is>
      </c>
      <c r="U1145" s="10" t="inlineStr">
        <is>
          <t>虚构演示数据</t>
        </is>
      </c>
    </row>
    <row r="1146" ht="21" customHeight="1">
      <c r="A1146" s="10" t="inlineStr">
        <is>
          <t>GYS-1142</t>
        </is>
      </c>
      <c r="B1146" s="10" t="inlineStr">
        <is>
          <t>台州家居日用供应链1142有限公司（演示）</t>
        </is>
      </c>
      <c r="C1146" s="10" t="inlineStr">
        <is>
          <t>家居日用</t>
        </is>
      </c>
      <c r="D1146" s="10" t="inlineStr">
        <is>
          <t>折叠收纳箱</t>
        </is>
      </c>
      <c r="E1146" s="10" t="inlineStr">
        <is>
          <t>浙江台州</t>
        </is>
      </c>
      <c r="F1146" s="10" t="inlineStr">
        <is>
          <t>义乌购</t>
        </is>
      </c>
      <c r="G1146" s="10" t="inlineStr">
        <is>
          <t>王经理</t>
        </is>
      </c>
      <c r="H1146" s="10" t="inlineStr">
        <is>
          <t>000-0000-1142</t>
        </is>
      </c>
      <c r="I1146" s="10" t="inlineStr">
        <is>
          <t>DEMO_GYS_1142</t>
        </is>
      </c>
      <c r="J1146" s="11" t="n">
        <v>12.2</v>
      </c>
      <c r="K1146" s="11" t="n">
        <v>30.4</v>
      </c>
      <c r="L1146" s="12" t="n">
        <v>300</v>
      </c>
      <c r="M1146" s="10" t="inlineStr">
        <is>
          <t>是</t>
        </is>
      </c>
      <c r="N1146" s="10" t="inlineStr">
        <is>
          <t>是</t>
        </is>
      </c>
      <c r="O1146" s="10" t="inlineStr">
        <is>
          <t>supplier1142@example.com</t>
        </is>
      </c>
      <c r="P1146" s="10" t="inlineStr">
        <is>
          <t>https://example.com/supplier/1142</t>
        </is>
      </c>
      <c r="Q1146" s="10">
        <f>IF(R1146&gt;=85,"A",IF(R1146&gt;=70,"B","C"))</f>
        <v/>
      </c>
      <c r="R1146" s="13">
        <f>MIN(100,50+IF(M1146="是",10,0)+IF(N1146="是",10,0)+IF(L1146&lt;=100,10,IF(L1146&lt;=300,5,0))+IF(J1146&lt;=20,10,IF(J1146&lt;=50,5,0))+IF(K1146-J1146&lt;=20,5,0)+IF(F1146="企业官网",5,0))</f>
        <v/>
      </c>
      <c r="S1146" s="10">
        <f>IF(Q1146="A","价格与起订量有优势，建议优先询盘",IF(Q1146="B","条件较均衡，可作为备选","起订量或价格需要进一步确认"))</f>
        <v/>
      </c>
      <c r="T1146" s="10" t="inlineStr">
        <is>
          <t>未联系</t>
        </is>
      </c>
      <c r="U1146" s="10" t="inlineStr">
        <is>
          <t>虚构演示数据</t>
        </is>
      </c>
    </row>
    <row r="1147" ht="21" customHeight="1">
      <c r="A1147" s="10" t="inlineStr">
        <is>
          <t>GYS-1143</t>
        </is>
      </c>
      <c r="B1147" s="10" t="inlineStr">
        <is>
          <t>东莞个护清洁供应链1143有限公司（演示）</t>
        </is>
      </c>
      <c r="C1147" s="10" t="inlineStr">
        <is>
          <t>个护清洁</t>
        </is>
      </c>
      <c r="D1147" s="10" t="inlineStr">
        <is>
          <t>便携洗脸巾</t>
        </is>
      </c>
      <c r="E1147" s="10" t="inlineStr">
        <is>
          <t>广东东莞</t>
        </is>
      </c>
      <c r="F1147" s="10" t="inlineStr">
        <is>
          <t>慧聪网</t>
        </is>
      </c>
      <c r="G1147" s="10" t="inlineStr">
        <is>
          <t>李经理</t>
        </is>
      </c>
      <c r="H1147" s="10" t="inlineStr">
        <is>
          <t>000-0000-1143</t>
        </is>
      </c>
      <c r="I1147" s="10" t="inlineStr">
        <is>
          <t>DEMO_GYS_1143</t>
        </is>
      </c>
      <c r="J1147" s="11" t="n">
        <v>13.9</v>
      </c>
      <c r="K1147" s="11" t="n">
        <v>33.2</v>
      </c>
      <c r="L1147" s="12" t="n">
        <v>200</v>
      </c>
      <c r="M1147" s="10" t="inlineStr">
        <is>
          <t>是</t>
        </is>
      </c>
      <c r="N1147" s="10" t="inlineStr">
        <is>
          <t>否</t>
        </is>
      </c>
      <c r="O1147" s="10" t="inlineStr">
        <is>
          <t>supplier1143@example.com</t>
        </is>
      </c>
      <c r="P1147" s="10" t="inlineStr">
        <is>
          <t>https://example.com/supplier/1143</t>
        </is>
      </c>
      <c r="Q1147" s="10">
        <f>IF(R1147&gt;=85,"A",IF(R1147&gt;=70,"B","C"))</f>
        <v/>
      </c>
      <c r="R1147" s="13">
        <f>MIN(100,50+IF(M1147="是",10,0)+IF(N1147="是",10,0)+IF(L1147&lt;=100,10,IF(L1147&lt;=300,5,0))+IF(J1147&lt;=20,10,IF(J1147&lt;=50,5,0))+IF(K1147-J1147&lt;=20,5,0)+IF(F1147="企业官网",5,0))</f>
        <v/>
      </c>
      <c r="S1147" s="10">
        <f>IF(Q1147="A","价格与起订量有优势，建议优先询盘",IF(Q1147="B","条件较均衡，可作为备选","起订量或价格需要进一步确认"))</f>
        <v/>
      </c>
      <c r="T1147" s="10" t="inlineStr">
        <is>
          <t>未联系</t>
        </is>
      </c>
      <c r="U1147" s="10" t="inlineStr">
        <is>
          <t>虚构演示数据</t>
        </is>
      </c>
    </row>
    <row r="1148" ht="21" customHeight="1">
      <c r="A1148" s="10" t="inlineStr">
        <is>
          <t>GYS-1144</t>
        </is>
      </c>
      <c r="B1148" s="10" t="inlineStr">
        <is>
          <t>厦门厨房用品供应链1144有限公司（演示）</t>
        </is>
      </c>
      <c r="C1148" s="10" t="inlineStr">
        <is>
          <t>厨房用品</t>
        </is>
      </c>
      <c r="D1148" s="10" t="inlineStr">
        <is>
          <t>硅胶保鲜盒</t>
        </is>
      </c>
      <c r="E1148" s="10" t="inlineStr">
        <is>
          <t>福建厦门</t>
        </is>
      </c>
      <c r="F1148" s="10" t="inlineStr">
        <is>
          <t>1688</t>
        </is>
      </c>
      <c r="G1148" s="10" t="inlineStr">
        <is>
          <t>张经理</t>
        </is>
      </c>
      <c r="H1148" s="10" t="inlineStr">
        <is>
          <t>000-0000-1144</t>
        </is>
      </c>
      <c r="I1148" s="10" t="inlineStr">
        <is>
          <t>DEMO_GYS_1144</t>
        </is>
      </c>
      <c r="J1148" s="11" t="n">
        <v>15.6</v>
      </c>
      <c r="K1148" s="11" t="n">
        <v>36</v>
      </c>
      <c r="L1148" s="12" t="n">
        <v>100</v>
      </c>
      <c r="M1148" s="10" t="inlineStr">
        <is>
          <t>否</t>
        </is>
      </c>
      <c r="N1148" s="10" t="inlineStr">
        <is>
          <t>是</t>
        </is>
      </c>
      <c r="O1148" s="10" t="inlineStr">
        <is>
          <t>supplier1144@example.com</t>
        </is>
      </c>
      <c r="P1148" s="10" t="inlineStr">
        <is>
          <t>https://example.com/supplier/1144</t>
        </is>
      </c>
      <c r="Q1148" s="10">
        <f>IF(R1148&gt;=85,"A",IF(R1148&gt;=70,"B","C"))</f>
        <v/>
      </c>
      <c r="R1148" s="13">
        <f>MIN(100,50+IF(M1148="是",10,0)+IF(N1148="是",10,0)+IF(L1148&lt;=100,10,IF(L1148&lt;=300,5,0))+IF(J1148&lt;=20,10,IF(J1148&lt;=50,5,0))+IF(K1148-J1148&lt;=20,5,0)+IF(F1148="企业官网",5,0))</f>
        <v/>
      </c>
      <c r="S1148" s="10">
        <f>IF(Q1148="A","价格与起订量有优势，建议优先询盘",IF(Q1148="B","条件较均衡，可作为备选","起订量或价格需要进一步确认"))</f>
        <v/>
      </c>
      <c r="T1148" s="10" t="inlineStr">
        <is>
          <t>未联系</t>
        </is>
      </c>
      <c r="U1148" s="10" t="inlineStr">
        <is>
          <t>虚构演示数据</t>
        </is>
      </c>
    </row>
    <row r="1149" ht="21" customHeight="1">
      <c r="A1149" s="10" t="inlineStr">
        <is>
          <t>GYS-1145</t>
        </is>
      </c>
      <c r="B1149" s="10" t="inlineStr">
        <is>
          <t>临沂数码配件供应链1145有限公司（演示）</t>
        </is>
      </c>
      <c r="C1149" s="10" t="inlineStr">
        <is>
          <t>数码配件</t>
        </is>
      </c>
      <c r="D1149" s="10" t="inlineStr">
        <is>
          <t>磁吸手机支架</t>
        </is>
      </c>
      <c r="E1149" s="10" t="inlineStr">
        <is>
          <t>山东临沂</t>
        </is>
      </c>
      <c r="F1149" s="10" t="inlineStr">
        <is>
          <t>中国制造网</t>
        </is>
      </c>
      <c r="G1149" s="10" t="inlineStr">
        <is>
          <t>刘经理</t>
        </is>
      </c>
      <c r="H1149" s="10" t="inlineStr">
        <is>
          <t>000-0000-1145</t>
        </is>
      </c>
      <c r="I1149" s="10" t="inlineStr">
        <is>
          <t>DEMO_GYS_1145</t>
        </is>
      </c>
      <c r="J1149" s="11" t="n">
        <v>17.3</v>
      </c>
      <c r="K1149" s="11" t="n">
        <v>38.8</v>
      </c>
      <c r="L1149" s="12" t="n">
        <v>50</v>
      </c>
      <c r="M1149" s="10" t="inlineStr">
        <is>
          <t>是</t>
        </is>
      </c>
      <c r="N1149" s="10" t="inlineStr">
        <is>
          <t>是</t>
        </is>
      </c>
      <c r="O1149" s="10" t="inlineStr">
        <is>
          <t>supplier1145@example.com</t>
        </is>
      </c>
      <c r="P1149" s="10" t="inlineStr">
        <is>
          <t>https://example.com/supplier/1145</t>
        </is>
      </c>
      <c r="Q1149" s="10">
        <f>IF(R1149&gt;=85,"A",IF(R1149&gt;=70,"B","C"))</f>
        <v/>
      </c>
      <c r="R1149" s="13">
        <f>MIN(100,50+IF(M1149="是",10,0)+IF(N1149="是",10,0)+IF(L1149&lt;=100,10,IF(L1149&lt;=300,5,0))+IF(J1149&lt;=20,10,IF(J1149&lt;=50,5,0))+IF(K1149-J1149&lt;=20,5,0)+IF(F1149="企业官网",5,0))</f>
        <v/>
      </c>
      <c r="S1149" s="10">
        <f>IF(Q1149="A","价格与起订量有优势，建议优先询盘",IF(Q1149="B","条件较均衡，可作为备选","起订量或价格需要进一步确认"))</f>
        <v/>
      </c>
      <c r="T1149" s="10" t="inlineStr">
        <is>
          <t>未联系</t>
        </is>
      </c>
      <c r="U1149" s="10" t="inlineStr">
        <is>
          <t>虚构演示数据</t>
        </is>
      </c>
    </row>
    <row r="1150" ht="21" customHeight="1">
      <c r="A1150" s="10" t="inlineStr">
        <is>
          <t>GYS-1146</t>
        </is>
      </c>
      <c r="B1150" s="10" t="inlineStr">
        <is>
          <t>南昌宠物用品供应链1146有限公司（演示）</t>
        </is>
      </c>
      <c r="C1150" s="10" t="inlineStr">
        <is>
          <t>宠物用品</t>
        </is>
      </c>
      <c r="D1150" s="10" t="inlineStr">
        <is>
          <t>宠物清洁手套</t>
        </is>
      </c>
      <c r="E1150" s="10" t="inlineStr">
        <is>
          <t>江西南昌</t>
        </is>
      </c>
      <c r="F1150" s="10" t="inlineStr">
        <is>
          <t>企业官网</t>
        </is>
      </c>
      <c r="G1150" s="10" t="inlineStr">
        <is>
          <t>黄经理</t>
        </is>
      </c>
      <c r="H1150" s="10" t="inlineStr">
        <is>
          <t>000-0000-1146</t>
        </is>
      </c>
      <c r="I1150" s="10" t="inlineStr">
        <is>
          <t>DEMO_GYS_1146</t>
        </is>
      </c>
      <c r="J1150" s="11" t="n">
        <v>19</v>
      </c>
      <c r="K1150" s="11" t="n">
        <v>23.6</v>
      </c>
      <c r="L1150" s="12" t="n">
        <v>20</v>
      </c>
      <c r="M1150" s="10" t="inlineStr">
        <is>
          <t>是</t>
        </is>
      </c>
      <c r="N1150" s="10" t="inlineStr">
        <is>
          <t>否</t>
        </is>
      </c>
      <c r="O1150" s="10" t="inlineStr">
        <is>
          <t>supplier1146@example.com</t>
        </is>
      </c>
      <c r="P1150" s="10" t="inlineStr">
        <is>
          <t>https://example.com/supplier/1146</t>
        </is>
      </c>
      <c r="Q1150" s="10">
        <f>IF(R1150&gt;=85,"A",IF(R1150&gt;=70,"B","C"))</f>
        <v/>
      </c>
      <c r="R1150" s="13">
        <f>MIN(100,50+IF(M1150="是",10,0)+IF(N1150="是",10,0)+IF(L1150&lt;=100,10,IF(L1150&lt;=300,5,0))+IF(J1150&lt;=20,10,IF(J1150&lt;=50,5,0))+IF(K1150-J1150&lt;=20,5,0)+IF(F1150="企业官网",5,0))</f>
        <v/>
      </c>
      <c r="S1150" s="10">
        <f>IF(Q1150="A","价格与起订量有优势，建议优先询盘",IF(Q1150="B","条件较均衡，可作为备选","起订量或价格需要进一步确认"))</f>
        <v/>
      </c>
      <c r="T1150" s="10" t="inlineStr">
        <is>
          <t>未联系</t>
        </is>
      </c>
      <c r="U1150" s="10" t="inlineStr">
        <is>
          <t>虚构演示数据</t>
        </is>
      </c>
    </row>
    <row r="1151" ht="21" customHeight="1">
      <c r="A1151" s="10" t="inlineStr">
        <is>
          <t>GYS-1147</t>
        </is>
      </c>
      <c r="B1151" s="10" t="inlineStr">
        <is>
          <t>温州母婴用品供应链1147有限公司（演示）</t>
        </is>
      </c>
      <c r="C1151" s="10" t="inlineStr">
        <is>
          <t>母婴用品</t>
        </is>
      </c>
      <c r="D1151" s="10" t="inlineStr">
        <is>
          <t>婴儿防撞条</t>
        </is>
      </c>
      <c r="E1151" s="10" t="inlineStr">
        <is>
          <t>浙江温州</t>
        </is>
      </c>
      <c r="F1151" s="10" t="inlineStr">
        <is>
          <t>义乌购</t>
        </is>
      </c>
      <c r="G1151" s="10" t="inlineStr">
        <is>
          <t>赵经理</t>
        </is>
      </c>
      <c r="H1151" s="10" t="inlineStr">
        <is>
          <t>000-0000-1147</t>
        </is>
      </c>
      <c r="I1151" s="10" t="inlineStr">
        <is>
          <t>DEMO_GYS_1147</t>
        </is>
      </c>
      <c r="J1151" s="11" t="n">
        <v>20.7</v>
      </c>
      <c r="K1151" s="11" t="n">
        <v>26.4</v>
      </c>
      <c r="L1151" s="12" t="n">
        <v>500</v>
      </c>
      <c r="M1151" s="10" t="inlineStr">
        <is>
          <t>是</t>
        </is>
      </c>
      <c r="N1151" s="10" t="inlineStr">
        <is>
          <t>是</t>
        </is>
      </c>
      <c r="O1151" s="10" t="inlineStr">
        <is>
          <t>supplier1147@example.com</t>
        </is>
      </c>
      <c r="P1151" s="10" t="inlineStr">
        <is>
          <t>https://example.com/supplier/1147</t>
        </is>
      </c>
      <c r="Q1151" s="10">
        <f>IF(R1151&gt;=85,"A",IF(R1151&gt;=70,"B","C"))</f>
        <v/>
      </c>
      <c r="R1151" s="13">
        <f>MIN(100,50+IF(M1151="是",10,0)+IF(N1151="是",10,0)+IF(L1151&lt;=100,10,IF(L1151&lt;=300,5,0))+IF(J1151&lt;=20,10,IF(J1151&lt;=50,5,0))+IF(K1151-J1151&lt;=20,5,0)+IF(F1151="企业官网",5,0))</f>
        <v/>
      </c>
      <c r="S1151" s="10">
        <f>IF(Q1151="A","价格与起订量有优势，建议优先询盘",IF(Q1151="B","条件较均衡，可作为备选","起订量或价格需要进一步确认"))</f>
        <v/>
      </c>
      <c r="T1151" s="10" t="inlineStr">
        <is>
          <t>未联系</t>
        </is>
      </c>
      <c r="U1151" s="10" t="inlineStr">
        <is>
          <t>虚构演示数据</t>
        </is>
      </c>
    </row>
    <row r="1152" ht="21" customHeight="1">
      <c r="A1152" s="10" t="inlineStr">
        <is>
          <t>GYS-1148</t>
        </is>
      </c>
      <c r="B1152" s="10" t="inlineStr">
        <is>
          <t>广州运动户外供应链1148有限公司（演示）</t>
        </is>
      </c>
      <c r="C1152" s="10" t="inlineStr">
        <is>
          <t>运动户外</t>
        </is>
      </c>
      <c r="D1152" s="10" t="inlineStr">
        <is>
          <t>弹力训练带</t>
        </is>
      </c>
      <c r="E1152" s="10" t="inlineStr">
        <is>
          <t>广东广州</t>
        </is>
      </c>
      <c r="F1152" s="10" t="inlineStr">
        <is>
          <t>慧聪网</t>
        </is>
      </c>
      <c r="G1152" s="10" t="inlineStr">
        <is>
          <t>周经理</t>
        </is>
      </c>
      <c r="H1152" s="10" t="inlineStr">
        <is>
          <t>000-0000-1148</t>
        </is>
      </c>
      <c r="I1152" s="10" t="inlineStr">
        <is>
          <t>DEMO_GYS_1148</t>
        </is>
      </c>
      <c r="J1152" s="11" t="n">
        <v>22.4</v>
      </c>
      <c r="K1152" s="11" t="n">
        <v>29.2</v>
      </c>
      <c r="L1152" s="12" t="n">
        <v>300</v>
      </c>
      <c r="M1152" s="10" t="inlineStr">
        <is>
          <t>否</t>
        </is>
      </c>
      <c r="N1152" s="10" t="inlineStr">
        <is>
          <t>是</t>
        </is>
      </c>
      <c r="O1152" s="10" t="inlineStr">
        <is>
          <t>supplier1148@example.com</t>
        </is>
      </c>
      <c r="P1152" s="10" t="inlineStr">
        <is>
          <t>https://example.com/supplier/1148</t>
        </is>
      </c>
      <c r="Q1152" s="10">
        <f>IF(R1152&gt;=85,"A",IF(R1152&gt;=70,"B","C"))</f>
        <v/>
      </c>
      <c r="R1152" s="13">
        <f>MIN(100,50+IF(M1152="是",10,0)+IF(N1152="是",10,0)+IF(L1152&lt;=100,10,IF(L1152&lt;=300,5,0))+IF(J1152&lt;=20,10,IF(J1152&lt;=50,5,0))+IF(K1152-J1152&lt;=20,5,0)+IF(F1152="企业官网",5,0))</f>
        <v/>
      </c>
      <c r="S1152" s="10">
        <f>IF(Q1152="A","价格与起订量有优势，建议优先询盘",IF(Q1152="B","条件较均衡，可作为备选","起订量或价格需要进一步确认"))</f>
        <v/>
      </c>
      <c r="T1152" s="10" t="inlineStr">
        <is>
          <t>未联系</t>
        </is>
      </c>
      <c r="U1152" s="10" t="inlineStr">
        <is>
          <t>虚构演示数据</t>
        </is>
      </c>
    </row>
    <row r="1153" ht="21" customHeight="1">
      <c r="A1153" s="10" t="inlineStr">
        <is>
          <t>GYS-1149</t>
        </is>
      </c>
      <c r="B1153" s="10" t="inlineStr">
        <is>
          <t>泉州办公文具供应链1149有限公司（演示）</t>
        </is>
      </c>
      <c r="C1153" s="10" t="inlineStr">
        <is>
          <t>办公文具</t>
        </is>
      </c>
      <c r="D1153" s="10" t="inlineStr">
        <is>
          <t>桌面收纳架</t>
        </is>
      </c>
      <c r="E1153" s="10" t="inlineStr">
        <is>
          <t>福建泉州</t>
        </is>
      </c>
      <c r="F1153" s="10" t="inlineStr">
        <is>
          <t>1688</t>
        </is>
      </c>
      <c r="G1153" s="10" t="inlineStr">
        <is>
          <t>吴经理</t>
        </is>
      </c>
      <c r="H1153" s="10" t="inlineStr">
        <is>
          <t>000-0000-1149</t>
        </is>
      </c>
      <c r="I1153" s="10" t="inlineStr">
        <is>
          <t>DEMO_GYS_1149</t>
        </is>
      </c>
      <c r="J1153" s="11" t="n">
        <v>24.1</v>
      </c>
      <c r="K1153" s="11" t="n">
        <v>32</v>
      </c>
      <c r="L1153" s="12" t="n">
        <v>200</v>
      </c>
      <c r="M1153" s="10" t="inlineStr">
        <is>
          <t>是</t>
        </is>
      </c>
      <c r="N1153" s="10" t="inlineStr">
        <is>
          <t>否</t>
        </is>
      </c>
      <c r="O1153" s="10" t="inlineStr">
        <is>
          <t>supplier1149@example.com</t>
        </is>
      </c>
      <c r="P1153" s="10" t="inlineStr">
        <is>
          <t>https://example.com/supplier/1149</t>
        </is>
      </c>
      <c r="Q1153" s="10">
        <f>IF(R1153&gt;=85,"A",IF(R1153&gt;=70,"B","C"))</f>
        <v/>
      </c>
      <c r="R1153" s="13">
        <f>MIN(100,50+IF(M1153="是",10,0)+IF(N1153="是",10,0)+IF(L1153&lt;=100,10,IF(L1153&lt;=300,5,0))+IF(J1153&lt;=20,10,IF(J1153&lt;=50,5,0))+IF(K1153-J1153&lt;=20,5,0)+IF(F1153="企业官网",5,0))</f>
        <v/>
      </c>
      <c r="S1153" s="10">
        <f>IF(Q1153="A","价格与起订量有优势，建议优先询盘",IF(Q1153="B","条件较均衡，可作为备选","起订量或价格需要进一步确认"))</f>
        <v/>
      </c>
      <c r="T1153" s="10" t="inlineStr">
        <is>
          <t>未联系</t>
        </is>
      </c>
      <c r="U1153" s="10" t="inlineStr">
        <is>
          <t>虚构演示数据</t>
        </is>
      </c>
    </row>
    <row r="1154" ht="21" customHeight="1">
      <c r="A1154" s="10" t="inlineStr">
        <is>
          <t>GYS-1150</t>
        </is>
      </c>
      <c r="B1154" s="10" t="inlineStr">
        <is>
          <t>南通汽车用品供应链1150有限公司（演示）</t>
        </is>
      </c>
      <c r="C1154" s="10" t="inlineStr">
        <is>
          <t>汽车用品</t>
        </is>
      </c>
      <c r="D1154" s="10" t="inlineStr">
        <is>
          <t>车载香薰</t>
        </is>
      </c>
      <c r="E1154" s="10" t="inlineStr">
        <is>
          <t>江苏南通</t>
        </is>
      </c>
      <c r="F1154" s="10" t="inlineStr">
        <is>
          <t>中国制造网</t>
        </is>
      </c>
      <c r="G1154" s="10" t="inlineStr">
        <is>
          <t>陈经理</t>
        </is>
      </c>
      <c r="H1154" s="10" t="inlineStr">
        <is>
          <t>000-0000-1150</t>
        </is>
      </c>
      <c r="I1154" s="10" t="inlineStr">
        <is>
          <t>DEMO_GYS_1150</t>
        </is>
      </c>
      <c r="J1154" s="11" t="n">
        <v>25.8</v>
      </c>
      <c r="K1154" s="11" t="n">
        <v>34.8</v>
      </c>
      <c r="L1154" s="12" t="n">
        <v>100</v>
      </c>
      <c r="M1154" s="10" t="inlineStr">
        <is>
          <t>是</t>
        </is>
      </c>
      <c r="N1154" s="10" t="inlineStr">
        <is>
          <t>是</t>
        </is>
      </c>
      <c r="O1154" s="10" t="inlineStr">
        <is>
          <t>supplier1150@example.com</t>
        </is>
      </c>
      <c r="P1154" s="10" t="inlineStr">
        <is>
          <t>https://example.com/supplier/1150</t>
        </is>
      </c>
      <c r="Q1154" s="10">
        <f>IF(R1154&gt;=85,"A",IF(R1154&gt;=70,"B","C"))</f>
        <v/>
      </c>
      <c r="R1154" s="13">
        <f>MIN(100,50+IF(M1154="是",10,0)+IF(N1154="是",10,0)+IF(L1154&lt;=100,10,IF(L1154&lt;=300,5,0))+IF(J1154&lt;=20,10,IF(J1154&lt;=50,5,0))+IF(K1154-J1154&lt;=20,5,0)+IF(F1154="企业官网",5,0))</f>
        <v/>
      </c>
      <c r="S1154" s="10">
        <f>IF(Q1154="A","价格与起订量有优势，建议优先询盘",IF(Q1154="B","条件较均衡，可作为备选","起订量或价格需要进一步确认"))</f>
        <v/>
      </c>
      <c r="T1154" s="10" t="inlineStr">
        <is>
          <t>未联系</t>
        </is>
      </c>
      <c r="U1154" s="10" t="inlineStr">
        <is>
          <t>虚构演示数据</t>
        </is>
      </c>
    </row>
    <row r="1155" ht="21" customHeight="1">
      <c r="A1155" s="10" t="inlineStr">
        <is>
          <t>GYS-1151</t>
        </is>
      </c>
      <c r="B1155" s="10" t="inlineStr">
        <is>
          <t>郑州美容工具供应链1151有限公司（演示）</t>
        </is>
      </c>
      <c r="C1155" s="10" t="inlineStr">
        <is>
          <t>美容工具</t>
        </is>
      </c>
      <c r="D1155" s="10" t="inlineStr">
        <is>
          <t>便携化妆镜</t>
        </is>
      </c>
      <c r="E1155" s="10" t="inlineStr">
        <is>
          <t>河南郑州</t>
        </is>
      </c>
      <c r="F1155" s="10" t="inlineStr">
        <is>
          <t>企业官网</t>
        </is>
      </c>
      <c r="G1155" s="10" t="inlineStr">
        <is>
          <t>林经理</t>
        </is>
      </c>
      <c r="H1155" s="10" t="inlineStr">
        <is>
          <t>000-0000-1151</t>
        </is>
      </c>
      <c r="I1155" s="10" t="inlineStr">
        <is>
          <t>DEMO_GYS_1151</t>
        </is>
      </c>
      <c r="J1155" s="11" t="n">
        <v>27.5</v>
      </c>
      <c r="K1155" s="11" t="n">
        <v>37.6</v>
      </c>
      <c r="L1155" s="12" t="n">
        <v>50</v>
      </c>
      <c r="M1155" s="10" t="inlineStr">
        <is>
          <t>是</t>
        </is>
      </c>
      <c r="N1155" s="10" t="inlineStr">
        <is>
          <t>是</t>
        </is>
      </c>
      <c r="O1155" s="10" t="inlineStr">
        <is>
          <t>supplier1151@example.com</t>
        </is>
      </c>
      <c r="P1155" s="10" t="inlineStr">
        <is>
          <t>https://example.com/supplier/1151</t>
        </is>
      </c>
      <c r="Q1155" s="10">
        <f>IF(R1155&gt;=85,"A",IF(R1155&gt;=70,"B","C"))</f>
        <v/>
      </c>
      <c r="R1155" s="13">
        <f>MIN(100,50+IF(M1155="是",10,0)+IF(N1155="是",10,0)+IF(L1155&lt;=100,10,IF(L1155&lt;=300,5,0))+IF(J1155&lt;=20,10,IF(J1155&lt;=50,5,0))+IF(K1155-J1155&lt;=20,5,0)+IF(F1155="企业官网",5,0))</f>
        <v/>
      </c>
      <c r="S1155" s="10">
        <f>IF(Q1155="A","价格与起订量有优势，建议优先询盘",IF(Q1155="B","条件较均衡，可作为备选","起订量或价格需要进一步确认"))</f>
        <v/>
      </c>
      <c r="T1155" s="10" t="inlineStr">
        <is>
          <t>未联系</t>
        </is>
      </c>
      <c r="U1155" s="10" t="inlineStr">
        <is>
          <t>虚构演示数据</t>
        </is>
      </c>
    </row>
    <row r="1156" ht="21" customHeight="1">
      <c r="A1156" s="10" t="inlineStr">
        <is>
          <t>GYS-1152</t>
        </is>
      </c>
      <c r="B1156" s="10" t="inlineStr">
        <is>
          <t>宁波旅行用品供应链1152有限公司（演示）</t>
        </is>
      </c>
      <c r="C1156" s="10" t="inlineStr">
        <is>
          <t>旅行用品</t>
        </is>
      </c>
      <c r="D1156" s="10" t="inlineStr">
        <is>
          <t>压缩收纳袋</t>
        </is>
      </c>
      <c r="E1156" s="10" t="inlineStr">
        <is>
          <t>浙江宁波</t>
        </is>
      </c>
      <c r="F1156" s="10" t="inlineStr">
        <is>
          <t>义乌购</t>
        </is>
      </c>
      <c r="G1156" s="10" t="inlineStr">
        <is>
          <t>王经理</t>
        </is>
      </c>
      <c r="H1156" s="10" t="inlineStr">
        <is>
          <t>000-0000-1152</t>
        </is>
      </c>
      <c r="I1156" s="10" t="inlineStr">
        <is>
          <t>DEMO_GYS_1152</t>
        </is>
      </c>
      <c r="J1156" s="11" t="n">
        <v>29.2</v>
      </c>
      <c r="K1156" s="11" t="n">
        <v>40.4</v>
      </c>
      <c r="L1156" s="12" t="n">
        <v>20</v>
      </c>
      <c r="M1156" s="10" t="inlineStr">
        <is>
          <t>否</t>
        </is>
      </c>
      <c r="N1156" s="10" t="inlineStr">
        <is>
          <t>否</t>
        </is>
      </c>
      <c r="O1156" s="10" t="inlineStr">
        <is>
          <t>supplier1152@example.com</t>
        </is>
      </c>
      <c r="P1156" s="10" t="inlineStr">
        <is>
          <t>https://example.com/supplier/1152</t>
        </is>
      </c>
      <c r="Q1156" s="10">
        <f>IF(R1156&gt;=85,"A",IF(R1156&gt;=70,"B","C"))</f>
        <v/>
      </c>
      <c r="R1156" s="13">
        <f>MIN(100,50+IF(M1156="是",10,0)+IF(N1156="是",10,0)+IF(L1156&lt;=100,10,IF(L1156&lt;=300,5,0))+IF(J1156&lt;=20,10,IF(J1156&lt;=50,5,0))+IF(K1156-J1156&lt;=20,5,0)+IF(F1156="企业官网",5,0))</f>
        <v/>
      </c>
      <c r="S1156" s="10">
        <f>IF(Q1156="A","价格与起订量有优势，建议优先询盘",IF(Q1156="B","条件较均衡，可作为备选","起订量或价格需要进一步确认"))</f>
        <v/>
      </c>
      <c r="T1156" s="10" t="inlineStr">
        <is>
          <t>未联系</t>
        </is>
      </c>
      <c r="U1156" s="10" t="inlineStr">
        <is>
          <t>虚构演示数据</t>
        </is>
      </c>
    </row>
    <row r="1157" ht="21" customHeight="1">
      <c r="A1157" s="10" t="inlineStr">
        <is>
          <t>GYS-1153</t>
        </is>
      </c>
      <c r="B1157" s="10" t="inlineStr">
        <is>
          <t>深圳清洁工具供应链1153有限公司（演示）</t>
        </is>
      </c>
      <c r="C1157" s="10" t="inlineStr">
        <is>
          <t>清洁工具</t>
        </is>
      </c>
      <c r="D1157" s="10" t="inlineStr">
        <is>
          <t>免手洗拖把</t>
        </is>
      </c>
      <c r="E1157" s="10" t="inlineStr">
        <is>
          <t>广东深圳</t>
        </is>
      </c>
      <c r="F1157" s="10" t="inlineStr">
        <is>
          <t>慧聪网</t>
        </is>
      </c>
      <c r="G1157" s="10" t="inlineStr">
        <is>
          <t>李经理</t>
        </is>
      </c>
      <c r="H1157" s="10" t="inlineStr">
        <is>
          <t>000-0000-1153</t>
        </is>
      </c>
      <c r="I1157" s="10" t="inlineStr">
        <is>
          <t>DEMO_GYS_1153</t>
        </is>
      </c>
      <c r="J1157" s="11" t="n">
        <v>30.9</v>
      </c>
      <c r="K1157" s="11" t="n">
        <v>43.2</v>
      </c>
      <c r="L1157" s="12" t="n">
        <v>500</v>
      </c>
      <c r="M1157" s="10" t="inlineStr">
        <is>
          <t>是</t>
        </is>
      </c>
      <c r="N1157" s="10" t="inlineStr">
        <is>
          <t>是</t>
        </is>
      </c>
      <c r="O1157" s="10" t="inlineStr">
        <is>
          <t>supplier1153@example.com</t>
        </is>
      </c>
      <c r="P1157" s="10" t="inlineStr">
        <is>
          <t>https://example.com/supplier/1153</t>
        </is>
      </c>
      <c r="Q1157" s="10">
        <f>IF(R1157&gt;=85,"A",IF(R1157&gt;=70,"B","C"))</f>
        <v/>
      </c>
      <c r="R1157" s="13">
        <f>MIN(100,50+IF(M1157="是",10,0)+IF(N1157="是",10,0)+IF(L1157&lt;=100,10,IF(L1157&lt;=300,5,0))+IF(J1157&lt;=20,10,IF(J1157&lt;=50,5,0))+IF(K1157-J1157&lt;=20,5,0)+IF(F1157="企业官网",5,0))</f>
        <v/>
      </c>
      <c r="S1157" s="10">
        <f>IF(Q1157="A","价格与起订量有优势，建议优先询盘",IF(Q1157="B","条件较均衡，可作为备选","起订量或价格需要进一步确认"))</f>
        <v/>
      </c>
      <c r="T1157" s="10" t="inlineStr">
        <is>
          <t>未联系</t>
        </is>
      </c>
      <c r="U1157" s="10" t="inlineStr">
        <is>
          <t>虚构演示数据</t>
        </is>
      </c>
    </row>
    <row r="1158" ht="21" customHeight="1">
      <c r="A1158" s="10" t="inlineStr">
        <is>
          <t>GYS-1154</t>
        </is>
      </c>
      <c r="B1158" s="10" t="inlineStr">
        <is>
          <t>佛山小家电供应链1154有限公司（演示）</t>
        </is>
      </c>
      <c r="C1158" s="10" t="inlineStr">
        <is>
          <t>小家电</t>
        </is>
      </c>
      <c r="D1158" s="10" t="inlineStr">
        <is>
          <t>迷你加湿器</t>
        </is>
      </c>
      <c r="E1158" s="10" t="inlineStr">
        <is>
          <t>广东佛山</t>
        </is>
      </c>
      <c r="F1158" s="10" t="inlineStr">
        <is>
          <t>1688</t>
        </is>
      </c>
      <c r="G1158" s="10" t="inlineStr">
        <is>
          <t>张经理</t>
        </is>
      </c>
      <c r="H1158" s="10" t="inlineStr">
        <is>
          <t>000-0000-1154</t>
        </is>
      </c>
      <c r="I1158" s="10" t="inlineStr">
        <is>
          <t>DEMO_GYS_1154</t>
        </is>
      </c>
      <c r="J1158" s="11" t="n">
        <v>32.6</v>
      </c>
      <c r="K1158" s="11" t="n">
        <v>46</v>
      </c>
      <c r="L1158" s="12" t="n">
        <v>300</v>
      </c>
      <c r="M1158" s="10" t="inlineStr">
        <is>
          <t>是</t>
        </is>
      </c>
      <c r="N1158" s="10" t="inlineStr">
        <is>
          <t>是</t>
        </is>
      </c>
      <c r="O1158" s="10" t="inlineStr">
        <is>
          <t>supplier1154@example.com</t>
        </is>
      </c>
      <c r="P1158" s="10" t="inlineStr">
        <is>
          <t>https://example.com/supplier/1154</t>
        </is>
      </c>
      <c r="Q1158" s="10">
        <f>IF(R1158&gt;=85,"A",IF(R1158&gt;=70,"B","C"))</f>
        <v/>
      </c>
      <c r="R1158" s="13">
        <f>MIN(100,50+IF(M1158="是",10,0)+IF(N1158="是",10,0)+IF(L1158&lt;=100,10,IF(L1158&lt;=300,5,0))+IF(J1158&lt;=20,10,IF(J1158&lt;=50,5,0))+IF(K1158-J1158&lt;=20,5,0)+IF(F1158="企业官网",5,0))</f>
        <v/>
      </c>
      <c r="S1158" s="10">
        <f>IF(Q1158="A","价格与起订量有优势，建议优先询盘",IF(Q1158="B","条件较均衡，可作为备选","起订量或价格需要进一步确认"))</f>
        <v/>
      </c>
      <c r="T1158" s="10" t="inlineStr">
        <is>
          <t>未联系</t>
        </is>
      </c>
      <c r="U1158" s="10" t="inlineStr">
        <is>
          <t>虚构演示数据</t>
        </is>
      </c>
    </row>
    <row r="1159" ht="21" customHeight="1">
      <c r="A1159" s="10" t="inlineStr">
        <is>
          <t>GYS-1155</t>
        </is>
      </c>
      <c r="B1159" s="10" t="inlineStr">
        <is>
          <t>苏州礼品包装供应链1155有限公司（演示）</t>
        </is>
      </c>
      <c r="C1159" s="10" t="inlineStr">
        <is>
          <t>礼品包装</t>
        </is>
      </c>
      <c r="D1159" s="10" t="inlineStr">
        <is>
          <t>节日礼盒</t>
        </is>
      </c>
      <c r="E1159" s="10" t="inlineStr">
        <is>
          <t>江苏苏州</t>
        </is>
      </c>
      <c r="F1159" s="10" t="inlineStr">
        <is>
          <t>中国制造网</t>
        </is>
      </c>
      <c r="G1159" s="10" t="inlineStr">
        <is>
          <t>刘经理</t>
        </is>
      </c>
      <c r="H1159" s="10" t="inlineStr">
        <is>
          <t>000-0000-1155</t>
        </is>
      </c>
      <c r="I1159" s="10" t="inlineStr">
        <is>
          <t>DEMO_GYS_1155</t>
        </is>
      </c>
      <c r="J1159" s="11" t="n">
        <v>34.3</v>
      </c>
      <c r="K1159" s="11" t="n">
        <v>48.8</v>
      </c>
      <c r="L1159" s="12" t="n">
        <v>200</v>
      </c>
      <c r="M1159" s="10" t="inlineStr">
        <is>
          <t>是</t>
        </is>
      </c>
      <c r="N1159" s="10" t="inlineStr">
        <is>
          <t>否</t>
        </is>
      </c>
      <c r="O1159" s="10" t="inlineStr">
        <is>
          <t>supplier1155@example.com</t>
        </is>
      </c>
      <c r="P1159" s="10" t="inlineStr">
        <is>
          <t>https://example.com/supplier/1155</t>
        </is>
      </c>
      <c r="Q1159" s="10">
        <f>IF(R1159&gt;=85,"A",IF(R1159&gt;=70,"B","C"))</f>
        <v/>
      </c>
      <c r="R1159" s="13">
        <f>MIN(100,50+IF(M1159="是",10,0)+IF(N1159="是",10,0)+IF(L1159&lt;=100,10,IF(L1159&lt;=300,5,0))+IF(J1159&lt;=20,10,IF(J1159&lt;=50,5,0))+IF(K1159-J1159&lt;=20,5,0)+IF(F1159="企业官网",5,0))</f>
        <v/>
      </c>
      <c r="S1159" s="10">
        <f>IF(Q1159="A","价格与起订量有优势，建议优先询盘",IF(Q1159="B","条件较均衡，可作为备选","起订量或价格需要进一步确认"))</f>
        <v/>
      </c>
      <c r="T1159" s="10" t="inlineStr">
        <is>
          <t>未联系</t>
        </is>
      </c>
      <c r="U1159" s="10" t="inlineStr">
        <is>
          <t>虚构演示数据</t>
        </is>
      </c>
    </row>
    <row r="1160" ht="21" customHeight="1">
      <c r="A1160" s="10" t="inlineStr">
        <is>
          <t>GYS-1156</t>
        </is>
      </c>
      <c r="B1160" s="10" t="inlineStr">
        <is>
          <t>白沟五金工具供应链1156有限公司（演示）</t>
        </is>
      </c>
      <c r="C1160" s="10" t="inlineStr">
        <is>
          <t>五金工具</t>
        </is>
      </c>
      <c r="D1160" s="10" t="inlineStr">
        <is>
          <t>多功能螺丝刀</t>
        </is>
      </c>
      <c r="E1160" s="10" t="inlineStr">
        <is>
          <t>河北白沟</t>
        </is>
      </c>
      <c r="F1160" s="10" t="inlineStr">
        <is>
          <t>企业官网</t>
        </is>
      </c>
      <c r="G1160" s="10" t="inlineStr">
        <is>
          <t>黄经理</t>
        </is>
      </c>
      <c r="H1160" s="10" t="inlineStr">
        <is>
          <t>000-0000-1156</t>
        </is>
      </c>
      <c r="I1160" s="10" t="inlineStr">
        <is>
          <t>DEMO_GYS_1156</t>
        </is>
      </c>
      <c r="J1160" s="11" t="n">
        <v>36</v>
      </c>
      <c r="K1160" s="11" t="n">
        <v>51.6</v>
      </c>
      <c r="L1160" s="12" t="n">
        <v>100</v>
      </c>
      <c r="M1160" s="10" t="inlineStr">
        <is>
          <t>否</t>
        </is>
      </c>
      <c r="N1160" s="10" t="inlineStr">
        <is>
          <t>是</t>
        </is>
      </c>
      <c r="O1160" s="10" t="inlineStr">
        <is>
          <t>supplier1156@example.com</t>
        </is>
      </c>
      <c r="P1160" s="10" t="inlineStr">
        <is>
          <t>https://example.com/supplier/1156</t>
        </is>
      </c>
      <c r="Q1160" s="10">
        <f>IF(R1160&gt;=85,"A",IF(R1160&gt;=70,"B","C"))</f>
        <v/>
      </c>
      <c r="R1160" s="13">
        <f>MIN(100,50+IF(M1160="是",10,0)+IF(N1160="是",10,0)+IF(L1160&lt;=100,10,IF(L1160&lt;=300,5,0))+IF(J1160&lt;=20,10,IF(J1160&lt;=50,5,0))+IF(K1160-J1160&lt;=20,5,0)+IF(F1160="企业官网",5,0))</f>
        <v/>
      </c>
      <c r="S1160" s="10">
        <f>IF(Q1160="A","价格与起订量有优势，建议优先询盘",IF(Q1160="B","条件较均衡，可作为备选","起订量或价格需要进一步确认"))</f>
        <v/>
      </c>
      <c r="T1160" s="10" t="inlineStr">
        <is>
          <t>未联系</t>
        </is>
      </c>
      <c r="U1160" s="10" t="inlineStr">
        <is>
          <t>虚构演示数据</t>
        </is>
      </c>
    </row>
    <row r="1161" ht="21" customHeight="1">
      <c r="A1161" s="10" t="inlineStr">
        <is>
          <t>GYS-1157</t>
        </is>
      </c>
      <c r="B1161" s="10" t="inlineStr">
        <is>
          <t>义乌鞋靴配件供应链1157有限公司（演示）</t>
        </is>
      </c>
      <c r="C1161" s="10" t="inlineStr">
        <is>
          <t>鞋靴配件</t>
        </is>
      </c>
      <c r="D1161" s="10" t="inlineStr">
        <is>
          <t>防磨脚贴</t>
        </is>
      </c>
      <c r="E1161" s="10" t="inlineStr">
        <is>
          <t>浙江义乌</t>
        </is>
      </c>
      <c r="F1161" s="10" t="inlineStr">
        <is>
          <t>义乌购</t>
        </is>
      </c>
      <c r="G1161" s="10" t="inlineStr">
        <is>
          <t>赵经理</t>
        </is>
      </c>
      <c r="H1161" s="10" t="inlineStr">
        <is>
          <t>000-0000-1157</t>
        </is>
      </c>
      <c r="I1161" s="10" t="inlineStr">
        <is>
          <t>DEMO_GYS_1157</t>
        </is>
      </c>
      <c r="J1161" s="11" t="n">
        <v>37.7</v>
      </c>
      <c r="K1161" s="11" t="n">
        <v>54.4</v>
      </c>
      <c r="L1161" s="12" t="n">
        <v>50</v>
      </c>
      <c r="M1161" s="10" t="inlineStr">
        <is>
          <t>是</t>
        </is>
      </c>
      <c r="N1161" s="10" t="inlineStr">
        <is>
          <t>是</t>
        </is>
      </c>
      <c r="O1161" s="10" t="inlineStr">
        <is>
          <t>supplier1157@example.com</t>
        </is>
      </c>
      <c r="P1161" s="10" t="inlineStr">
        <is>
          <t>https://example.com/supplier/1157</t>
        </is>
      </c>
      <c r="Q1161" s="10">
        <f>IF(R1161&gt;=85,"A",IF(R1161&gt;=70,"B","C"))</f>
        <v/>
      </c>
      <c r="R1161" s="13">
        <f>MIN(100,50+IF(M1161="是",10,0)+IF(N1161="是",10,0)+IF(L1161&lt;=100,10,IF(L1161&lt;=300,5,0))+IF(J1161&lt;=20,10,IF(J1161&lt;=50,5,0))+IF(K1161-J1161&lt;=20,5,0)+IF(F1161="企业官网",5,0))</f>
        <v/>
      </c>
      <c r="S1161" s="10">
        <f>IF(Q1161="A","价格与起订量有优势，建议优先询盘",IF(Q1161="B","条件较均衡，可作为备选","起订量或价格需要进一步确认"))</f>
        <v/>
      </c>
      <c r="T1161" s="10" t="inlineStr">
        <is>
          <t>未联系</t>
        </is>
      </c>
      <c r="U1161" s="10" t="inlineStr">
        <is>
          <t>虚构演示数据</t>
        </is>
      </c>
    </row>
    <row r="1162" ht="21" customHeight="1">
      <c r="A1162" s="10" t="inlineStr">
        <is>
          <t>GYS-1158</t>
        </is>
      </c>
      <c r="B1162" s="10" t="inlineStr">
        <is>
          <t>台州食品包装供应链1158有限公司（演示）</t>
        </is>
      </c>
      <c r="C1162" s="10" t="inlineStr">
        <is>
          <t>食品包装</t>
        </is>
      </c>
      <c r="D1162" s="10" t="inlineStr">
        <is>
          <t>密封包装袋</t>
        </is>
      </c>
      <c r="E1162" s="10" t="inlineStr">
        <is>
          <t>浙江台州</t>
        </is>
      </c>
      <c r="F1162" s="10" t="inlineStr">
        <is>
          <t>慧聪网</t>
        </is>
      </c>
      <c r="G1162" s="10" t="inlineStr">
        <is>
          <t>周经理</t>
        </is>
      </c>
      <c r="H1162" s="10" t="inlineStr">
        <is>
          <t>000-0000-1158</t>
        </is>
      </c>
      <c r="I1162" s="10" t="inlineStr">
        <is>
          <t>DEMO_GYS_1158</t>
        </is>
      </c>
      <c r="J1162" s="11" t="n">
        <v>39.4</v>
      </c>
      <c r="K1162" s="11" t="n">
        <v>57.2</v>
      </c>
      <c r="L1162" s="12" t="n">
        <v>20</v>
      </c>
      <c r="M1162" s="10" t="inlineStr">
        <is>
          <t>是</t>
        </is>
      </c>
      <c r="N1162" s="10" t="inlineStr">
        <is>
          <t>否</t>
        </is>
      </c>
      <c r="O1162" s="10" t="inlineStr">
        <is>
          <t>supplier1158@example.com</t>
        </is>
      </c>
      <c r="P1162" s="10" t="inlineStr">
        <is>
          <t>https://example.com/supplier/1158</t>
        </is>
      </c>
      <c r="Q1162" s="10">
        <f>IF(R1162&gt;=85,"A",IF(R1162&gt;=70,"B","C"))</f>
        <v/>
      </c>
      <c r="R1162" s="13">
        <f>MIN(100,50+IF(M1162="是",10,0)+IF(N1162="是",10,0)+IF(L1162&lt;=100,10,IF(L1162&lt;=300,5,0))+IF(J1162&lt;=20,10,IF(J1162&lt;=50,5,0))+IF(K1162-J1162&lt;=20,5,0)+IF(F1162="企业官网",5,0))</f>
        <v/>
      </c>
      <c r="S1162" s="10">
        <f>IF(Q1162="A","价格与起订量有优势，建议优先询盘",IF(Q1162="B","条件较均衡，可作为备选","起订量或价格需要进一步确认"))</f>
        <v/>
      </c>
      <c r="T1162" s="10" t="inlineStr">
        <is>
          <t>未联系</t>
        </is>
      </c>
      <c r="U1162" s="10" t="inlineStr">
        <is>
          <t>虚构演示数据</t>
        </is>
      </c>
    </row>
    <row r="1163" ht="21" customHeight="1">
      <c r="A1163" s="10" t="inlineStr">
        <is>
          <t>GYS-1159</t>
        </is>
      </c>
      <c r="B1163" s="10" t="inlineStr">
        <is>
          <t>东莞户外照明供应链1159有限公司（演示）</t>
        </is>
      </c>
      <c r="C1163" s="10" t="inlineStr">
        <is>
          <t>户外照明</t>
        </is>
      </c>
      <c r="D1163" s="10" t="inlineStr">
        <is>
          <t>便携露营灯</t>
        </is>
      </c>
      <c r="E1163" s="10" t="inlineStr">
        <is>
          <t>广东东莞</t>
        </is>
      </c>
      <c r="F1163" s="10" t="inlineStr">
        <is>
          <t>1688</t>
        </is>
      </c>
      <c r="G1163" s="10" t="inlineStr">
        <is>
          <t>吴经理</t>
        </is>
      </c>
      <c r="H1163" s="10" t="inlineStr">
        <is>
          <t>000-0000-1159</t>
        </is>
      </c>
      <c r="I1163" s="10" t="inlineStr">
        <is>
          <t>DEMO_GYS_1159</t>
        </is>
      </c>
      <c r="J1163" s="11" t="n">
        <v>41.1</v>
      </c>
      <c r="K1163" s="11" t="n">
        <v>60</v>
      </c>
      <c r="L1163" s="12" t="n">
        <v>500</v>
      </c>
      <c r="M1163" s="10" t="inlineStr">
        <is>
          <t>是</t>
        </is>
      </c>
      <c r="N1163" s="10" t="inlineStr">
        <is>
          <t>是</t>
        </is>
      </c>
      <c r="O1163" s="10" t="inlineStr">
        <is>
          <t>supplier1159@example.com</t>
        </is>
      </c>
      <c r="P1163" s="10" t="inlineStr">
        <is>
          <t>https://example.com/supplier/1159</t>
        </is>
      </c>
      <c r="Q1163" s="10">
        <f>IF(R1163&gt;=85,"A",IF(R1163&gt;=70,"B","C"))</f>
        <v/>
      </c>
      <c r="R1163" s="13">
        <f>MIN(100,50+IF(M1163="是",10,0)+IF(N1163="是",10,0)+IF(L1163&lt;=100,10,IF(L1163&lt;=300,5,0))+IF(J1163&lt;=20,10,IF(J1163&lt;=50,5,0))+IF(K1163-J1163&lt;=20,5,0)+IF(F1163="企业官网",5,0))</f>
        <v/>
      </c>
      <c r="S1163" s="10">
        <f>IF(Q1163="A","价格与起订量有优势，建议优先询盘",IF(Q1163="B","条件较均衡，可作为备选","起订量或价格需要进一步确认"))</f>
        <v/>
      </c>
      <c r="T1163" s="10" t="inlineStr">
        <is>
          <t>未联系</t>
        </is>
      </c>
      <c r="U1163" s="10" t="inlineStr">
        <is>
          <t>虚构演示数据</t>
        </is>
      </c>
    </row>
    <row r="1164" ht="21" customHeight="1">
      <c r="A1164" s="10" t="inlineStr">
        <is>
          <t>GYS-1160</t>
        </is>
      </c>
      <c r="B1164" s="10" t="inlineStr">
        <is>
          <t>厦门健康用品供应链1160有限公司（演示）</t>
        </is>
      </c>
      <c r="C1164" s="10" t="inlineStr">
        <is>
          <t>健康用品</t>
        </is>
      </c>
      <c r="D1164" s="10" t="inlineStr">
        <is>
          <t>热敷眼罩</t>
        </is>
      </c>
      <c r="E1164" s="10" t="inlineStr">
        <is>
          <t>福建厦门</t>
        </is>
      </c>
      <c r="F1164" s="10" t="inlineStr">
        <is>
          <t>中国制造网</t>
        </is>
      </c>
      <c r="G1164" s="10" t="inlineStr">
        <is>
          <t>陈经理</t>
        </is>
      </c>
      <c r="H1164" s="10" t="inlineStr">
        <is>
          <t>000-0000-1160</t>
        </is>
      </c>
      <c r="I1164" s="10" t="inlineStr">
        <is>
          <t>DEMO_GYS_1160</t>
        </is>
      </c>
      <c r="J1164" s="11" t="n">
        <v>42.8</v>
      </c>
      <c r="K1164" s="11" t="n">
        <v>62.8</v>
      </c>
      <c r="L1164" s="12" t="n">
        <v>300</v>
      </c>
      <c r="M1164" s="10" t="inlineStr">
        <is>
          <t>否</t>
        </is>
      </c>
      <c r="N1164" s="10" t="inlineStr">
        <is>
          <t>是</t>
        </is>
      </c>
      <c r="O1164" s="10" t="inlineStr">
        <is>
          <t>supplier1160@example.com</t>
        </is>
      </c>
      <c r="P1164" s="10" t="inlineStr">
        <is>
          <t>https://example.com/supplier/1160</t>
        </is>
      </c>
      <c r="Q1164" s="10">
        <f>IF(R1164&gt;=85,"A",IF(R1164&gt;=70,"B","C"))</f>
        <v/>
      </c>
      <c r="R1164" s="13">
        <f>MIN(100,50+IF(M1164="是",10,0)+IF(N1164="是",10,0)+IF(L1164&lt;=100,10,IF(L1164&lt;=300,5,0))+IF(J1164&lt;=20,10,IF(J1164&lt;=50,5,0))+IF(K1164-J1164&lt;=20,5,0)+IF(F1164="企业官网",5,0))</f>
        <v/>
      </c>
      <c r="S1164" s="10">
        <f>IF(Q1164="A","价格与起订量有优势，建议优先询盘",IF(Q1164="B","条件较均衡，可作为备选","起订量或价格需要进一步确认"))</f>
        <v/>
      </c>
      <c r="T1164" s="10" t="inlineStr">
        <is>
          <t>未联系</t>
        </is>
      </c>
      <c r="U1164" s="10" t="inlineStr">
        <is>
          <t>虚构演示数据</t>
        </is>
      </c>
    </row>
    <row r="1165" ht="21" customHeight="1">
      <c r="A1165" s="10" t="inlineStr">
        <is>
          <t>GYS-1161</t>
        </is>
      </c>
      <c r="B1165" s="10" t="inlineStr">
        <is>
          <t>临沂服饰内衣供应链1161有限公司（演示）</t>
        </is>
      </c>
      <c r="C1165" s="10" t="inlineStr">
        <is>
          <t>服饰内衣</t>
        </is>
      </c>
      <c r="D1165" s="10" t="inlineStr">
        <is>
          <t>防滑袜</t>
        </is>
      </c>
      <c r="E1165" s="10" t="inlineStr">
        <is>
          <t>山东临沂</t>
        </is>
      </c>
      <c r="F1165" s="10" t="inlineStr">
        <is>
          <t>企业官网</t>
        </is>
      </c>
      <c r="G1165" s="10" t="inlineStr">
        <is>
          <t>林经理</t>
        </is>
      </c>
      <c r="H1165" s="10" t="inlineStr">
        <is>
          <t>000-0000-1161</t>
        </is>
      </c>
      <c r="I1165" s="10" t="inlineStr">
        <is>
          <t>DEMO_GYS_1161</t>
        </is>
      </c>
      <c r="J1165" s="11" t="n">
        <v>44.5</v>
      </c>
      <c r="K1165" s="11" t="n">
        <v>65.59999999999999</v>
      </c>
      <c r="L1165" s="12" t="n">
        <v>200</v>
      </c>
      <c r="M1165" s="10" t="inlineStr">
        <is>
          <t>是</t>
        </is>
      </c>
      <c r="N1165" s="10" t="inlineStr">
        <is>
          <t>否</t>
        </is>
      </c>
      <c r="O1165" s="10" t="inlineStr">
        <is>
          <t>supplier1161@example.com</t>
        </is>
      </c>
      <c r="P1165" s="10" t="inlineStr">
        <is>
          <t>https://example.com/supplier/1161</t>
        </is>
      </c>
      <c r="Q1165" s="10">
        <f>IF(R1165&gt;=85,"A",IF(R1165&gt;=70,"B","C"))</f>
        <v/>
      </c>
      <c r="R1165" s="13">
        <f>MIN(100,50+IF(M1165="是",10,0)+IF(N1165="是",10,0)+IF(L1165&lt;=100,10,IF(L1165&lt;=300,5,0))+IF(J1165&lt;=20,10,IF(J1165&lt;=50,5,0))+IF(K1165-J1165&lt;=20,5,0)+IF(F1165="企业官网",5,0))</f>
        <v/>
      </c>
      <c r="S1165" s="10">
        <f>IF(Q1165="A","价格与起订量有优势，建议优先询盘",IF(Q1165="B","条件较均衡，可作为备选","起订量或价格需要进一步确认"))</f>
        <v/>
      </c>
      <c r="T1165" s="10" t="inlineStr">
        <is>
          <t>未联系</t>
        </is>
      </c>
      <c r="U1165" s="10" t="inlineStr">
        <is>
          <t>虚构演示数据</t>
        </is>
      </c>
    </row>
    <row r="1166" ht="21" customHeight="1">
      <c r="A1166" s="10" t="inlineStr">
        <is>
          <t>GYS-1162</t>
        </is>
      </c>
      <c r="B1166" s="10" t="inlineStr">
        <is>
          <t>南昌家居日用供应链1162有限公司（演示）</t>
        </is>
      </c>
      <c r="C1166" s="10" t="inlineStr">
        <is>
          <t>家居日用</t>
        </is>
      </c>
      <c r="D1166" s="10" t="inlineStr">
        <is>
          <t>折叠收纳箱</t>
        </is>
      </c>
      <c r="E1166" s="10" t="inlineStr">
        <is>
          <t>江西南昌</t>
        </is>
      </c>
      <c r="F1166" s="10" t="inlineStr">
        <is>
          <t>义乌购</t>
        </is>
      </c>
      <c r="G1166" s="10" t="inlineStr">
        <is>
          <t>王经理</t>
        </is>
      </c>
      <c r="H1166" s="10" t="inlineStr">
        <is>
          <t>000-0000-1162</t>
        </is>
      </c>
      <c r="I1166" s="10" t="inlineStr">
        <is>
          <t>DEMO_GYS_1162</t>
        </is>
      </c>
      <c r="J1166" s="11" t="n">
        <v>46.2</v>
      </c>
      <c r="K1166" s="11" t="n">
        <v>50.4</v>
      </c>
      <c r="L1166" s="12" t="n">
        <v>100</v>
      </c>
      <c r="M1166" s="10" t="inlineStr">
        <is>
          <t>是</t>
        </is>
      </c>
      <c r="N1166" s="10" t="inlineStr">
        <is>
          <t>是</t>
        </is>
      </c>
      <c r="O1166" s="10" t="inlineStr">
        <is>
          <t>supplier1162@example.com</t>
        </is>
      </c>
      <c r="P1166" s="10" t="inlineStr">
        <is>
          <t>https://example.com/supplier/1162</t>
        </is>
      </c>
      <c r="Q1166" s="10">
        <f>IF(R1166&gt;=85,"A",IF(R1166&gt;=70,"B","C"))</f>
        <v/>
      </c>
      <c r="R1166" s="13">
        <f>MIN(100,50+IF(M1166="是",10,0)+IF(N1166="是",10,0)+IF(L1166&lt;=100,10,IF(L1166&lt;=300,5,0))+IF(J1166&lt;=20,10,IF(J1166&lt;=50,5,0))+IF(K1166-J1166&lt;=20,5,0)+IF(F1166="企业官网",5,0))</f>
        <v/>
      </c>
      <c r="S1166" s="10">
        <f>IF(Q1166="A","价格与起订量有优势，建议优先询盘",IF(Q1166="B","条件较均衡，可作为备选","起订量或价格需要进一步确认"))</f>
        <v/>
      </c>
      <c r="T1166" s="10" t="inlineStr">
        <is>
          <t>未联系</t>
        </is>
      </c>
      <c r="U1166" s="10" t="inlineStr">
        <is>
          <t>虚构演示数据</t>
        </is>
      </c>
    </row>
    <row r="1167" ht="21" customHeight="1">
      <c r="A1167" s="10" t="inlineStr">
        <is>
          <t>GYS-1163</t>
        </is>
      </c>
      <c r="B1167" s="10" t="inlineStr">
        <is>
          <t>温州个护清洁供应链1163有限公司（演示）</t>
        </is>
      </c>
      <c r="C1167" s="10" t="inlineStr">
        <is>
          <t>个护清洁</t>
        </is>
      </c>
      <c r="D1167" s="10" t="inlineStr">
        <is>
          <t>便携洗脸巾</t>
        </is>
      </c>
      <c r="E1167" s="10" t="inlineStr">
        <is>
          <t>浙江温州</t>
        </is>
      </c>
      <c r="F1167" s="10" t="inlineStr">
        <is>
          <t>慧聪网</t>
        </is>
      </c>
      <c r="G1167" s="10" t="inlineStr">
        <is>
          <t>李经理</t>
        </is>
      </c>
      <c r="H1167" s="10" t="inlineStr">
        <is>
          <t>000-0000-1163</t>
        </is>
      </c>
      <c r="I1167" s="10" t="inlineStr">
        <is>
          <t>DEMO_GYS_1163</t>
        </is>
      </c>
      <c r="J1167" s="11" t="n">
        <v>47.9</v>
      </c>
      <c r="K1167" s="11" t="n">
        <v>53.2</v>
      </c>
      <c r="L1167" s="12" t="n">
        <v>50</v>
      </c>
      <c r="M1167" s="10" t="inlineStr">
        <is>
          <t>是</t>
        </is>
      </c>
      <c r="N1167" s="10" t="inlineStr">
        <is>
          <t>是</t>
        </is>
      </c>
      <c r="O1167" s="10" t="inlineStr">
        <is>
          <t>supplier1163@example.com</t>
        </is>
      </c>
      <c r="P1167" s="10" t="inlineStr">
        <is>
          <t>https://example.com/supplier/1163</t>
        </is>
      </c>
      <c r="Q1167" s="10">
        <f>IF(R1167&gt;=85,"A",IF(R1167&gt;=70,"B","C"))</f>
        <v/>
      </c>
      <c r="R1167" s="13">
        <f>MIN(100,50+IF(M1167="是",10,0)+IF(N1167="是",10,0)+IF(L1167&lt;=100,10,IF(L1167&lt;=300,5,0))+IF(J1167&lt;=20,10,IF(J1167&lt;=50,5,0))+IF(K1167-J1167&lt;=20,5,0)+IF(F1167="企业官网",5,0))</f>
        <v/>
      </c>
      <c r="S1167" s="10">
        <f>IF(Q1167="A","价格与起订量有优势，建议优先询盘",IF(Q1167="B","条件较均衡，可作为备选","起订量或价格需要进一步确认"))</f>
        <v/>
      </c>
      <c r="T1167" s="10" t="inlineStr">
        <is>
          <t>未联系</t>
        </is>
      </c>
      <c r="U1167" s="10" t="inlineStr">
        <is>
          <t>虚构演示数据</t>
        </is>
      </c>
    </row>
    <row r="1168" ht="21" customHeight="1">
      <c r="A1168" s="10" t="inlineStr">
        <is>
          <t>GYS-1164</t>
        </is>
      </c>
      <c r="B1168" s="10" t="inlineStr">
        <is>
          <t>广州厨房用品供应链1164有限公司（演示）</t>
        </is>
      </c>
      <c r="C1168" s="10" t="inlineStr">
        <is>
          <t>厨房用品</t>
        </is>
      </c>
      <c r="D1168" s="10" t="inlineStr">
        <is>
          <t>硅胶保鲜盒</t>
        </is>
      </c>
      <c r="E1168" s="10" t="inlineStr">
        <is>
          <t>广东广州</t>
        </is>
      </c>
      <c r="F1168" s="10" t="inlineStr">
        <is>
          <t>1688</t>
        </is>
      </c>
      <c r="G1168" s="10" t="inlineStr">
        <is>
          <t>张经理</t>
        </is>
      </c>
      <c r="H1168" s="10" t="inlineStr">
        <is>
          <t>000-0000-1164</t>
        </is>
      </c>
      <c r="I1168" s="10" t="inlineStr">
        <is>
          <t>DEMO_GYS_1164</t>
        </is>
      </c>
      <c r="J1168" s="11" t="n">
        <v>3.6</v>
      </c>
      <c r="K1168" s="11" t="n">
        <v>10</v>
      </c>
      <c r="L1168" s="12" t="n">
        <v>20</v>
      </c>
      <c r="M1168" s="10" t="inlineStr">
        <is>
          <t>否</t>
        </is>
      </c>
      <c r="N1168" s="10" t="inlineStr">
        <is>
          <t>否</t>
        </is>
      </c>
      <c r="O1168" s="10" t="inlineStr">
        <is>
          <t>supplier1164@example.com</t>
        </is>
      </c>
      <c r="P1168" s="10" t="inlineStr">
        <is>
          <t>https://example.com/supplier/1164</t>
        </is>
      </c>
      <c r="Q1168" s="10">
        <f>IF(R1168&gt;=85,"A",IF(R1168&gt;=70,"B","C"))</f>
        <v/>
      </c>
      <c r="R1168" s="13">
        <f>MIN(100,50+IF(M1168="是",10,0)+IF(N1168="是",10,0)+IF(L1168&lt;=100,10,IF(L1168&lt;=300,5,0))+IF(J1168&lt;=20,10,IF(J1168&lt;=50,5,0))+IF(K1168-J1168&lt;=20,5,0)+IF(F1168="企业官网",5,0))</f>
        <v/>
      </c>
      <c r="S1168" s="10">
        <f>IF(Q1168="A","价格与起订量有优势，建议优先询盘",IF(Q1168="B","条件较均衡，可作为备选","起订量或价格需要进一步确认"))</f>
        <v/>
      </c>
      <c r="T1168" s="10" t="inlineStr">
        <is>
          <t>未联系</t>
        </is>
      </c>
      <c r="U1168" s="10" t="inlineStr">
        <is>
          <t>虚构演示数据</t>
        </is>
      </c>
    </row>
    <row r="1169" ht="21" customHeight="1">
      <c r="A1169" s="10" t="inlineStr">
        <is>
          <t>GYS-1165</t>
        </is>
      </c>
      <c r="B1169" s="10" t="inlineStr">
        <is>
          <t>泉州数码配件供应链1165有限公司（演示）</t>
        </is>
      </c>
      <c r="C1169" s="10" t="inlineStr">
        <is>
          <t>数码配件</t>
        </is>
      </c>
      <c r="D1169" s="10" t="inlineStr">
        <is>
          <t>磁吸手机支架</t>
        </is>
      </c>
      <c r="E1169" s="10" t="inlineStr">
        <is>
          <t>福建泉州</t>
        </is>
      </c>
      <c r="F1169" s="10" t="inlineStr">
        <is>
          <t>中国制造网</t>
        </is>
      </c>
      <c r="G1169" s="10" t="inlineStr">
        <is>
          <t>刘经理</t>
        </is>
      </c>
      <c r="H1169" s="10" t="inlineStr">
        <is>
          <t>000-0000-1165</t>
        </is>
      </c>
      <c r="I1169" s="10" t="inlineStr">
        <is>
          <t>DEMO_GYS_1165</t>
        </is>
      </c>
      <c r="J1169" s="11" t="n">
        <v>5.3</v>
      </c>
      <c r="K1169" s="11" t="n">
        <v>12.8</v>
      </c>
      <c r="L1169" s="12" t="n">
        <v>500</v>
      </c>
      <c r="M1169" s="10" t="inlineStr">
        <is>
          <t>是</t>
        </is>
      </c>
      <c r="N1169" s="10" t="inlineStr">
        <is>
          <t>是</t>
        </is>
      </c>
      <c r="O1169" s="10" t="inlineStr">
        <is>
          <t>supplier1165@example.com</t>
        </is>
      </c>
      <c r="P1169" s="10" t="inlineStr">
        <is>
          <t>https://example.com/supplier/1165</t>
        </is>
      </c>
      <c r="Q1169" s="10">
        <f>IF(R1169&gt;=85,"A",IF(R1169&gt;=70,"B","C"))</f>
        <v/>
      </c>
      <c r="R1169" s="13">
        <f>MIN(100,50+IF(M1169="是",10,0)+IF(N1169="是",10,0)+IF(L1169&lt;=100,10,IF(L1169&lt;=300,5,0))+IF(J1169&lt;=20,10,IF(J1169&lt;=50,5,0))+IF(K1169-J1169&lt;=20,5,0)+IF(F1169="企业官网",5,0))</f>
        <v/>
      </c>
      <c r="S1169" s="10">
        <f>IF(Q1169="A","价格与起订量有优势，建议优先询盘",IF(Q1169="B","条件较均衡，可作为备选","起订量或价格需要进一步确认"))</f>
        <v/>
      </c>
      <c r="T1169" s="10" t="inlineStr">
        <is>
          <t>未联系</t>
        </is>
      </c>
      <c r="U1169" s="10" t="inlineStr">
        <is>
          <t>虚构演示数据</t>
        </is>
      </c>
    </row>
    <row r="1170" ht="21" customHeight="1">
      <c r="A1170" s="10" t="inlineStr">
        <is>
          <t>GYS-1166</t>
        </is>
      </c>
      <c r="B1170" s="10" t="inlineStr">
        <is>
          <t>南通宠物用品供应链1166有限公司（演示）</t>
        </is>
      </c>
      <c r="C1170" s="10" t="inlineStr">
        <is>
          <t>宠物用品</t>
        </is>
      </c>
      <c r="D1170" s="10" t="inlineStr">
        <is>
          <t>宠物清洁手套</t>
        </is>
      </c>
      <c r="E1170" s="10" t="inlineStr">
        <is>
          <t>江苏南通</t>
        </is>
      </c>
      <c r="F1170" s="10" t="inlineStr">
        <is>
          <t>企业官网</t>
        </is>
      </c>
      <c r="G1170" s="10" t="inlineStr">
        <is>
          <t>黄经理</t>
        </is>
      </c>
      <c r="H1170" s="10" t="inlineStr">
        <is>
          <t>000-0000-1166</t>
        </is>
      </c>
      <c r="I1170" s="10" t="inlineStr">
        <is>
          <t>DEMO_GYS_1166</t>
        </is>
      </c>
      <c r="J1170" s="11" t="n">
        <v>7</v>
      </c>
      <c r="K1170" s="11" t="n">
        <v>15.6</v>
      </c>
      <c r="L1170" s="12" t="n">
        <v>300</v>
      </c>
      <c r="M1170" s="10" t="inlineStr">
        <is>
          <t>是</t>
        </is>
      </c>
      <c r="N1170" s="10" t="inlineStr">
        <is>
          <t>是</t>
        </is>
      </c>
      <c r="O1170" s="10" t="inlineStr">
        <is>
          <t>supplier1166@example.com</t>
        </is>
      </c>
      <c r="P1170" s="10" t="inlineStr">
        <is>
          <t>https://example.com/supplier/1166</t>
        </is>
      </c>
      <c r="Q1170" s="10">
        <f>IF(R1170&gt;=85,"A",IF(R1170&gt;=70,"B","C"))</f>
        <v/>
      </c>
      <c r="R1170" s="13">
        <f>MIN(100,50+IF(M1170="是",10,0)+IF(N1170="是",10,0)+IF(L1170&lt;=100,10,IF(L1170&lt;=300,5,0))+IF(J1170&lt;=20,10,IF(J1170&lt;=50,5,0))+IF(K1170-J1170&lt;=20,5,0)+IF(F1170="企业官网",5,0))</f>
        <v/>
      </c>
      <c r="S1170" s="10">
        <f>IF(Q1170="A","价格与起订量有优势，建议优先询盘",IF(Q1170="B","条件较均衡，可作为备选","起订量或价格需要进一步确认"))</f>
        <v/>
      </c>
      <c r="T1170" s="10" t="inlineStr">
        <is>
          <t>未联系</t>
        </is>
      </c>
      <c r="U1170" s="10" t="inlineStr">
        <is>
          <t>虚构演示数据</t>
        </is>
      </c>
    </row>
    <row r="1171" ht="21" customHeight="1">
      <c r="A1171" s="10" t="inlineStr">
        <is>
          <t>GYS-1167</t>
        </is>
      </c>
      <c r="B1171" s="10" t="inlineStr">
        <is>
          <t>郑州母婴用品供应链1167有限公司（演示）</t>
        </is>
      </c>
      <c r="C1171" s="10" t="inlineStr">
        <is>
          <t>母婴用品</t>
        </is>
      </c>
      <c r="D1171" s="10" t="inlineStr">
        <is>
          <t>婴儿防撞条</t>
        </is>
      </c>
      <c r="E1171" s="10" t="inlineStr">
        <is>
          <t>河南郑州</t>
        </is>
      </c>
      <c r="F1171" s="10" t="inlineStr">
        <is>
          <t>义乌购</t>
        </is>
      </c>
      <c r="G1171" s="10" t="inlineStr">
        <is>
          <t>赵经理</t>
        </is>
      </c>
      <c r="H1171" s="10" t="inlineStr">
        <is>
          <t>000-0000-1167</t>
        </is>
      </c>
      <c r="I1171" s="10" t="inlineStr">
        <is>
          <t>DEMO_GYS_1167</t>
        </is>
      </c>
      <c r="J1171" s="11" t="n">
        <v>8.699999999999999</v>
      </c>
      <c r="K1171" s="11" t="n">
        <v>18.4</v>
      </c>
      <c r="L1171" s="12" t="n">
        <v>200</v>
      </c>
      <c r="M1171" s="10" t="inlineStr">
        <is>
          <t>是</t>
        </is>
      </c>
      <c r="N1171" s="10" t="inlineStr">
        <is>
          <t>否</t>
        </is>
      </c>
      <c r="O1171" s="10" t="inlineStr">
        <is>
          <t>supplier1167@example.com</t>
        </is>
      </c>
      <c r="P1171" s="10" t="inlineStr">
        <is>
          <t>https://example.com/supplier/1167</t>
        </is>
      </c>
      <c r="Q1171" s="10">
        <f>IF(R1171&gt;=85,"A",IF(R1171&gt;=70,"B","C"))</f>
        <v/>
      </c>
      <c r="R1171" s="13">
        <f>MIN(100,50+IF(M1171="是",10,0)+IF(N1171="是",10,0)+IF(L1171&lt;=100,10,IF(L1171&lt;=300,5,0))+IF(J1171&lt;=20,10,IF(J1171&lt;=50,5,0))+IF(K1171-J1171&lt;=20,5,0)+IF(F1171="企业官网",5,0))</f>
        <v/>
      </c>
      <c r="S1171" s="10">
        <f>IF(Q1171="A","价格与起订量有优势，建议优先询盘",IF(Q1171="B","条件较均衡，可作为备选","起订量或价格需要进一步确认"))</f>
        <v/>
      </c>
      <c r="T1171" s="10" t="inlineStr">
        <is>
          <t>未联系</t>
        </is>
      </c>
      <c r="U1171" s="10" t="inlineStr">
        <is>
          <t>虚构演示数据</t>
        </is>
      </c>
    </row>
    <row r="1172" ht="21" customHeight="1">
      <c r="A1172" s="10" t="inlineStr">
        <is>
          <t>GYS-1168</t>
        </is>
      </c>
      <c r="B1172" s="10" t="inlineStr">
        <is>
          <t>宁波运动户外供应链1168有限公司（演示）</t>
        </is>
      </c>
      <c r="C1172" s="10" t="inlineStr">
        <is>
          <t>运动户外</t>
        </is>
      </c>
      <c r="D1172" s="10" t="inlineStr">
        <is>
          <t>弹力训练带</t>
        </is>
      </c>
      <c r="E1172" s="10" t="inlineStr">
        <is>
          <t>浙江宁波</t>
        </is>
      </c>
      <c r="F1172" s="10" t="inlineStr">
        <is>
          <t>慧聪网</t>
        </is>
      </c>
      <c r="G1172" s="10" t="inlineStr">
        <is>
          <t>周经理</t>
        </is>
      </c>
      <c r="H1172" s="10" t="inlineStr">
        <is>
          <t>000-0000-1168</t>
        </is>
      </c>
      <c r="I1172" s="10" t="inlineStr">
        <is>
          <t>DEMO_GYS_1168</t>
        </is>
      </c>
      <c r="J1172" s="11" t="n">
        <v>10.4</v>
      </c>
      <c r="K1172" s="11" t="n">
        <v>21.2</v>
      </c>
      <c r="L1172" s="12" t="n">
        <v>100</v>
      </c>
      <c r="M1172" s="10" t="inlineStr">
        <is>
          <t>否</t>
        </is>
      </c>
      <c r="N1172" s="10" t="inlineStr">
        <is>
          <t>是</t>
        </is>
      </c>
      <c r="O1172" s="10" t="inlineStr">
        <is>
          <t>supplier1168@example.com</t>
        </is>
      </c>
      <c r="P1172" s="10" t="inlineStr">
        <is>
          <t>https://example.com/supplier/1168</t>
        </is>
      </c>
      <c r="Q1172" s="10">
        <f>IF(R1172&gt;=85,"A",IF(R1172&gt;=70,"B","C"))</f>
        <v/>
      </c>
      <c r="R1172" s="13">
        <f>MIN(100,50+IF(M1172="是",10,0)+IF(N1172="是",10,0)+IF(L1172&lt;=100,10,IF(L1172&lt;=300,5,0))+IF(J1172&lt;=20,10,IF(J1172&lt;=50,5,0))+IF(K1172-J1172&lt;=20,5,0)+IF(F1172="企业官网",5,0))</f>
        <v/>
      </c>
      <c r="S1172" s="10">
        <f>IF(Q1172="A","价格与起订量有优势，建议优先询盘",IF(Q1172="B","条件较均衡，可作为备选","起订量或价格需要进一步确认"))</f>
        <v/>
      </c>
      <c r="T1172" s="10" t="inlineStr">
        <is>
          <t>未联系</t>
        </is>
      </c>
      <c r="U1172" s="10" t="inlineStr">
        <is>
          <t>虚构演示数据</t>
        </is>
      </c>
    </row>
    <row r="1173" ht="21" customHeight="1">
      <c r="A1173" s="10" t="inlineStr">
        <is>
          <t>GYS-1169</t>
        </is>
      </c>
      <c r="B1173" s="10" t="inlineStr">
        <is>
          <t>深圳办公文具供应链1169有限公司（演示）</t>
        </is>
      </c>
      <c r="C1173" s="10" t="inlineStr">
        <is>
          <t>办公文具</t>
        </is>
      </c>
      <c r="D1173" s="10" t="inlineStr">
        <is>
          <t>桌面收纳架</t>
        </is>
      </c>
      <c r="E1173" s="10" t="inlineStr">
        <is>
          <t>广东深圳</t>
        </is>
      </c>
      <c r="F1173" s="10" t="inlineStr">
        <is>
          <t>1688</t>
        </is>
      </c>
      <c r="G1173" s="10" t="inlineStr">
        <is>
          <t>吴经理</t>
        </is>
      </c>
      <c r="H1173" s="10" t="inlineStr">
        <is>
          <t>000-0000-1169</t>
        </is>
      </c>
      <c r="I1173" s="10" t="inlineStr">
        <is>
          <t>DEMO_GYS_1169</t>
        </is>
      </c>
      <c r="J1173" s="11" t="n">
        <v>12.1</v>
      </c>
      <c r="K1173" s="11" t="n">
        <v>24</v>
      </c>
      <c r="L1173" s="12" t="n">
        <v>50</v>
      </c>
      <c r="M1173" s="10" t="inlineStr">
        <is>
          <t>是</t>
        </is>
      </c>
      <c r="N1173" s="10" t="inlineStr">
        <is>
          <t>是</t>
        </is>
      </c>
      <c r="O1173" s="10" t="inlineStr">
        <is>
          <t>supplier1169@example.com</t>
        </is>
      </c>
      <c r="P1173" s="10" t="inlineStr">
        <is>
          <t>https://example.com/supplier/1169</t>
        </is>
      </c>
      <c r="Q1173" s="10">
        <f>IF(R1173&gt;=85,"A",IF(R1173&gt;=70,"B","C"))</f>
        <v/>
      </c>
      <c r="R1173" s="13">
        <f>MIN(100,50+IF(M1173="是",10,0)+IF(N1173="是",10,0)+IF(L1173&lt;=100,10,IF(L1173&lt;=300,5,0))+IF(J1173&lt;=20,10,IF(J1173&lt;=50,5,0))+IF(K1173-J1173&lt;=20,5,0)+IF(F1173="企业官网",5,0))</f>
        <v/>
      </c>
      <c r="S1173" s="10">
        <f>IF(Q1173="A","价格与起订量有优势，建议优先询盘",IF(Q1173="B","条件较均衡，可作为备选","起订量或价格需要进一步确认"))</f>
        <v/>
      </c>
      <c r="T1173" s="10" t="inlineStr">
        <is>
          <t>未联系</t>
        </is>
      </c>
      <c r="U1173" s="10" t="inlineStr">
        <is>
          <t>虚构演示数据</t>
        </is>
      </c>
    </row>
    <row r="1174" ht="21" customHeight="1">
      <c r="A1174" s="10" t="inlineStr">
        <is>
          <t>GYS-1170</t>
        </is>
      </c>
      <c r="B1174" s="10" t="inlineStr">
        <is>
          <t>佛山汽车用品供应链1170有限公司（演示）</t>
        </is>
      </c>
      <c r="C1174" s="10" t="inlineStr">
        <is>
          <t>汽车用品</t>
        </is>
      </c>
      <c r="D1174" s="10" t="inlineStr">
        <is>
          <t>车载香薰</t>
        </is>
      </c>
      <c r="E1174" s="10" t="inlineStr">
        <is>
          <t>广东佛山</t>
        </is>
      </c>
      <c r="F1174" s="10" t="inlineStr">
        <is>
          <t>中国制造网</t>
        </is>
      </c>
      <c r="G1174" s="10" t="inlineStr">
        <is>
          <t>陈经理</t>
        </is>
      </c>
      <c r="H1174" s="10" t="inlineStr">
        <is>
          <t>000-0000-1170</t>
        </is>
      </c>
      <c r="I1174" s="10" t="inlineStr">
        <is>
          <t>DEMO_GYS_1170</t>
        </is>
      </c>
      <c r="J1174" s="11" t="n">
        <v>13.8</v>
      </c>
      <c r="K1174" s="11" t="n">
        <v>26.8</v>
      </c>
      <c r="L1174" s="12" t="n">
        <v>20</v>
      </c>
      <c r="M1174" s="10" t="inlineStr">
        <is>
          <t>是</t>
        </is>
      </c>
      <c r="N1174" s="10" t="inlineStr">
        <is>
          <t>否</t>
        </is>
      </c>
      <c r="O1174" s="10" t="inlineStr">
        <is>
          <t>supplier1170@example.com</t>
        </is>
      </c>
      <c r="P1174" s="10" t="inlineStr">
        <is>
          <t>https://example.com/supplier/1170</t>
        </is>
      </c>
      <c r="Q1174" s="10">
        <f>IF(R1174&gt;=85,"A",IF(R1174&gt;=70,"B","C"))</f>
        <v/>
      </c>
      <c r="R1174" s="13">
        <f>MIN(100,50+IF(M1174="是",10,0)+IF(N1174="是",10,0)+IF(L1174&lt;=100,10,IF(L1174&lt;=300,5,0))+IF(J1174&lt;=20,10,IF(J1174&lt;=50,5,0))+IF(K1174-J1174&lt;=20,5,0)+IF(F1174="企业官网",5,0))</f>
        <v/>
      </c>
      <c r="S1174" s="10">
        <f>IF(Q1174="A","价格与起订量有优势，建议优先询盘",IF(Q1174="B","条件较均衡，可作为备选","起订量或价格需要进一步确认"))</f>
        <v/>
      </c>
      <c r="T1174" s="10" t="inlineStr">
        <is>
          <t>未联系</t>
        </is>
      </c>
      <c r="U1174" s="10" t="inlineStr">
        <is>
          <t>虚构演示数据</t>
        </is>
      </c>
    </row>
    <row r="1175" ht="21" customHeight="1">
      <c r="A1175" s="10" t="inlineStr">
        <is>
          <t>GYS-1171</t>
        </is>
      </c>
      <c r="B1175" s="10" t="inlineStr">
        <is>
          <t>苏州美容工具供应链1171有限公司（演示）</t>
        </is>
      </c>
      <c r="C1175" s="10" t="inlineStr">
        <is>
          <t>美容工具</t>
        </is>
      </c>
      <c r="D1175" s="10" t="inlineStr">
        <is>
          <t>便携化妆镜</t>
        </is>
      </c>
      <c r="E1175" s="10" t="inlineStr">
        <is>
          <t>江苏苏州</t>
        </is>
      </c>
      <c r="F1175" s="10" t="inlineStr">
        <is>
          <t>企业官网</t>
        </is>
      </c>
      <c r="G1175" s="10" t="inlineStr">
        <is>
          <t>林经理</t>
        </is>
      </c>
      <c r="H1175" s="10" t="inlineStr">
        <is>
          <t>000-0000-1171</t>
        </is>
      </c>
      <c r="I1175" s="10" t="inlineStr">
        <is>
          <t>DEMO_GYS_1171</t>
        </is>
      </c>
      <c r="J1175" s="11" t="n">
        <v>15.5</v>
      </c>
      <c r="K1175" s="11" t="n">
        <v>29.6</v>
      </c>
      <c r="L1175" s="12" t="n">
        <v>500</v>
      </c>
      <c r="M1175" s="10" t="inlineStr">
        <is>
          <t>是</t>
        </is>
      </c>
      <c r="N1175" s="10" t="inlineStr">
        <is>
          <t>是</t>
        </is>
      </c>
      <c r="O1175" s="10" t="inlineStr">
        <is>
          <t>supplier1171@example.com</t>
        </is>
      </c>
      <c r="P1175" s="10" t="inlineStr">
        <is>
          <t>https://example.com/supplier/1171</t>
        </is>
      </c>
      <c r="Q1175" s="10">
        <f>IF(R1175&gt;=85,"A",IF(R1175&gt;=70,"B","C"))</f>
        <v/>
      </c>
      <c r="R1175" s="13">
        <f>MIN(100,50+IF(M1175="是",10,0)+IF(N1175="是",10,0)+IF(L1175&lt;=100,10,IF(L1175&lt;=300,5,0))+IF(J1175&lt;=20,10,IF(J1175&lt;=50,5,0))+IF(K1175-J1175&lt;=20,5,0)+IF(F1175="企业官网",5,0))</f>
        <v/>
      </c>
      <c r="S1175" s="10">
        <f>IF(Q1175="A","价格与起订量有优势，建议优先询盘",IF(Q1175="B","条件较均衡，可作为备选","起订量或价格需要进一步确认"))</f>
        <v/>
      </c>
      <c r="T1175" s="10" t="inlineStr">
        <is>
          <t>未联系</t>
        </is>
      </c>
      <c r="U1175" s="10" t="inlineStr">
        <is>
          <t>虚构演示数据</t>
        </is>
      </c>
    </row>
    <row r="1176" ht="21" customHeight="1">
      <c r="A1176" s="10" t="inlineStr">
        <is>
          <t>GYS-1172</t>
        </is>
      </c>
      <c r="B1176" s="10" t="inlineStr">
        <is>
          <t>白沟旅行用品供应链1172有限公司（演示）</t>
        </is>
      </c>
      <c r="C1176" s="10" t="inlineStr">
        <is>
          <t>旅行用品</t>
        </is>
      </c>
      <c r="D1176" s="10" t="inlineStr">
        <is>
          <t>压缩收纳袋</t>
        </is>
      </c>
      <c r="E1176" s="10" t="inlineStr">
        <is>
          <t>河北白沟</t>
        </is>
      </c>
      <c r="F1176" s="10" t="inlineStr">
        <is>
          <t>义乌购</t>
        </is>
      </c>
      <c r="G1176" s="10" t="inlineStr">
        <is>
          <t>王经理</t>
        </is>
      </c>
      <c r="H1176" s="10" t="inlineStr">
        <is>
          <t>000-0000-1172</t>
        </is>
      </c>
      <c r="I1176" s="10" t="inlineStr">
        <is>
          <t>DEMO_GYS_1172</t>
        </is>
      </c>
      <c r="J1176" s="11" t="n">
        <v>17.2</v>
      </c>
      <c r="K1176" s="11" t="n">
        <v>32.4</v>
      </c>
      <c r="L1176" s="12" t="n">
        <v>300</v>
      </c>
      <c r="M1176" s="10" t="inlineStr">
        <is>
          <t>否</t>
        </is>
      </c>
      <c r="N1176" s="10" t="inlineStr">
        <is>
          <t>是</t>
        </is>
      </c>
      <c r="O1176" s="10" t="inlineStr">
        <is>
          <t>supplier1172@example.com</t>
        </is>
      </c>
      <c r="P1176" s="10" t="inlineStr">
        <is>
          <t>https://example.com/supplier/1172</t>
        </is>
      </c>
      <c r="Q1176" s="10">
        <f>IF(R1176&gt;=85,"A",IF(R1176&gt;=70,"B","C"))</f>
        <v/>
      </c>
      <c r="R1176" s="13">
        <f>MIN(100,50+IF(M1176="是",10,0)+IF(N1176="是",10,0)+IF(L1176&lt;=100,10,IF(L1176&lt;=300,5,0))+IF(J1176&lt;=20,10,IF(J1176&lt;=50,5,0))+IF(K1176-J1176&lt;=20,5,0)+IF(F1176="企业官网",5,0))</f>
        <v/>
      </c>
      <c r="S1176" s="10">
        <f>IF(Q1176="A","价格与起订量有优势，建议优先询盘",IF(Q1176="B","条件较均衡，可作为备选","起订量或价格需要进一步确认"))</f>
        <v/>
      </c>
      <c r="T1176" s="10" t="inlineStr">
        <is>
          <t>未联系</t>
        </is>
      </c>
      <c r="U1176" s="10" t="inlineStr">
        <is>
          <t>虚构演示数据</t>
        </is>
      </c>
    </row>
    <row r="1177" ht="21" customHeight="1">
      <c r="A1177" s="10" t="inlineStr">
        <is>
          <t>GYS-1173</t>
        </is>
      </c>
      <c r="B1177" s="10" t="inlineStr">
        <is>
          <t>义乌清洁工具供应链1173有限公司（演示）</t>
        </is>
      </c>
      <c r="C1177" s="10" t="inlineStr">
        <is>
          <t>清洁工具</t>
        </is>
      </c>
      <c r="D1177" s="10" t="inlineStr">
        <is>
          <t>免手洗拖把</t>
        </is>
      </c>
      <c r="E1177" s="10" t="inlineStr">
        <is>
          <t>浙江义乌</t>
        </is>
      </c>
      <c r="F1177" s="10" t="inlineStr">
        <is>
          <t>慧聪网</t>
        </is>
      </c>
      <c r="G1177" s="10" t="inlineStr">
        <is>
          <t>李经理</t>
        </is>
      </c>
      <c r="H1177" s="10" t="inlineStr">
        <is>
          <t>000-0000-1173</t>
        </is>
      </c>
      <c r="I1177" s="10" t="inlineStr">
        <is>
          <t>DEMO_GYS_1173</t>
        </is>
      </c>
      <c r="J1177" s="11" t="n">
        <v>18.9</v>
      </c>
      <c r="K1177" s="11" t="n">
        <v>35.2</v>
      </c>
      <c r="L1177" s="12" t="n">
        <v>200</v>
      </c>
      <c r="M1177" s="10" t="inlineStr">
        <is>
          <t>是</t>
        </is>
      </c>
      <c r="N1177" s="10" t="inlineStr">
        <is>
          <t>否</t>
        </is>
      </c>
      <c r="O1177" s="10" t="inlineStr">
        <is>
          <t>supplier1173@example.com</t>
        </is>
      </c>
      <c r="P1177" s="10" t="inlineStr">
        <is>
          <t>https://example.com/supplier/1173</t>
        </is>
      </c>
      <c r="Q1177" s="10">
        <f>IF(R1177&gt;=85,"A",IF(R1177&gt;=70,"B","C"))</f>
        <v/>
      </c>
      <c r="R1177" s="13">
        <f>MIN(100,50+IF(M1177="是",10,0)+IF(N1177="是",10,0)+IF(L1177&lt;=100,10,IF(L1177&lt;=300,5,0))+IF(J1177&lt;=20,10,IF(J1177&lt;=50,5,0))+IF(K1177-J1177&lt;=20,5,0)+IF(F1177="企业官网",5,0))</f>
        <v/>
      </c>
      <c r="S1177" s="10">
        <f>IF(Q1177="A","价格与起订量有优势，建议优先询盘",IF(Q1177="B","条件较均衡，可作为备选","起订量或价格需要进一步确认"))</f>
        <v/>
      </c>
      <c r="T1177" s="10" t="inlineStr">
        <is>
          <t>未联系</t>
        </is>
      </c>
      <c r="U1177" s="10" t="inlineStr">
        <is>
          <t>虚构演示数据</t>
        </is>
      </c>
    </row>
    <row r="1178" ht="21" customHeight="1">
      <c r="A1178" s="10" t="inlineStr">
        <is>
          <t>GYS-1174</t>
        </is>
      </c>
      <c r="B1178" s="10" t="inlineStr">
        <is>
          <t>台州小家电供应链1174有限公司（演示）</t>
        </is>
      </c>
      <c r="C1178" s="10" t="inlineStr">
        <is>
          <t>小家电</t>
        </is>
      </c>
      <c r="D1178" s="10" t="inlineStr">
        <is>
          <t>迷你加湿器</t>
        </is>
      </c>
      <c r="E1178" s="10" t="inlineStr">
        <is>
          <t>浙江台州</t>
        </is>
      </c>
      <c r="F1178" s="10" t="inlineStr">
        <is>
          <t>1688</t>
        </is>
      </c>
      <c r="G1178" s="10" t="inlineStr">
        <is>
          <t>张经理</t>
        </is>
      </c>
      <c r="H1178" s="10" t="inlineStr">
        <is>
          <t>000-0000-1174</t>
        </is>
      </c>
      <c r="I1178" s="10" t="inlineStr">
        <is>
          <t>DEMO_GYS_1174</t>
        </is>
      </c>
      <c r="J1178" s="11" t="n">
        <v>20.6</v>
      </c>
      <c r="K1178" s="11" t="n">
        <v>38</v>
      </c>
      <c r="L1178" s="12" t="n">
        <v>100</v>
      </c>
      <c r="M1178" s="10" t="inlineStr">
        <is>
          <t>是</t>
        </is>
      </c>
      <c r="N1178" s="10" t="inlineStr">
        <is>
          <t>是</t>
        </is>
      </c>
      <c r="O1178" s="10" t="inlineStr">
        <is>
          <t>supplier1174@example.com</t>
        </is>
      </c>
      <c r="P1178" s="10" t="inlineStr">
        <is>
          <t>https://example.com/supplier/1174</t>
        </is>
      </c>
      <c r="Q1178" s="10">
        <f>IF(R1178&gt;=85,"A",IF(R1178&gt;=70,"B","C"))</f>
        <v/>
      </c>
      <c r="R1178" s="13">
        <f>MIN(100,50+IF(M1178="是",10,0)+IF(N1178="是",10,0)+IF(L1178&lt;=100,10,IF(L1178&lt;=300,5,0))+IF(J1178&lt;=20,10,IF(J1178&lt;=50,5,0))+IF(K1178-J1178&lt;=20,5,0)+IF(F1178="企业官网",5,0))</f>
        <v/>
      </c>
      <c r="S1178" s="10">
        <f>IF(Q1178="A","价格与起订量有优势，建议优先询盘",IF(Q1178="B","条件较均衡，可作为备选","起订量或价格需要进一步确认"))</f>
        <v/>
      </c>
      <c r="T1178" s="10" t="inlineStr">
        <is>
          <t>未联系</t>
        </is>
      </c>
      <c r="U1178" s="10" t="inlineStr">
        <is>
          <t>虚构演示数据</t>
        </is>
      </c>
    </row>
    <row r="1179" ht="21" customHeight="1">
      <c r="A1179" s="10" t="inlineStr">
        <is>
          <t>GYS-1175</t>
        </is>
      </c>
      <c r="B1179" s="10" t="inlineStr">
        <is>
          <t>东莞礼品包装供应链1175有限公司（演示）</t>
        </is>
      </c>
      <c r="C1179" s="10" t="inlineStr">
        <is>
          <t>礼品包装</t>
        </is>
      </c>
      <c r="D1179" s="10" t="inlineStr">
        <is>
          <t>节日礼盒</t>
        </is>
      </c>
      <c r="E1179" s="10" t="inlineStr">
        <is>
          <t>广东东莞</t>
        </is>
      </c>
      <c r="F1179" s="10" t="inlineStr">
        <is>
          <t>中国制造网</t>
        </is>
      </c>
      <c r="G1179" s="10" t="inlineStr">
        <is>
          <t>刘经理</t>
        </is>
      </c>
      <c r="H1179" s="10" t="inlineStr">
        <is>
          <t>000-0000-1175</t>
        </is>
      </c>
      <c r="I1179" s="10" t="inlineStr">
        <is>
          <t>DEMO_GYS_1175</t>
        </is>
      </c>
      <c r="J1179" s="11" t="n">
        <v>22.3</v>
      </c>
      <c r="K1179" s="11" t="n">
        <v>40.8</v>
      </c>
      <c r="L1179" s="12" t="n">
        <v>50</v>
      </c>
      <c r="M1179" s="10" t="inlineStr">
        <is>
          <t>是</t>
        </is>
      </c>
      <c r="N1179" s="10" t="inlineStr">
        <is>
          <t>是</t>
        </is>
      </c>
      <c r="O1179" s="10" t="inlineStr">
        <is>
          <t>supplier1175@example.com</t>
        </is>
      </c>
      <c r="P1179" s="10" t="inlineStr">
        <is>
          <t>https://example.com/supplier/1175</t>
        </is>
      </c>
      <c r="Q1179" s="10">
        <f>IF(R1179&gt;=85,"A",IF(R1179&gt;=70,"B","C"))</f>
        <v/>
      </c>
      <c r="R1179" s="13">
        <f>MIN(100,50+IF(M1179="是",10,0)+IF(N1179="是",10,0)+IF(L1179&lt;=100,10,IF(L1179&lt;=300,5,0))+IF(J1179&lt;=20,10,IF(J1179&lt;=50,5,0))+IF(K1179-J1179&lt;=20,5,0)+IF(F1179="企业官网",5,0))</f>
        <v/>
      </c>
      <c r="S1179" s="10">
        <f>IF(Q1179="A","价格与起订量有优势，建议优先询盘",IF(Q1179="B","条件较均衡，可作为备选","起订量或价格需要进一步确认"))</f>
        <v/>
      </c>
      <c r="T1179" s="10" t="inlineStr">
        <is>
          <t>未联系</t>
        </is>
      </c>
      <c r="U1179" s="10" t="inlineStr">
        <is>
          <t>虚构演示数据</t>
        </is>
      </c>
    </row>
    <row r="1180" ht="21" customHeight="1">
      <c r="A1180" s="10" t="inlineStr">
        <is>
          <t>GYS-1176</t>
        </is>
      </c>
      <c r="B1180" s="10" t="inlineStr">
        <is>
          <t>厦门五金工具供应链1176有限公司（演示）</t>
        </is>
      </c>
      <c r="C1180" s="10" t="inlineStr">
        <is>
          <t>五金工具</t>
        </is>
      </c>
      <c r="D1180" s="10" t="inlineStr">
        <is>
          <t>多功能螺丝刀</t>
        </is>
      </c>
      <c r="E1180" s="10" t="inlineStr">
        <is>
          <t>福建厦门</t>
        </is>
      </c>
      <c r="F1180" s="10" t="inlineStr">
        <is>
          <t>企业官网</t>
        </is>
      </c>
      <c r="G1180" s="10" t="inlineStr">
        <is>
          <t>黄经理</t>
        </is>
      </c>
      <c r="H1180" s="10" t="inlineStr">
        <is>
          <t>000-0000-1176</t>
        </is>
      </c>
      <c r="I1180" s="10" t="inlineStr">
        <is>
          <t>DEMO_GYS_1176</t>
        </is>
      </c>
      <c r="J1180" s="11" t="n">
        <v>24</v>
      </c>
      <c r="K1180" s="11" t="n">
        <v>43.6</v>
      </c>
      <c r="L1180" s="12" t="n">
        <v>20</v>
      </c>
      <c r="M1180" s="10" t="inlineStr">
        <is>
          <t>否</t>
        </is>
      </c>
      <c r="N1180" s="10" t="inlineStr">
        <is>
          <t>否</t>
        </is>
      </c>
      <c r="O1180" s="10" t="inlineStr">
        <is>
          <t>supplier1176@example.com</t>
        </is>
      </c>
      <c r="P1180" s="10" t="inlineStr">
        <is>
          <t>https://example.com/supplier/1176</t>
        </is>
      </c>
      <c r="Q1180" s="10">
        <f>IF(R1180&gt;=85,"A",IF(R1180&gt;=70,"B","C"))</f>
        <v/>
      </c>
      <c r="R1180" s="13">
        <f>MIN(100,50+IF(M1180="是",10,0)+IF(N1180="是",10,0)+IF(L1180&lt;=100,10,IF(L1180&lt;=300,5,0))+IF(J1180&lt;=20,10,IF(J1180&lt;=50,5,0))+IF(K1180-J1180&lt;=20,5,0)+IF(F1180="企业官网",5,0))</f>
        <v/>
      </c>
      <c r="S1180" s="10">
        <f>IF(Q1180="A","价格与起订量有优势，建议优先询盘",IF(Q1180="B","条件较均衡，可作为备选","起订量或价格需要进一步确认"))</f>
        <v/>
      </c>
      <c r="T1180" s="10" t="inlineStr">
        <is>
          <t>未联系</t>
        </is>
      </c>
      <c r="U1180" s="10" t="inlineStr">
        <is>
          <t>虚构演示数据</t>
        </is>
      </c>
    </row>
    <row r="1181" ht="21" customHeight="1">
      <c r="A1181" s="10" t="inlineStr">
        <is>
          <t>GYS-1177</t>
        </is>
      </c>
      <c r="B1181" s="10" t="inlineStr">
        <is>
          <t>临沂鞋靴配件供应链1177有限公司（演示）</t>
        </is>
      </c>
      <c r="C1181" s="10" t="inlineStr">
        <is>
          <t>鞋靴配件</t>
        </is>
      </c>
      <c r="D1181" s="10" t="inlineStr">
        <is>
          <t>防磨脚贴</t>
        </is>
      </c>
      <c r="E1181" s="10" t="inlineStr">
        <is>
          <t>山东临沂</t>
        </is>
      </c>
      <c r="F1181" s="10" t="inlineStr">
        <is>
          <t>义乌购</t>
        </is>
      </c>
      <c r="G1181" s="10" t="inlineStr">
        <is>
          <t>赵经理</t>
        </is>
      </c>
      <c r="H1181" s="10" t="inlineStr">
        <is>
          <t>000-0000-1177</t>
        </is>
      </c>
      <c r="I1181" s="10" t="inlineStr">
        <is>
          <t>DEMO_GYS_1177</t>
        </is>
      </c>
      <c r="J1181" s="11" t="n">
        <v>25.7</v>
      </c>
      <c r="K1181" s="11" t="n">
        <v>46.4</v>
      </c>
      <c r="L1181" s="12" t="n">
        <v>500</v>
      </c>
      <c r="M1181" s="10" t="inlineStr">
        <is>
          <t>是</t>
        </is>
      </c>
      <c r="N1181" s="10" t="inlineStr">
        <is>
          <t>是</t>
        </is>
      </c>
      <c r="O1181" s="10" t="inlineStr">
        <is>
          <t>supplier1177@example.com</t>
        </is>
      </c>
      <c r="P1181" s="10" t="inlineStr">
        <is>
          <t>https://example.com/supplier/1177</t>
        </is>
      </c>
      <c r="Q1181" s="10">
        <f>IF(R1181&gt;=85,"A",IF(R1181&gt;=70,"B","C"))</f>
        <v/>
      </c>
      <c r="R1181" s="13">
        <f>MIN(100,50+IF(M1181="是",10,0)+IF(N1181="是",10,0)+IF(L1181&lt;=100,10,IF(L1181&lt;=300,5,0))+IF(J1181&lt;=20,10,IF(J1181&lt;=50,5,0))+IF(K1181-J1181&lt;=20,5,0)+IF(F1181="企业官网",5,0))</f>
        <v/>
      </c>
      <c r="S1181" s="10">
        <f>IF(Q1181="A","价格与起订量有优势，建议优先询盘",IF(Q1181="B","条件较均衡，可作为备选","起订量或价格需要进一步确认"))</f>
        <v/>
      </c>
      <c r="T1181" s="10" t="inlineStr">
        <is>
          <t>未联系</t>
        </is>
      </c>
      <c r="U1181" s="10" t="inlineStr">
        <is>
          <t>虚构演示数据</t>
        </is>
      </c>
    </row>
    <row r="1182" ht="21" customHeight="1">
      <c r="A1182" s="10" t="inlineStr">
        <is>
          <t>GYS-1178</t>
        </is>
      </c>
      <c r="B1182" s="10" t="inlineStr">
        <is>
          <t>南昌食品包装供应链1178有限公司（演示）</t>
        </is>
      </c>
      <c r="C1182" s="10" t="inlineStr">
        <is>
          <t>食品包装</t>
        </is>
      </c>
      <c r="D1182" s="10" t="inlineStr">
        <is>
          <t>密封包装袋</t>
        </is>
      </c>
      <c r="E1182" s="10" t="inlineStr">
        <is>
          <t>江西南昌</t>
        </is>
      </c>
      <c r="F1182" s="10" t="inlineStr">
        <is>
          <t>慧聪网</t>
        </is>
      </c>
      <c r="G1182" s="10" t="inlineStr">
        <is>
          <t>周经理</t>
        </is>
      </c>
      <c r="H1182" s="10" t="inlineStr">
        <is>
          <t>000-0000-1178</t>
        </is>
      </c>
      <c r="I1182" s="10" t="inlineStr">
        <is>
          <t>DEMO_GYS_1178</t>
        </is>
      </c>
      <c r="J1182" s="11" t="n">
        <v>27.4</v>
      </c>
      <c r="K1182" s="11" t="n">
        <v>49.2</v>
      </c>
      <c r="L1182" s="12" t="n">
        <v>300</v>
      </c>
      <c r="M1182" s="10" t="inlineStr">
        <is>
          <t>是</t>
        </is>
      </c>
      <c r="N1182" s="10" t="inlineStr">
        <is>
          <t>是</t>
        </is>
      </c>
      <c r="O1182" s="10" t="inlineStr">
        <is>
          <t>supplier1178@example.com</t>
        </is>
      </c>
      <c r="P1182" s="10" t="inlineStr">
        <is>
          <t>https://example.com/supplier/1178</t>
        </is>
      </c>
      <c r="Q1182" s="10">
        <f>IF(R1182&gt;=85,"A",IF(R1182&gt;=70,"B","C"))</f>
        <v/>
      </c>
      <c r="R1182" s="13">
        <f>MIN(100,50+IF(M1182="是",10,0)+IF(N1182="是",10,0)+IF(L1182&lt;=100,10,IF(L1182&lt;=300,5,0))+IF(J1182&lt;=20,10,IF(J1182&lt;=50,5,0))+IF(K1182-J1182&lt;=20,5,0)+IF(F1182="企业官网",5,0))</f>
        <v/>
      </c>
      <c r="S1182" s="10">
        <f>IF(Q1182="A","价格与起订量有优势，建议优先询盘",IF(Q1182="B","条件较均衡，可作为备选","起订量或价格需要进一步确认"))</f>
        <v/>
      </c>
      <c r="T1182" s="10" t="inlineStr">
        <is>
          <t>未联系</t>
        </is>
      </c>
      <c r="U1182" s="10" t="inlineStr">
        <is>
          <t>虚构演示数据</t>
        </is>
      </c>
    </row>
    <row r="1183" ht="21" customHeight="1">
      <c r="A1183" s="10" t="inlineStr">
        <is>
          <t>GYS-1179</t>
        </is>
      </c>
      <c r="B1183" s="10" t="inlineStr">
        <is>
          <t>温州户外照明供应链1179有限公司（演示）</t>
        </is>
      </c>
      <c r="C1183" s="10" t="inlineStr">
        <is>
          <t>户外照明</t>
        </is>
      </c>
      <c r="D1183" s="10" t="inlineStr">
        <is>
          <t>便携露营灯</t>
        </is>
      </c>
      <c r="E1183" s="10" t="inlineStr">
        <is>
          <t>浙江温州</t>
        </is>
      </c>
      <c r="F1183" s="10" t="inlineStr">
        <is>
          <t>1688</t>
        </is>
      </c>
      <c r="G1183" s="10" t="inlineStr">
        <is>
          <t>吴经理</t>
        </is>
      </c>
      <c r="H1183" s="10" t="inlineStr">
        <is>
          <t>000-0000-1179</t>
        </is>
      </c>
      <c r="I1183" s="10" t="inlineStr">
        <is>
          <t>DEMO_GYS_1179</t>
        </is>
      </c>
      <c r="J1183" s="11" t="n">
        <v>29.1</v>
      </c>
      <c r="K1183" s="11" t="n">
        <v>34</v>
      </c>
      <c r="L1183" s="12" t="n">
        <v>200</v>
      </c>
      <c r="M1183" s="10" t="inlineStr">
        <is>
          <t>是</t>
        </is>
      </c>
      <c r="N1183" s="10" t="inlineStr">
        <is>
          <t>否</t>
        </is>
      </c>
      <c r="O1183" s="10" t="inlineStr">
        <is>
          <t>supplier1179@example.com</t>
        </is>
      </c>
      <c r="P1183" s="10" t="inlineStr">
        <is>
          <t>https://example.com/supplier/1179</t>
        </is>
      </c>
      <c r="Q1183" s="10">
        <f>IF(R1183&gt;=85,"A",IF(R1183&gt;=70,"B","C"))</f>
        <v/>
      </c>
      <c r="R1183" s="13">
        <f>MIN(100,50+IF(M1183="是",10,0)+IF(N1183="是",10,0)+IF(L1183&lt;=100,10,IF(L1183&lt;=300,5,0))+IF(J1183&lt;=20,10,IF(J1183&lt;=50,5,0))+IF(K1183-J1183&lt;=20,5,0)+IF(F1183="企业官网",5,0))</f>
        <v/>
      </c>
      <c r="S1183" s="10">
        <f>IF(Q1183="A","价格与起订量有优势，建议优先询盘",IF(Q1183="B","条件较均衡，可作为备选","起订量或价格需要进一步确认"))</f>
        <v/>
      </c>
      <c r="T1183" s="10" t="inlineStr">
        <is>
          <t>未联系</t>
        </is>
      </c>
      <c r="U1183" s="10" t="inlineStr">
        <is>
          <t>虚构演示数据</t>
        </is>
      </c>
    </row>
    <row r="1184" ht="21" customHeight="1">
      <c r="A1184" s="10" t="inlineStr">
        <is>
          <t>GYS-1180</t>
        </is>
      </c>
      <c r="B1184" s="10" t="inlineStr">
        <is>
          <t>广州健康用品供应链1180有限公司（演示）</t>
        </is>
      </c>
      <c r="C1184" s="10" t="inlineStr">
        <is>
          <t>健康用品</t>
        </is>
      </c>
      <c r="D1184" s="10" t="inlineStr">
        <is>
          <t>热敷眼罩</t>
        </is>
      </c>
      <c r="E1184" s="10" t="inlineStr">
        <is>
          <t>广东广州</t>
        </is>
      </c>
      <c r="F1184" s="10" t="inlineStr">
        <is>
          <t>中国制造网</t>
        </is>
      </c>
      <c r="G1184" s="10" t="inlineStr">
        <is>
          <t>陈经理</t>
        </is>
      </c>
      <c r="H1184" s="10" t="inlineStr">
        <is>
          <t>000-0000-1180</t>
        </is>
      </c>
      <c r="I1184" s="10" t="inlineStr">
        <is>
          <t>DEMO_GYS_1180</t>
        </is>
      </c>
      <c r="J1184" s="11" t="n">
        <v>30.8</v>
      </c>
      <c r="K1184" s="11" t="n">
        <v>36.8</v>
      </c>
      <c r="L1184" s="12" t="n">
        <v>100</v>
      </c>
      <c r="M1184" s="10" t="inlineStr">
        <is>
          <t>否</t>
        </is>
      </c>
      <c r="N1184" s="10" t="inlineStr">
        <is>
          <t>是</t>
        </is>
      </c>
      <c r="O1184" s="10" t="inlineStr">
        <is>
          <t>supplier1180@example.com</t>
        </is>
      </c>
      <c r="P1184" s="10" t="inlineStr">
        <is>
          <t>https://example.com/supplier/1180</t>
        </is>
      </c>
      <c r="Q1184" s="10">
        <f>IF(R1184&gt;=85,"A",IF(R1184&gt;=70,"B","C"))</f>
        <v/>
      </c>
      <c r="R1184" s="13">
        <f>MIN(100,50+IF(M1184="是",10,0)+IF(N1184="是",10,0)+IF(L1184&lt;=100,10,IF(L1184&lt;=300,5,0))+IF(J1184&lt;=20,10,IF(J1184&lt;=50,5,0))+IF(K1184-J1184&lt;=20,5,0)+IF(F1184="企业官网",5,0))</f>
        <v/>
      </c>
      <c r="S1184" s="10">
        <f>IF(Q1184="A","价格与起订量有优势，建议优先询盘",IF(Q1184="B","条件较均衡，可作为备选","起订量或价格需要进一步确认"))</f>
        <v/>
      </c>
      <c r="T1184" s="10" t="inlineStr">
        <is>
          <t>未联系</t>
        </is>
      </c>
      <c r="U1184" s="10" t="inlineStr">
        <is>
          <t>虚构演示数据</t>
        </is>
      </c>
    </row>
    <row r="1185" ht="21" customHeight="1">
      <c r="A1185" s="10" t="inlineStr">
        <is>
          <t>GYS-1181</t>
        </is>
      </c>
      <c r="B1185" s="10" t="inlineStr">
        <is>
          <t>泉州服饰内衣供应链1181有限公司（演示）</t>
        </is>
      </c>
      <c r="C1185" s="10" t="inlineStr">
        <is>
          <t>服饰内衣</t>
        </is>
      </c>
      <c r="D1185" s="10" t="inlineStr">
        <is>
          <t>防滑袜</t>
        </is>
      </c>
      <c r="E1185" s="10" t="inlineStr">
        <is>
          <t>福建泉州</t>
        </is>
      </c>
      <c r="F1185" s="10" t="inlineStr">
        <is>
          <t>企业官网</t>
        </is>
      </c>
      <c r="G1185" s="10" t="inlineStr">
        <is>
          <t>林经理</t>
        </is>
      </c>
      <c r="H1185" s="10" t="inlineStr">
        <is>
          <t>000-0000-1181</t>
        </is>
      </c>
      <c r="I1185" s="10" t="inlineStr">
        <is>
          <t>DEMO_GYS_1181</t>
        </is>
      </c>
      <c r="J1185" s="11" t="n">
        <v>32.5</v>
      </c>
      <c r="K1185" s="11" t="n">
        <v>39.6</v>
      </c>
      <c r="L1185" s="12" t="n">
        <v>50</v>
      </c>
      <c r="M1185" s="10" t="inlineStr">
        <is>
          <t>是</t>
        </is>
      </c>
      <c r="N1185" s="10" t="inlineStr">
        <is>
          <t>是</t>
        </is>
      </c>
      <c r="O1185" s="10" t="inlineStr">
        <is>
          <t>supplier1181@example.com</t>
        </is>
      </c>
      <c r="P1185" s="10" t="inlineStr">
        <is>
          <t>https://example.com/supplier/1181</t>
        </is>
      </c>
      <c r="Q1185" s="10">
        <f>IF(R1185&gt;=85,"A",IF(R1185&gt;=70,"B","C"))</f>
        <v/>
      </c>
      <c r="R1185" s="13">
        <f>MIN(100,50+IF(M1185="是",10,0)+IF(N1185="是",10,0)+IF(L1185&lt;=100,10,IF(L1185&lt;=300,5,0))+IF(J1185&lt;=20,10,IF(J1185&lt;=50,5,0))+IF(K1185-J1185&lt;=20,5,0)+IF(F1185="企业官网",5,0))</f>
        <v/>
      </c>
      <c r="S1185" s="10">
        <f>IF(Q1185="A","价格与起订量有优势，建议优先询盘",IF(Q1185="B","条件较均衡，可作为备选","起订量或价格需要进一步确认"))</f>
        <v/>
      </c>
      <c r="T1185" s="10" t="inlineStr">
        <is>
          <t>未联系</t>
        </is>
      </c>
      <c r="U1185" s="10" t="inlineStr">
        <is>
          <t>虚构演示数据</t>
        </is>
      </c>
    </row>
    <row r="1186" ht="21" customHeight="1">
      <c r="A1186" s="10" t="inlineStr">
        <is>
          <t>GYS-1182</t>
        </is>
      </c>
      <c r="B1186" s="10" t="inlineStr">
        <is>
          <t>南通家居日用供应链1182有限公司（演示）</t>
        </is>
      </c>
      <c r="C1186" s="10" t="inlineStr">
        <is>
          <t>家居日用</t>
        </is>
      </c>
      <c r="D1186" s="10" t="inlineStr">
        <is>
          <t>折叠收纳箱</t>
        </is>
      </c>
      <c r="E1186" s="10" t="inlineStr">
        <is>
          <t>江苏南通</t>
        </is>
      </c>
      <c r="F1186" s="10" t="inlineStr">
        <is>
          <t>义乌购</t>
        </is>
      </c>
      <c r="G1186" s="10" t="inlineStr">
        <is>
          <t>王经理</t>
        </is>
      </c>
      <c r="H1186" s="10" t="inlineStr">
        <is>
          <t>000-0000-1182</t>
        </is>
      </c>
      <c r="I1186" s="10" t="inlineStr">
        <is>
          <t>DEMO_GYS_1182</t>
        </is>
      </c>
      <c r="J1186" s="11" t="n">
        <v>34.2</v>
      </c>
      <c r="K1186" s="11" t="n">
        <v>42.4</v>
      </c>
      <c r="L1186" s="12" t="n">
        <v>20</v>
      </c>
      <c r="M1186" s="10" t="inlineStr">
        <is>
          <t>是</t>
        </is>
      </c>
      <c r="N1186" s="10" t="inlineStr">
        <is>
          <t>否</t>
        </is>
      </c>
      <c r="O1186" s="10" t="inlineStr">
        <is>
          <t>supplier1182@example.com</t>
        </is>
      </c>
      <c r="P1186" s="10" t="inlineStr">
        <is>
          <t>https://example.com/supplier/1182</t>
        </is>
      </c>
      <c r="Q1186" s="10">
        <f>IF(R1186&gt;=85,"A",IF(R1186&gt;=70,"B","C"))</f>
        <v/>
      </c>
      <c r="R1186" s="13">
        <f>MIN(100,50+IF(M1186="是",10,0)+IF(N1186="是",10,0)+IF(L1186&lt;=100,10,IF(L1186&lt;=300,5,0))+IF(J1186&lt;=20,10,IF(J1186&lt;=50,5,0))+IF(K1186-J1186&lt;=20,5,0)+IF(F1186="企业官网",5,0))</f>
        <v/>
      </c>
      <c r="S1186" s="10">
        <f>IF(Q1186="A","价格与起订量有优势，建议优先询盘",IF(Q1186="B","条件较均衡，可作为备选","起订量或价格需要进一步确认"))</f>
        <v/>
      </c>
      <c r="T1186" s="10" t="inlineStr">
        <is>
          <t>未联系</t>
        </is>
      </c>
      <c r="U1186" s="10" t="inlineStr">
        <is>
          <t>虚构演示数据</t>
        </is>
      </c>
    </row>
    <row r="1187" ht="21" customHeight="1">
      <c r="A1187" s="10" t="inlineStr">
        <is>
          <t>GYS-1183</t>
        </is>
      </c>
      <c r="B1187" s="10" t="inlineStr">
        <is>
          <t>郑州个护清洁供应链1183有限公司（演示）</t>
        </is>
      </c>
      <c r="C1187" s="10" t="inlineStr">
        <is>
          <t>个护清洁</t>
        </is>
      </c>
      <c r="D1187" s="10" t="inlineStr">
        <is>
          <t>便携洗脸巾</t>
        </is>
      </c>
      <c r="E1187" s="10" t="inlineStr">
        <is>
          <t>河南郑州</t>
        </is>
      </c>
      <c r="F1187" s="10" t="inlineStr">
        <is>
          <t>慧聪网</t>
        </is>
      </c>
      <c r="G1187" s="10" t="inlineStr">
        <is>
          <t>李经理</t>
        </is>
      </c>
      <c r="H1187" s="10" t="inlineStr">
        <is>
          <t>000-0000-1183</t>
        </is>
      </c>
      <c r="I1187" s="10" t="inlineStr">
        <is>
          <t>DEMO_GYS_1183</t>
        </is>
      </c>
      <c r="J1187" s="11" t="n">
        <v>35.9</v>
      </c>
      <c r="K1187" s="11" t="n">
        <v>45.2</v>
      </c>
      <c r="L1187" s="12" t="n">
        <v>500</v>
      </c>
      <c r="M1187" s="10" t="inlineStr">
        <is>
          <t>是</t>
        </is>
      </c>
      <c r="N1187" s="10" t="inlineStr">
        <is>
          <t>是</t>
        </is>
      </c>
      <c r="O1187" s="10" t="inlineStr">
        <is>
          <t>supplier1183@example.com</t>
        </is>
      </c>
      <c r="P1187" s="10" t="inlineStr">
        <is>
          <t>https://example.com/supplier/1183</t>
        </is>
      </c>
      <c r="Q1187" s="10">
        <f>IF(R1187&gt;=85,"A",IF(R1187&gt;=70,"B","C"))</f>
        <v/>
      </c>
      <c r="R1187" s="13">
        <f>MIN(100,50+IF(M1187="是",10,0)+IF(N1187="是",10,0)+IF(L1187&lt;=100,10,IF(L1187&lt;=300,5,0))+IF(J1187&lt;=20,10,IF(J1187&lt;=50,5,0))+IF(K1187-J1187&lt;=20,5,0)+IF(F1187="企业官网",5,0))</f>
        <v/>
      </c>
      <c r="S1187" s="10">
        <f>IF(Q1187="A","价格与起订量有优势，建议优先询盘",IF(Q1187="B","条件较均衡，可作为备选","起订量或价格需要进一步确认"))</f>
        <v/>
      </c>
      <c r="T1187" s="10" t="inlineStr">
        <is>
          <t>未联系</t>
        </is>
      </c>
      <c r="U1187" s="10" t="inlineStr">
        <is>
          <t>虚构演示数据</t>
        </is>
      </c>
    </row>
    <row r="1188" ht="21" customHeight="1">
      <c r="A1188" s="10" t="inlineStr">
        <is>
          <t>GYS-1184</t>
        </is>
      </c>
      <c r="B1188" s="10" t="inlineStr">
        <is>
          <t>宁波厨房用品供应链1184有限公司（演示）</t>
        </is>
      </c>
      <c r="C1188" s="10" t="inlineStr">
        <is>
          <t>厨房用品</t>
        </is>
      </c>
      <c r="D1188" s="10" t="inlineStr">
        <is>
          <t>硅胶保鲜盒</t>
        </is>
      </c>
      <c r="E1188" s="10" t="inlineStr">
        <is>
          <t>浙江宁波</t>
        </is>
      </c>
      <c r="F1188" s="10" t="inlineStr">
        <is>
          <t>1688</t>
        </is>
      </c>
      <c r="G1188" s="10" t="inlineStr">
        <is>
          <t>张经理</t>
        </is>
      </c>
      <c r="H1188" s="10" t="inlineStr">
        <is>
          <t>000-0000-1184</t>
        </is>
      </c>
      <c r="I1188" s="10" t="inlineStr">
        <is>
          <t>DEMO_GYS_1184</t>
        </is>
      </c>
      <c r="J1188" s="11" t="n">
        <v>37.6</v>
      </c>
      <c r="K1188" s="11" t="n">
        <v>48</v>
      </c>
      <c r="L1188" s="12" t="n">
        <v>300</v>
      </c>
      <c r="M1188" s="10" t="inlineStr">
        <is>
          <t>否</t>
        </is>
      </c>
      <c r="N1188" s="10" t="inlineStr">
        <is>
          <t>是</t>
        </is>
      </c>
      <c r="O1188" s="10" t="inlineStr">
        <is>
          <t>supplier1184@example.com</t>
        </is>
      </c>
      <c r="P1188" s="10" t="inlineStr">
        <is>
          <t>https://example.com/supplier/1184</t>
        </is>
      </c>
      <c r="Q1188" s="10">
        <f>IF(R1188&gt;=85,"A",IF(R1188&gt;=70,"B","C"))</f>
        <v/>
      </c>
      <c r="R1188" s="13">
        <f>MIN(100,50+IF(M1188="是",10,0)+IF(N1188="是",10,0)+IF(L1188&lt;=100,10,IF(L1188&lt;=300,5,0))+IF(J1188&lt;=20,10,IF(J1188&lt;=50,5,0))+IF(K1188-J1188&lt;=20,5,0)+IF(F1188="企业官网",5,0))</f>
        <v/>
      </c>
      <c r="S1188" s="10">
        <f>IF(Q1188="A","价格与起订量有优势，建议优先询盘",IF(Q1188="B","条件较均衡，可作为备选","起订量或价格需要进一步确认"))</f>
        <v/>
      </c>
      <c r="T1188" s="10" t="inlineStr">
        <is>
          <t>未联系</t>
        </is>
      </c>
      <c r="U1188" s="10" t="inlineStr">
        <is>
          <t>虚构演示数据</t>
        </is>
      </c>
    </row>
    <row r="1189" ht="21" customHeight="1">
      <c r="A1189" s="10" t="inlineStr">
        <is>
          <t>GYS-1185</t>
        </is>
      </c>
      <c r="B1189" s="10" t="inlineStr">
        <is>
          <t>深圳数码配件供应链1185有限公司（演示）</t>
        </is>
      </c>
      <c r="C1189" s="10" t="inlineStr">
        <is>
          <t>数码配件</t>
        </is>
      </c>
      <c r="D1189" s="10" t="inlineStr">
        <is>
          <t>磁吸手机支架</t>
        </is>
      </c>
      <c r="E1189" s="10" t="inlineStr">
        <is>
          <t>广东深圳</t>
        </is>
      </c>
      <c r="F1189" s="10" t="inlineStr">
        <is>
          <t>中国制造网</t>
        </is>
      </c>
      <c r="G1189" s="10" t="inlineStr">
        <is>
          <t>刘经理</t>
        </is>
      </c>
      <c r="H1189" s="10" t="inlineStr">
        <is>
          <t>000-0000-1185</t>
        </is>
      </c>
      <c r="I1189" s="10" t="inlineStr">
        <is>
          <t>DEMO_GYS_1185</t>
        </is>
      </c>
      <c r="J1189" s="11" t="n">
        <v>39.3</v>
      </c>
      <c r="K1189" s="11" t="n">
        <v>50.8</v>
      </c>
      <c r="L1189" s="12" t="n">
        <v>200</v>
      </c>
      <c r="M1189" s="10" t="inlineStr">
        <is>
          <t>是</t>
        </is>
      </c>
      <c r="N1189" s="10" t="inlineStr">
        <is>
          <t>否</t>
        </is>
      </c>
      <c r="O1189" s="10" t="inlineStr">
        <is>
          <t>supplier1185@example.com</t>
        </is>
      </c>
      <c r="P1189" s="10" t="inlineStr">
        <is>
          <t>https://example.com/supplier/1185</t>
        </is>
      </c>
      <c r="Q1189" s="10">
        <f>IF(R1189&gt;=85,"A",IF(R1189&gt;=70,"B","C"))</f>
        <v/>
      </c>
      <c r="R1189" s="13">
        <f>MIN(100,50+IF(M1189="是",10,0)+IF(N1189="是",10,0)+IF(L1189&lt;=100,10,IF(L1189&lt;=300,5,0))+IF(J1189&lt;=20,10,IF(J1189&lt;=50,5,0))+IF(K1189-J1189&lt;=20,5,0)+IF(F1189="企业官网",5,0))</f>
        <v/>
      </c>
      <c r="S1189" s="10">
        <f>IF(Q1189="A","价格与起订量有优势，建议优先询盘",IF(Q1189="B","条件较均衡，可作为备选","起订量或价格需要进一步确认"))</f>
        <v/>
      </c>
      <c r="T1189" s="10" t="inlineStr">
        <is>
          <t>未联系</t>
        </is>
      </c>
      <c r="U1189" s="10" t="inlineStr">
        <is>
          <t>虚构演示数据</t>
        </is>
      </c>
    </row>
    <row r="1190" ht="21" customHeight="1">
      <c r="A1190" s="10" t="inlineStr">
        <is>
          <t>GYS-1186</t>
        </is>
      </c>
      <c r="B1190" s="10" t="inlineStr">
        <is>
          <t>佛山宠物用品供应链1186有限公司（演示）</t>
        </is>
      </c>
      <c r="C1190" s="10" t="inlineStr">
        <is>
          <t>宠物用品</t>
        </is>
      </c>
      <c r="D1190" s="10" t="inlineStr">
        <is>
          <t>宠物清洁手套</t>
        </is>
      </c>
      <c r="E1190" s="10" t="inlineStr">
        <is>
          <t>广东佛山</t>
        </is>
      </c>
      <c r="F1190" s="10" t="inlineStr">
        <is>
          <t>企业官网</t>
        </is>
      </c>
      <c r="G1190" s="10" t="inlineStr">
        <is>
          <t>黄经理</t>
        </is>
      </c>
      <c r="H1190" s="10" t="inlineStr">
        <is>
          <t>000-0000-1186</t>
        </is>
      </c>
      <c r="I1190" s="10" t="inlineStr">
        <is>
          <t>DEMO_GYS_1186</t>
        </is>
      </c>
      <c r="J1190" s="11" t="n">
        <v>41</v>
      </c>
      <c r="K1190" s="11" t="n">
        <v>53.6</v>
      </c>
      <c r="L1190" s="12" t="n">
        <v>100</v>
      </c>
      <c r="M1190" s="10" t="inlineStr">
        <is>
          <t>是</t>
        </is>
      </c>
      <c r="N1190" s="10" t="inlineStr">
        <is>
          <t>是</t>
        </is>
      </c>
      <c r="O1190" s="10" t="inlineStr">
        <is>
          <t>supplier1186@example.com</t>
        </is>
      </c>
      <c r="P1190" s="10" t="inlineStr">
        <is>
          <t>https://example.com/supplier/1186</t>
        </is>
      </c>
      <c r="Q1190" s="10">
        <f>IF(R1190&gt;=85,"A",IF(R1190&gt;=70,"B","C"))</f>
        <v/>
      </c>
      <c r="R1190" s="13">
        <f>MIN(100,50+IF(M1190="是",10,0)+IF(N1190="是",10,0)+IF(L1190&lt;=100,10,IF(L1190&lt;=300,5,0))+IF(J1190&lt;=20,10,IF(J1190&lt;=50,5,0))+IF(K1190-J1190&lt;=20,5,0)+IF(F1190="企业官网",5,0))</f>
        <v/>
      </c>
      <c r="S1190" s="10">
        <f>IF(Q1190="A","价格与起订量有优势，建议优先询盘",IF(Q1190="B","条件较均衡，可作为备选","起订量或价格需要进一步确认"))</f>
        <v/>
      </c>
      <c r="T1190" s="10" t="inlineStr">
        <is>
          <t>未联系</t>
        </is>
      </c>
      <c r="U1190" s="10" t="inlineStr">
        <is>
          <t>虚构演示数据</t>
        </is>
      </c>
    </row>
    <row r="1191" ht="21" customHeight="1">
      <c r="A1191" s="10" t="inlineStr">
        <is>
          <t>GYS-1187</t>
        </is>
      </c>
      <c r="B1191" s="10" t="inlineStr">
        <is>
          <t>苏州母婴用品供应链1187有限公司（演示）</t>
        </is>
      </c>
      <c r="C1191" s="10" t="inlineStr">
        <is>
          <t>母婴用品</t>
        </is>
      </c>
      <c r="D1191" s="10" t="inlineStr">
        <is>
          <t>婴儿防撞条</t>
        </is>
      </c>
      <c r="E1191" s="10" t="inlineStr">
        <is>
          <t>江苏苏州</t>
        </is>
      </c>
      <c r="F1191" s="10" t="inlineStr">
        <is>
          <t>义乌购</t>
        </is>
      </c>
      <c r="G1191" s="10" t="inlineStr">
        <is>
          <t>赵经理</t>
        </is>
      </c>
      <c r="H1191" s="10" t="inlineStr">
        <is>
          <t>000-0000-1187</t>
        </is>
      </c>
      <c r="I1191" s="10" t="inlineStr">
        <is>
          <t>DEMO_GYS_1187</t>
        </is>
      </c>
      <c r="J1191" s="11" t="n">
        <v>42.7</v>
      </c>
      <c r="K1191" s="11" t="n">
        <v>56.4</v>
      </c>
      <c r="L1191" s="12" t="n">
        <v>50</v>
      </c>
      <c r="M1191" s="10" t="inlineStr">
        <is>
          <t>是</t>
        </is>
      </c>
      <c r="N1191" s="10" t="inlineStr">
        <is>
          <t>是</t>
        </is>
      </c>
      <c r="O1191" s="10" t="inlineStr">
        <is>
          <t>supplier1187@example.com</t>
        </is>
      </c>
      <c r="P1191" s="10" t="inlineStr">
        <is>
          <t>https://example.com/supplier/1187</t>
        </is>
      </c>
      <c r="Q1191" s="10">
        <f>IF(R1191&gt;=85,"A",IF(R1191&gt;=70,"B","C"))</f>
        <v/>
      </c>
      <c r="R1191" s="13">
        <f>MIN(100,50+IF(M1191="是",10,0)+IF(N1191="是",10,0)+IF(L1191&lt;=100,10,IF(L1191&lt;=300,5,0))+IF(J1191&lt;=20,10,IF(J1191&lt;=50,5,0))+IF(K1191-J1191&lt;=20,5,0)+IF(F1191="企业官网",5,0))</f>
        <v/>
      </c>
      <c r="S1191" s="10">
        <f>IF(Q1191="A","价格与起订量有优势，建议优先询盘",IF(Q1191="B","条件较均衡，可作为备选","起订量或价格需要进一步确认"))</f>
        <v/>
      </c>
      <c r="T1191" s="10" t="inlineStr">
        <is>
          <t>未联系</t>
        </is>
      </c>
      <c r="U1191" s="10" t="inlineStr">
        <is>
          <t>虚构演示数据</t>
        </is>
      </c>
    </row>
    <row r="1192" ht="21" customHeight="1">
      <c r="A1192" s="10" t="inlineStr">
        <is>
          <t>GYS-1188</t>
        </is>
      </c>
      <c r="B1192" s="10" t="inlineStr">
        <is>
          <t>白沟运动户外供应链1188有限公司（演示）</t>
        </is>
      </c>
      <c r="C1192" s="10" t="inlineStr">
        <is>
          <t>运动户外</t>
        </is>
      </c>
      <c r="D1192" s="10" t="inlineStr">
        <is>
          <t>弹力训练带</t>
        </is>
      </c>
      <c r="E1192" s="10" t="inlineStr">
        <is>
          <t>河北白沟</t>
        </is>
      </c>
      <c r="F1192" s="10" t="inlineStr">
        <is>
          <t>慧聪网</t>
        </is>
      </c>
      <c r="G1192" s="10" t="inlineStr">
        <is>
          <t>周经理</t>
        </is>
      </c>
      <c r="H1192" s="10" t="inlineStr">
        <is>
          <t>000-0000-1188</t>
        </is>
      </c>
      <c r="I1192" s="10" t="inlineStr">
        <is>
          <t>DEMO_GYS_1188</t>
        </is>
      </c>
      <c r="J1192" s="11" t="n">
        <v>44.4</v>
      </c>
      <c r="K1192" s="11" t="n">
        <v>59.2</v>
      </c>
      <c r="L1192" s="12" t="n">
        <v>20</v>
      </c>
      <c r="M1192" s="10" t="inlineStr">
        <is>
          <t>否</t>
        </is>
      </c>
      <c r="N1192" s="10" t="inlineStr">
        <is>
          <t>否</t>
        </is>
      </c>
      <c r="O1192" s="10" t="inlineStr">
        <is>
          <t>supplier1188@example.com</t>
        </is>
      </c>
      <c r="P1192" s="10" t="inlineStr">
        <is>
          <t>https://example.com/supplier/1188</t>
        </is>
      </c>
      <c r="Q1192" s="10">
        <f>IF(R1192&gt;=85,"A",IF(R1192&gt;=70,"B","C"))</f>
        <v/>
      </c>
      <c r="R1192" s="13">
        <f>MIN(100,50+IF(M1192="是",10,0)+IF(N1192="是",10,0)+IF(L1192&lt;=100,10,IF(L1192&lt;=300,5,0))+IF(J1192&lt;=20,10,IF(J1192&lt;=50,5,0))+IF(K1192-J1192&lt;=20,5,0)+IF(F1192="企业官网",5,0))</f>
        <v/>
      </c>
      <c r="S1192" s="10">
        <f>IF(Q1192="A","价格与起订量有优势，建议优先询盘",IF(Q1192="B","条件较均衡，可作为备选","起订量或价格需要进一步确认"))</f>
        <v/>
      </c>
      <c r="T1192" s="10" t="inlineStr">
        <is>
          <t>未联系</t>
        </is>
      </c>
      <c r="U1192" s="10" t="inlineStr">
        <is>
          <t>虚构演示数据</t>
        </is>
      </c>
    </row>
    <row r="1193" ht="21" customHeight="1">
      <c r="A1193" s="10" t="inlineStr">
        <is>
          <t>GYS-1189</t>
        </is>
      </c>
      <c r="B1193" s="10" t="inlineStr">
        <is>
          <t>义乌办公文具供应链1189有限公司（演示）</t>
        </is>
      </c>
      <c r="C1193" s="10" t="inlineStr">
        <is>
          <t>办公文具</t>
        </is>
      </c>
      <c r="D1193" s="10" t="inlineStr">
        <is>
          <t>桌面收纳架</t>
        </is>
      </c>
      <c r="E1193" s="10" t="inlineStr">
        <is>
          <t>浙江义乌</t>
        </is>
      </c>
      <c r="F1193" s="10" t="inlineStr">
        <is>
          <t>1688</t>
        </is>
      </c>
      <c r="G1193" s="10" t="inlineStr">
        <is>
          <t>吴经理</t>
        </is>
      </c>
      <c r="H1193" s="10" t="inlineStr">
        <is>
          <t>000-0000-1189</t>
        </is>
      </c>
      <c r="I1193" s="10" t="inlineStr">
        <is>
          <t>DEMO_GYS_1189</t>
        </is>
      </c>
      <c r="J1193" s="11" t="n">
        <v>46.1</v>
      </c>
      <c r="K1193" s="11" t="n">
        <v>62</v>
      </c>
      <c r="L1193" s="12" t="n">
        <v>500</v>
      </c>
      <c r="M1193" s="10" t="inlineStr">
        <is>
          <t>是</t>
        </is>
      </c>
      <c r="N1193" s="10" t="inlineStr">
        <is>
          <t>是</t>
        </is>
      </c>
      <c r="O1193" s="10" t="inlineStr">
        <is>
          <t>supplier1189@example.com</t>
        </is>
      </c>
      <c r="P1193" s="10" t="inlineStr">
        <is>
          <t>https://example.com/supplier/1189</t>
        </is>
      </c>
      <c r="Q1193" s="10">
        <f>IF(R1193&gt;=85,"A",IF(R1193&gt;=70,"B","C"))</f>
        <v/>
      </c>
      <c r="R1193" s="13">
        <f>MIN(100,50+IF(M1193="是",10,0)+IF(N1193="是",10,0)+IF(L1193&lt;=100,10,IF(L1193&lt;=300,5,0))+IF(J1193&lt;=20,10,IF(J1193&lt;=50,5,0))+IF(K1193-J1193&lt;=20,5,0)+IF(F1193="企业官网",5,0))</f>
        <v/>
      </c>
      <c r="S1193" s="10">
        <f>IF(Q1193="A","价格与起订量有优势，建议优先询盘",IF(Q1193="B","条件较均衡，可作为备选","起订量或价格需要进一步确认"))</f>
        <v/>
      </c>
      <c r="T1193" s="10" t="inlineStr">
        <is>
          <t>未联系</t>
        </is>
      </c>
      <c r="U1193" s="10" t="inlineStr">
        <is>
          <t>虚构演示数据</t>
        </is>
      </c>
    </row>
    <row r="1194" ht="21" customHeight="1">
      <c r="A1194" s="10" t="inlineStr">
        <is>
          <t>GYS-1190</t>
        </is>
      </c>
      <c r="B1194" s="10" t="inlineStr">
        <is>
          <t>台州汽车用品供应链1190有限公司（演示）</t>
        </is>
      </c>
      <c r="C1194" s="10" t="inlineStr">
        <is>
          <t>汽车用品</t>
        </is>
      </c>
      <c r="D1194" s="10" t="inlineStr">
        <is>
          <t>车载香薰</t>
        </is>
      </c>
      <c r="E1194" s="10" t="inlineStr">
        <is>
          <t>浙江台州</t>
        </is>
      </c>
      <c r="F1194" s="10" t="inlineStr">
        <is>
          <t>中国制造网</t>
        </is>
      </c>
      <c r="G1194" s="10" t="inlineStr">
        <is>
          <t>陈经理</t>
        </is>
      </c>
      <c r="H1194" s="10" t="inlineStr">
        <is>
          <t>000-0000-1190</t>
        </is>
      </c>
      <c r="I1194" s="10" t="inlineStr">
        <is>
          <t>DEMO_GYS_1190</t>
        </is>
      </c>
      <c r="J1194" s="11" t="n">
        <v>47.8</v>
      </c>
      <c r="K1194" s="11" t="n">
        <v>64.8</v>
      </c>
      <c r="L1194" s="12" t="n">
        <v>300</v>
      </c>
      <c r="M1194" s="10" t="inlineStr">
        <is>
          <t>是</t>
        </is>
      </c>
      <c r="N1194" s="10" t="inlineStr">
        <is>
          <t>是</t>
        </is>
      </c>
      <c r="O1194" s="10" t="inlineStr">
        <is>
          <t>supplier1190@example.com</t>
        </is>
      </c>
      <c r="P1194" s="10" t="inlineStr">
        <is>
          <t>https://example.com/supplier/1190</t>
        </is>
      </c>
      <c r="Q1194" s="10">
        <f>IF(R1194&gt;=85,"A",IF(R1194&gt;=70,"B","C"))</f>
        <v/>
      </c>
      <c r="R1194" s="13">
        <f>MIN(100,50+IF(M1194="是",10,0)+IF(N1194="是",10,0)+IF(L1194&lt;=100,10,IF(L1194&lt;=300,5,0))+IF(J1194&lt;=20,10,IF(J1194&lt;=50,5,0))+IF(K1194-J1194&lt;=20,5,0)+IF(F1194="企业官网",5,0))</f>
        <v/>
      </c>
      <c r="S1194" s="10">
        <f>IF(Q1194="A","价格与起订量有优势，建议优先询盘",IF(Q1194="B","条件较均衡，可作为备选","起订量或价格需要进一步确认"))</f>
        <v/>
      </c>
      <c r="T1194" s="10" t="inlineStr">
        <is>
          <t>未联系</t>
        </is>
      </c>
      <c r="U1194" s="10" t="inlineStr">
        <is>
          <t>虚构演示数据</t>
        </is>
      </c>
    </row>
    <row r="1195" ht="21" customHeight="1">
      <c r="A1195" s="10" t="inlineStr">
        <is>
          <t>GYS-1191</t>
        </is>
      </c>
      <c r="B1195" s="10" t="inlineStr">
        <is>
          <t>东莞美容工具供应链1191有限公司（演示）</t>
        </is>
      </c>
      <c r="C1195" s="10" t="inlineStr">
        <is>
          <t>美容工具</t>
        </is>
      </c>
      <c r="D1195" s="10" t="inlineStr">
        <is>
          <t>便携化妆镜</t>
        </is>
      </c>
      <c r="E1195" s="10" t="inlineStr">
        <is>
          <t>广东东莞</t>
        </is>
      </c>
      <c r="F1195" s="10" t="inlineStr">
        <is>
          <t>企业官网</t>
        </is>
      </c>
      <c r="G1195" s="10" t="inlineStr">
        <is>
          <t>林经理</t>
        </is>
      </c>
      <c r="H1195" s="10" t="inlineStr">
        <is>
          <t>000-0000-1191</t>
        </is>
      </c>
      <c r="I1195" s="10" t="inlineStr">
        <is>
          <t>DEMO_GYS_1191</t>
        </is>
      </c>
      <c r="J1195" s="11" t="n">
        <v>3.5</v>
      </c>
      <c r="K1195" s="11" t="n">
        <v>21.6</v>
      </c>
      <c r="L1195" s="12" t="n">
        <v>200</v>
      </c>
      <c r="M1195" s="10" t="inlineStr">
        <is>
          <t>是</t>
        </is>
      </c>
      <c r="N1195" s="10" t="inlineStr">
        <is>
          <t>否</t>
        </is>
      </c>
      <c r="O1195" s="10" t="inlineStr">
        <is>
          <t>supplier1191@example.com</t>
        </is>
      </c>
      <c r="P1195" s="10" t="inlineStr">
        <is>
          <t>https://example.com/supplier/1191</t>
        </is>
      </c>
      <c r="Q1195" s="10">
        <f>IF(R1195&gt;=85,"A",IF(R1195&gt;=70,"B","C"))</f>
        <v/>
      </c>
      <c r="R1195" s="13">
        <f>MIN(100,50+IF(M1195="是",10,0)+IF(N1195="是",10,0)+IF(L1195&lt;=100,10,IF(L1195&lt;=300,5,0))+IF(J1195&lt;=20,10,IF(J1195&lt;=50,5,0))+IF(K1195-J1195&lt;=20,5,0)+IF(F1195="企业官网",5,0))</f>
        <v/>
      </c>
      <c r="S1195" s="10">
        <f>IF(Q1195="A","价格与起订量有优势，建议优先询盘",IF(Q1195="B","条件较均衡，可作为备选","起订量或价格需要进一步确认"))</f>
        <v/>
      </c>
      <c r="T1195" s="10" t="inlineStr">
        <is>
          <t>未联系</t>
        </is>
      </c>
      <c r="U1195" s="10" t="inlineStr">
        <is>
          <t>虚构演示数据</t>
        </is>
      </c>
    </row>
    <row r="1196" ht="21" customHeight="1">
      <c r="A1196" s="10" t="inlineStr">
        <is>
          <t>GYS-1192</t>
        </is>
      </c>
      <c r="B1196" s="10" t="inlineStr">
        <is>
          <t>厦门旅行用品供应链1192有限公司（演示）</t>
        </is>
      </c>
      <c r="C1196" s="10" t="inlineStr">
        <is>
          <t>旅行用品</t>
        </is>
      </c>
      <c r="D1196" s="10" t="inlineStr">
        <is>
          <t>压缩收纳袋</t>
        </is>
      </c>
      <c r="E1196" s="10" t="inlineStr">
        <is>
          <t>福建厦门</t>
        </is>
      </c>
      <c r="F1196" s="10" t="inlineStr">
        <is>
          <t>义乌购</t>
        </is>
      </c>
      <c r="G1196" s="10" t="inlineStr">
        <is>
          <t>王经理</t>
        </is>
      </c>
      <c r="H1196" s="10" t="inlineStr">
        <is>
          <t>000-0000-1192</t>
        </is>
      </c>
      <c r="I1196" s="10" t="inlineStr">
        <is>
          <t>DEMO_GYS_1192</t>
        </is>
      </c>
      <c r="J1196" s="11" t="n">
        <v>5.2</v>
      </c>
      <c r="K1196" s="11" t="n">
        <v>24.4</v>
      </c>
      <c r="L1196" s="12" t="n">
        <v>100</v>
      </c>
      <c r="M1196" s="10" t="inlineStr">
        <is>
          <t>否</t>
        </is>
      </c>
      <c r="N1196" s="10" t="inlineStr">
        <is>
          <t>是</t>
        </is>
      </c>
      <c r="O1196" s="10" t="inlineStr">
        <is>
          <t>supplier1192@example.com</t>
        </is>
      </c>
      <c r="P1196" s="10" t="inlineStr">
        <is>
          <t>https://example.com/supplier/1192</t>
        </is>
      </c>
      <c r="Q1196" s="10">
        <f>IF(R1196&gt;=85,"A",IF(R1196&gt;=70,"B","C"))</f>
        <v/>
      </c>
      <c r="R1196" s="13">
        <f>MIN(100,50+IF(M1196="是",10,0)+IF(N1196="是",10,0)+IF(L1196&lt;=100,10,IF(L1196&lt;=300,5,0))+IF(J1196&lt;=20,10,IF(J1196&lt;=50,5,0))+IF(K1196-J1196&lt;=20,5,0)+IF(F1196="企业官网",5,0))</f>
        <v/>
      </c>
      <c r="S1196" s="10">
        <f>IF(Q1196="A","价格与起订量有优势，建议优先询盘",IF(Q1196="B","条件较均衡，可作为备选","起订量或价格需要进一步确认"))</f>
        <v/>
      </c>
      <c r="T1196" s="10" t="inlineStr">
        <is>
          <t>未联系</t>
        </is>
      </c>
      <c r="U1196" s="10" t="inlineStr">
        <is>
          <t>虚构演示数据</t>
        </is>
      </c>
    </row>
    <row r="1197" ht="21" customHeight="1">
      <c r="A1197" s="10" t="inlineStr">
        <is>
          <t>GYS-1193</t>
        </is>
      </c>
      <c r="B1197" s="10" t="inlineStr">
        <is>
          <t>临沂清洁工具供应链1193有限公司（演示）</t>
        </is>
      </c>
      <c r="C1197" s="10" t="inlineStr">
        <is>
          <t>清洁工具</t>
        </is>
      </c>
      <c r="D1197" s="10" t="inlineStr">
        <is>
          <t>免手洗拖把</t>
        </is>
      </c>
      <c r="E1197" s="10" t="inlineStr">
        <is>
          <t>山东临沂</t>
        </is>
      </c>
      <c r="F1197" s="10" t="inlineStr">
        <is>
          <t>慧聪网</t>
        </is>
      </c>
      <c r="G1197" s="10" t="inlineStr">
        <is>
          <t>李经理</t>
        </is>
      </c>
      <c r="H1197" s="10" t="inlineStr">
        <is>
          <t>000-0000-1193</t>
        </is>
      </c>
      <c r="I1197" s="10" t="inlineStr">
        <is>
          <t>DEMO_GYS_1193</t>
        </is>
      </c>
      <c r="J1197" s="11" t="n">
        <v>6.9</v>
      </c>
      <c r="K1197" s="11" t="n">
        <v>27.2</v>
      </c>
      <c r="L1197" s="12" t="n">
        <v>50</v>
      </c>
      <c r="M1197" s="10" t="inlineStr">
        <is>
          <t>是</t>
        </is>
      </c>
      <c r="N1197" s="10" t="inlineStr">
        <is>
          <t>是</t>
        </is>
      </c>
      <c r="O1197" s="10" t="inlineStr">
        <is>
          <t>supplier1193@example.com</t>
        </is>
      </c>
      <c r="P1197" s="10" t="inlineStr">
        <is>
          <t>https://example.com/supplier/1193</t>
        </is>
      </c>
      <c r="Q1197" s="10">
        <f>IF(R1197&gt;=85,"A",IF(R1197&gt;=70,"B","C"))</f>
        <v/>
      </c>
      <c r="R1197" s="13">
        <f>MIN(100,50+IF(M1197="是",10,0)+IF(N1197="是",10,0)+IF(L1197&lt;=100,10,IF(L1197&lt;=300,5,0))+IF(J1197&lt;=20,10,IF(J1197&lt;=50,5,0))+IF(K1197-J1197&lt;=20,5,0)+IF(F1197="企业官网",5,0))</f>
        <v/>
      </c>
      <c r="S1197" s="10">
        <f>IF(Q1197="A","价格与起订量有优势，建议优先询盘",IF(Q1197="B","条件较均衡，可作为备选","起订量或价格需要进一步确认"))</f>
        <v/>
      </c>
      <c r="T1197" s="10" t="inlineStr">
        <is>
          <t>未联系</t>
        </is>
      </c>
      <c r="U1197" s="10" t="inlineStr">
        <is>
          <t>虚构演示数据</t>
        </is>
      </c>
    </row>
    <row r="1198" ht="21" customHeight="1">
      <c r="A1198" s="10" t="inlineStr">
        <is>
          <t>GYS-1194</t>
        </is>
      </c>
      <c r="B1198" s="10" t="inlineStr">
        <is>
          <t>南昌小家电供应链1194有限公司（演示）</t>
        </is>
      </c>
      <c r="C1198" s="10" t="inlineStr">
        <is>
          <t>小家电</t>
        </is>
      </c>
      <c r="D1198" s="10" t="inlineStr">
        <is>
          <t>迷你加湿器</t>
        </is>
      </c>
      <c r="E1198" s="10" t="inlineStr">
        <is>
          <t>江西南昌</t>
        </is>
      </c>
      <c r="F1198" s="10" t="inlineStr">
        <is>
          <t>1688</t>
        </is>
      </c>
      <c r="G1198" s="10" t="inlineStr">
        <is>
          <t>张经理</t>
        </is>
      </c>
      <c r="H1198" s="10" t="inlineStr">
        <is>
          <t>000-0000-1194</t>
        </is>
      </c>
      <c r="I1198" s="10" t="inlineStr">
        <is>
          <t>DEMO_GYS_1194</t>
        </is>
      </c>
      <c r="J1198" s="11" t="n">
        <v>8.6</v>
      </c>
      <c r="K1198" s="11" t="n">
        <v>30</v>
      </c>
      <c r="L1198" s="12" t="n">
        <v>20</v>
      </c>
      <c r="M1198" s="10" t="inlineStr">
        <is>
          <t>是</t>
        </is>
      </c>
      <c r="N1198" s="10" t="inlineStr">
        <is>
          <t>否</t>
        </is>
      </c>
      <c r="O1198" s="10" t="inlineStr">
        <is>
          <t>supplier1194@example.com</t>
        </is>
      </c>
      <c r="P1198" s="10" t="inlineStr">
        <is>
          <t>https://example.com/supplier/1194</t>
        </is>
      </c>
      <c r="Q1198" s="10">
        <f>IF(R1198&gt;=85,"A",IF(R1198&gt;=70,"B","C"))</f>
        <v/>
      </c>
      <c r="R1198" s="13">
        <f>MIN(100,50+IF(M1198="是",10,0)+IF(N1198="是",10,0)+IF(L1198&lt;=100,10,IF(L1198&lt;=300,5,0))+IF(J1198&lt;=20,10,IF(J1198&lt;=50,5,0))+IF(K1198-J1198&lt;=20,5,0)+IF(F1198="企业官网",5,0))</f>
        <v/>
      </c>
      <c r="S1198" s="10">
        <f>IF(Q1198="A","价格与起订量有优势，建议优先询盘",IF(Q1198="B","条件较均衡，可作为备选","起订量或价格需要进一步确认"))</f>
        <v/>
      </c>
      <c r="T1198" s="10" t="inlineStr">
        <is>
          <t>未联系</t>
        </is>
      </c>
      <c r="U1198" s="10" t="inlineStr">
        <is>
          <t>虚构演示数据</t>
        </is>
      </c>
    </row>
    <row r="1199" ht="21" customHeight="1">
      <c r="A1199" s="10" t="inlineStr">
        <is>
          <t>GYS-1195</t>
        </is>
      </c>
      <c r="B1199" s="10" t="inlineStr">
        <is>
          <t>温州礼品包装供应链1195有限公司（演示）</t>
        </is>
      </c>
      <c r="C1199" s="10" t="inlineStr">
        <is>
          <t>礼品包装</t>
        </is>
      </c>
      <c r="D1199" s="10" t="inlineStr">
        <is>
          <t>节日礼盒</t>
        </is>
      </c>
      <c r="E1199" s="10" t="inlineStr">
        <is>
          <t>浙江温州</t>
        </is>
      </c>
      <c r="F1199" s="10" t="inlineStr">
        <is>
          <t>中国制造网</t>
        </is>
      </c>
      <c r="G1199" s="10" t="inlineStr">
        <is>
          <t>刘经理</t>
        </is>
      </c>
      <c r="H1199" s="10" t="inlineStr">
        <is>
          <t>000-0000-1195</t>
        </is>
      </c>
      <c r="I1199" s="10" t="inlineStr">
        <is>
          <t>DEMO_GYS_1195</t>
        </is>
      </c>
      <c r="J1199" s="11" t="n">
        <v>10.3</v>
      </c>
      <c r="K1199" s="11" t="n">
        <v>14.8</v>
      </c>
      <c r="L1199" s="12" t="n">
        <v>500</v>
      </c>
      <c r="M1199" s="10" t="inlineStr">
        <is>
          <t>是</t>
        </is>
      </c>
      <c r="N1199" s="10" t="inlineStr">
        <is>
          <t>是</t>
        </is>
      </c>
      <c r="O1199" s="10" t="inlineStr">
        <is>
          <t>supplier1195@example.com</t>
        </is>
      </c>
      <c r="P1199" s="10" t="inlineStr">
        <is>
          <t>https://example.com/supplier/1195</t>
        </is>
      </c>
      <c r="Q1199" s="10">
        <f>IF(R1199&gt;=85,"A",IF(R1199&gt;=70,"B","C"))</f>
        <v/>
      </c>
      <c r="R1199" s="13">
        <f>MIN(100,50+IF(M1199="是",10,0)+IF(N1199="是",10,0)+IF(L1199&lt;=100,10,IF(L1199&lt;=300,5,0))+IF(J1199&lt;=20,10,IF(J1199&lt;=50,5,0))+IF(K1199-J1199&lt;=20,5,0)+IF(F1199="企业官网",5,0))</f>
        <v/>
      </c>
      <c r="S1199" s="10">
        <f>IF(Q1199="A","价格与起订量有优势，建议优先询盘",IF(Q1199="B","条件较均衡，可作为备选","起订量或价格需要进一步确认"))</f>
        <v/>
      </c>
      <c r="T1199" s="10" t="inlineStr">
        <is>
          <t>未联系</t>
        </is>
      </c>
      <c r="U1199" s="10" t="inlineStr">
        <is>
          <t>虚构演示数据</t>
        </is>
      </c>
    </row>
    <row r="1200" ht="21" customHeight="1">
      <c r="A1200" s="10" t="inlineStr">
        <is>
          <t>GYS-1196</t>
        </is>
      </c>
      <c r="B1200" s="10" t="inlineStr">
        <is>
          <t>广州五金工具供应链1196有限公司（演示）</t>
        </is>
      </c>
      <c r="C1200" s="10" t="inlineStr">
        <is>
          <t>五金工具</t>
        </is>
      </c>
      <c r="D1200" s="10" t="inlineStr">
        <is>
          <t>多功能螺丝刀</t>
        </is>
      </c>
      <c r="E1200" s="10" t="inlineStr">
        <is>
          <t>广东广州</t>
        </is>
      </c>
      <c r="F1200" s="10" t="inlineStr">
        <is>
          <t>企业官网</t>
        </is>
      </c>
      <c r="G1200" s="10" t="inlineStr">
        <is>
          <t>黄经理</t>
        </is>
      </c>
      <c r="H1200" s="10" t="inlineStr">
        <is>
          <t>000-0000-1196</t>
        </is>
      </c>
      <c r="I1200" s="10" t="inlineStr">
        <is>
          <t>DEMO_GYS_1196</t>
        </is>
      </c>
      <c r="J1200" s="11" t="n">
        <v>12</v>
      </c>
      <c r="K1200" s="11" t="n">
        <v>17.6</v>
      </c>
      <c r="L1200" s="12" t="n">
        <v>300</v>
      </c>
      <c r="M1200" s="10" t="inlineStr">
        <is>
          <t>否</t>
        </is>
      </c>
      <c r="N1200" s="10" t="inlineStr">
        <is>
          <t>是</t>
        </is>
      </c>
      <c r="O1200" s="10" t="inlineStr">
        <is>
          <t>supplier1196@example.com</t>
        </is>
      </c>
      <c r="P1200" s="10" t="inlineStr">
        <is>
          <t>https://example.com/supplier/1196</t>
        </is>
      </c>
      <c r="Q1200" s="10">
        <f>IF(R1200&gt;=85,"A",IF(R1200&gt;=70,"B","C"))</f>
        <v/>
      </c>
      <c r="R1200" s="13">
        <f>MIN(100,50+IF(M1200="是",10,0)+IF(N1200="是",10,0)+IF(L1200&lt;=100,10,IF(L1200&lt;=300,5,0))+IF(J1200&lt;=20,10,IF(J1200&lt;=50,5,0))+IF(K1200-J1200&lt;=20,5,0)+IF(F1200="企业官网",5,0))</f>
        <v/>
      </c>
      <c r="S1200" s="10">
        <f>IF(Q1200="A","价格与起订量有优势，建议优先询盘",IF(Q1200="B","条件较均衡，可作为备选","起订量或价格需要进一步确认"))</f>
        <v/>
      </c>
      <c r="T1200" s="10" t="inlineStr">
        <is>
          <t>未联系</t>
        </is>
      </c>
      <c r="U1200" s="10" t="inlineStr">
        <is>
          <t>虚构演示数据</t>
        </is>
      </c>
    </row>
    <row r="1201" ht="21" customHeight="1">
      <c r="A1201" s="10" t="inlineStr">
        <is>
          <t>GYS-1197</t>
        </is>
      </c>
      <c r="B1201" s="10" t="inlineStr">
        <is>
          <t>泉州鞋靴配件供应链1197有限公司（演示）</t>
        </is>
      </c>
      <c r="C1201" s="10" t="inlineStr">
        <is>
          <t>鞋靴配件</t>
        </is>
      </c>
      <c r="D1201" s="10" t="inlineStr">
        <is>
          <t>防磨脚贴</t>
        </is>
      </c>
      <c r="E1201" s="10" t="inlineStr">
        <is>
          <t>福建泉州</t>
        </is>
      </c>
      <c r="F1201" s="10" t="inlineStr">
        <is>
          <t>义乌购</t>
        </is>
      </c>
      <c r="G1201" s="10" t="inlineStr">
        <is>
          <t>赵经理</t>
        </is>
      </c>
      <c r="H1201" s="10" t="inlineStr">
        <is>
          <t>000-0000-1197</t>
        </is>
      </c>
      <c r="I1201" s="10" t="inlineStr">
        <is>
          <t>DEMO_GYS_1197</t>
        </is>
      </c>
      <c r="J1201" s="11" t="n">
        <v>13.7</v>
      </c>
      <c r="K1201" s="11" t="n">
        <v>20.4</v>
      </c>
      <c r="L1201" s="12" t="n">
        <v>200</v>
      </c>
      <c r="M1201" s="10" t="inlineStr">
        <is>
          <t>是</t>
        </is>
      </c>
      <c r="N1201" s="10" t="inlineStr">
        <is>
          <t>否</t>
        </is>
      </c>
      <c r="O1201" s="10" t="inlineStr">
        <is>
          <t>supplier1197@example.com</t>
        </is>
      </c>
      <c r="P1201" s="10" t="inlineStr">
        <is>
          <t>https://example.com/supplier/1197</t>
        </is>
      </c>
      <c r="Q1201" s="10">
        <f>IF(R1201&gt;=85,"A",IF(R1201&gt;=70,"B","C"))</f>
        <v/>
      </c>
      <c r="R1201" s="13">
        <f>MIN(100,50+IF(M1201="是",10,0)+IF(N1201="是",10,0)+IF(L1201&lt;=100,10,IF(L1201&lt;=300,5,0))+IF(J1201&lt;=20,10,IF(J1201&lt;=50,5,0))+IF(K1201-J1201&lt;=20,5,0)+IF(F1201="企业官网",5,0))</f>
        <v/>
      </c>
      <c r="S1201" s="10">
        <f>IF(Q1201="A","价格与起订量有优势，建议优先询盘",IF(Q1201="B","条件较均衡，可作为备选","起订量或价格需要进一步确认"))</f>
        <v/>
      </c>
      <c r="T1201" s="10" t="inlineStr">
        <is>
          <t>未联系</t>
        </is>
      </c>
      <c r="U1201" s="10" t="inlineStr">
        <is>
          <t>虚构演示数据</t>
        </is>
      </c>
    </row>
    <row r="1202" ht="21" customHeight="1">
      <c r="A1202" s="10" t="inlineStr">
        <is>
          <t>GYS-1198</t>
        </is>
      </c>
      <c r="B1202" s="10" t="inlineStr">
        <is>
          <t>南通食品包装供应链1198有限公司（演示）</t>
        </is>
      </c>
      <c r="C1202" s="10" t="inlineStr">
        <is>
          <t>食品包装</t>
        </is>
      </c>
      <c r="D1202" s="10" t="inlineStr">
        <is>
          <t>密封包装袋</t>
        </is>
      </c>
      <c r="E1202" s="10" t="inlineStr">
        <is>
          <t>江苏南通</t>
        </is>
      </c>
      <c r="F1202" s="10" t="inlineStr">
        <is>
          <t>慧聪网</t>
        </is>
      </c>
      <c r="G1202" s="10" t="inlineStr">
        <is>
          <t>周经理</t>
        </is>
      </c>
      <c r="H1202" s="10" t="inlineStr">
        <is>
          <t>000-0000-1198</t>
        </is>
      </c>
      <c r="I1202" s="10" t="inlineStr">
        <is>
          <t>DEMO_GYS_1198</t>
        </is>
      </c>
      <c r="J1202" s="11" t="n">
        <v>15.4</v>
      </c>
      <c r="K1202" s="11" t="n">
        <v>23.2</v>
      </c>
      <c r="L1202" s="12" t="n">
        <v>100</v>
      </c>
      <c r="M1202" s="10" t="inlineStr">
        <is>
          <t>是</t>
        </is>
      </c>
      <c r="N1202" s="10" t="inlineStr">
        <is>
          <t>是</t>
        </is>
      </c>
      <c r="O1202" s="10" t="inlineStr">
        <is>
          <t>supplier1198@example.com</t>
        </is>
      </c>
      <c r="P1202" s="10" t="inlineStr">
        <is>
          <t>https://example.com/supplier/1198</t>
        </is>
      </c>
      <c r="Q1202" s="10">
        <f>IF(R1202&gt;=85,"A",IF(R1202&gt;=70,"B","C"))</f>
        <v/>
      </c>
      <c r="R1202" s="13">
        <f>MIN(100,50+IF(M1202="是",10,0)+IF(N1202="是",10,0)+IF(L1202&lt;=100,10,IF(L1202&lt;=300,5,0))+IF(J1202&lt;=20,10,IF(J1202&lt;=50,5,0))+IF(K1202-J1202&lt;=20,5,0)+IF(F1202="企业官网",5,0))</f>
        <v/>
      </c>
      <c r="S1202" s="10">
        <f>IF(Q1202="A","价格与起订量有优势，建议优先询盘",IF(Q1202="B","条件较均衡，可作为备选","起订量或价格需要进一步确认"))</f>
        <v/>
      </c>
      <c r="T1202" s="10" t="inlineStr">
        <is>
          <t>未联系</t>
        </is>
      </c>
      <c r="U1202" s="10" t="inlineStr">
        <is>
          <t>虚构演示数据</t>
        </is>
      </c>
    </row>
    <row r="1203" ht="21" customHeight="1">
      <c r="A1203" s="10" t="inlineStr">
        <is>
          <t>GYS-1199</t>
        </is>
      </c>
      <c r="B1203" s="10" t="inlineStr">
        <is>
          <t>郑州户外照明供应链1199有限公司（演示）</t>
        </is>
      </c>
      <c r="C1203" s="10" t="inlineStr">
        <is>
          <t>户外照明</t>
        </is>
      </c>
      <c r="D1203" s="10" t="inlineStr">
        <is>
          <t>便携露营灯</t>
        </is>
      </c>
      <c r="E1203" s="10" t="inlineStr">
        <is>
          <t>河南郑州</t>
        </is>
      </c>
      <c r="F1203" s="10" t="inlineStr">
        <is>
          <t>1688</t>
        </is>
      </c>
      <c r="G1203" s="10" t="inlineStr">
        <is>
          <t>吴经理</t>
        </is>
      </c>
      <c r="H1203" s="10" t="inlineStr">
        <is>
          <t>000-0000-1199</t>
        </is>
      </c>
      <c r="I1203" s="10" t="inlineStr">
        <is>
          <t>DEMO_GYS_1199</t>
        </is>
      </c>
      <c r="J1203" s="11" t="n">
        <v>17.1</v>
      </c>
      <c r="K1203" s="11" t="n">
        <v>26</v>
      </c>
      <c r="L1203" s="12" t="n">
        <v>50</v>
      </c>
      <c r="M1203" s="10" t="inlineStr">
        <is>
          <t>是</t>
        </is>
      </c>
      <c r="N1203" s="10" t="inlineStr">
        <is>
          <t>是</t>
        </is>
      </c>
      <c r="O1203" s="10" t="inlineStr">
        <is>
          <t>supplier1199@example.com</t>
        </is>
      </c>
      <c r="P1203" s="10" t="inlineStr">
        <is>
          <t>https://example.com/supplier/1199</t>
        </is>
      </c>
      <c r="Q1203" s="10">
        <f>IF(R1203&gt;=85,"A",IF(R1203&gt;=70,"B","C"))</f>
        <v/>
      </c>
      <c r="R1203" s="13">
        <f>MIN(100,50+IF(M1203="是",10,0)+IF(N1203="是",10,0)+IF(L1203&lt;=100,10,IF(L1203&lt;=300,5,0))+IF(J1203&lt;=20,10,IF(J1203&lt;=50,5,0))+IF(K1203-J1203&lt;=20,5,0)+IF(F1203="企业官网",5,0))</f>
        <v/>
      </c>
      <c r="S1203" s="10">
        <f>IF(Q1203="A","价格与起订量有优势，建议优先询盘",IF(Q1203="B","条件较均衡，可作为备选","起订量或价格需要进一步确认"))</f>
        <v/>
      </c>
      <c r="T1203" s="10" t="inlineStr">
        <is>
          <t>未联系</t>
        </is>
      </c>
      <c r="U1203" s="10" t="inlineStr">
        <is>
          <t>虚构演示数据</t>
        </is>
      </c>
    </row>
    <row r="1204" ht="21" customHeight="1">
      <c r="A1204" s="10" t="inlineStr">
        <is>
          <t>GYS-1200</t>
        </is>
      </c>
      <c r="B1204" s="10" t="inlineStr">
        <is>
          <t>宁波健康用品供应链1200有限公司（演示）</t>
        </is>
      </c>
      <c r="C1204" s="10" t="inlineStr">
        <is>
          <t>健康用品</t>
        </is>
      </c>
      <c r="D1204" s="10" t="inlineStr">
        <is>
          <t>热敷眼罩</t>
        </is>
      </c>
      <c r="E1204" s="10" t="inlineStr">
        <is>
          <t>浙江宁波</t>
        </is>
      </c>
      <c r="F1204" s="10" t="inlineStr">
        <is>
          <t>中国制造网</t>
        </is>
      </c>
      <c r="G1204" s="10" t="inlineStr">
        <is>
          <t>陈经理</t>
        </is>
      </c>
      <c r="H1204" s="10" t="inlineStr">
        <is>
          <t>000-0000-1200</t>
        </is>
      </c>
      <c r="I1204" s="10" t="inlineStr">
        <is>
          <t>DEMO_GYS_1200</t>
        </is>
      </c>
      <c r="J1204" s="11" t="n">
        <v>18.8</v>
      </c>
      <c r="K1204" s="11" t="n">
        <v>28.8</v>
      </c>
      <c r="L1204" s="12" t="n">
        <v>20</v>
      </c>
      <c r="M1204" s="10" t="inlineStr">
        <is>
          <t>否</t>
        </is>
      </c>
      <c r="N1204" s="10" t="inlineStr">
        <is>
          <t>否</t>
        </is>
      </c>
      <c r="O1204" s="10" t="inlineStr">
        <is>
          <t>supplier1200@example.com</t>
        </is>
      </c>
      <c r="P1204" s="10" t="inlineStr">
        <is>
          <t>https://example.com/supplier/1200</t>
        </is>
      </c>
      <c r="Q1204" s="10">
        <f>IF(R1204&gt;=85,"A",IF(R1204&gt;=70,"B","C"))</f>
        <v/>
      </c>
      <c r="R1204" s="13">
        <f>MIN(100,50+IF(M1204="是",10,0)+IF(N1204="是",10,0)+IF(L1204&lt;=100,10,IF(L1204&lt;=300,5,0))+IF(J1204&lt;=20,10,IF(J1204&lt;=50,5,0))+IF(K1204-J1204&lt;=20,5,0)+IF(F1204="企业官网",5,0))</f>
        <v/>
      </c>
      <c r="S1204" s="10">
        <f>IF(Q1204="A","价格与起订量有优势，建议优先询盘",IF(Q1204="B","条件较均衡，可作为备选","起订量或价格需要进一步确认"))</f>
        <v/>
      </c>
      <c r="T1204" s="10" t="inlineStr">
        <is>
          <t>未联系</t>
        </is>
      </c>
      <c r="U1204" s="10" t="inlineStr">
        <is>
          <t>虚构演示数据</t>
        </is>
      </c>
    </row>
  </sheetData>
  <mergeCells count="2">
    <mergeCell ref="A1:U1"/>
    <mergeCell ref="A2:U2"/>
  </mergeCells>
  <conditionalFormatting sqref="Q5:Q1204">
    <cfRule type="expression" priority="1" dxfId="0">
      <formula>Q5="A"</formula>
    </cfRule>
    <cfRule type="expression" priority="2" dxfId="1">
      <formula>Q5="B"</formula>
    </cfRule>
    <cfRule type="expression" priority="3" dxfId="2">
      <formula>Q5="C"</formula>
    </cfRule>
  </conditionalFormatting>
  <dataValidations count="1">
    <dataValidation sqref="T5:T1204" showDropDown="0" showInputMessage="0" showErrorMessage="0" allowBlank="0" type="list">
      <formula1>"未联系,已联系,待复核"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2026-08-16T18:14:29Z</dcterms:created>
  <dcterms:modified xmlns:dcterms="http://purl.org/dc/terms/" xmlns:xsi="http://www.w3.org/2001/XMLSchema-instance" xsi:type="dcterms:W3CDTF">2026-08-16T18:14:31Z</dcterms:modified>
</cp:coreProperties>
</file>